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ia compras" sheetId="1" r:id="rId1"/>
  </sheets>
</workbook>
</file>

<file path=xl/sharedStrings.xml><?xml version="1.0" encoding="utf-8"?>
<sst xmlns="http://schemas.openxmlformats.org/spreadsheetml/2006/main" count="1413" uniqueCount="1413">
  <si>
    <t>juego</t>
  </si>
  <si>
    <t>version</t>
  </si>
  <si>
    <t>esCdKey</t>
  </si>
  <si>
    <t>tipoCuentaKey</t>
  </si>
  <si>
    <t>compraArs</t>
  </si>
  <si>
    <t>precioPlataformaArs</t>
  </si>
  <si>
    <t>ventaTransferArs</t>
  </si>
  <si>
    <t>gananciaArs</t>
  </si>
  <si>
    <t>ventaCuotasArs</t>
  </si>
  <si>
    <t>linkCompra</t>
  </si>
  <si>
    <t>linkSteam</t>
  </si>
  <si>
    <t>tienda</t>
  </si>
  <si>
    <t>regionDetectada</t>
  </si>
  <si>
    <t>verificado</t>
  </si>
  <si>
    <t>nombreListado</t>
  </si>
  <si>
    <t>actualizado</t>
  </si>
  <si>
    <t>listadoCoherente</t>
  </si>
  <si>
    <t>alternativas</t>
  </si>
  <si>
    <t>precioKinguin</t>
  </si>
  <si>
    <t>precioEneba</t>
  </si>
  <si>
    <t>precioDriffle</t>
  </si>
  <si>
    <t>precioLoaded</t>
  </si>
  <si>
    <t>linkKinguin</t>
  </si>
  <si>
    <t>linkEneba</t>
  </si>
  <si>
    <t>linkDriffle</t>
  </si>
  <si>
    <t>linkLoaded</t>
  </si>
  <si>
    <t>007 First Light</t>
  </si>
  <si>
    <t>Deluxe Edition - Cuenta Steam</t>
  </si>
  <si>
    <t>NO</t>
  </si>
  <si>
    <t>Cuenta Steam</t>
  </si>
  <si>
    <t>driffle</t>
  </si>
  <si>
    <t>AR/LATAM</t>
  </si>
  <si>
    <t>SI</t>
  </si>
  <si>
    <t>007 First Light - Deluxe Edition (Global) (PC) - Steam Account</t>
  </si>
  <si>
    <t>2026-10-27T17:17:57.643Z</t>
  </si>
  <si>
    <t>driffle:70976</t>
  </si>
  <si>
    <t/>
  </si>
  <si>
    <t>70976</t>
  </si>
  <si>
    <t>https://www.kinguin.net/es/category/535348/007-first-light-deluxe-edition-pc-steam-account</t>
  </si>
  <si>
    <t>https://driffle.com/es/007-first-light-deluxe-edition-global-pc-steam-account-p9995859</t>
  </si>
  <si>
    <t>Edición Deluxe - CD Key LATAM (Steam)</t>
  </si>
  <si>
    <t>CD Key Steam</t>
  </si>
  <si>
    <t>eneba</t>
  </si>
  <si>
    <t>007 First Light Deluxe Edition Steam Key (PC) LATAM</t>
  </si>
  <si>
    <t>2026-10-27T17:17:46.363Z</t>
  </si>
  <si>
    <t>eneba:88873 | driffle:116329</t>
  </si>
  <si>
    <t>88873</t>
  </si>
  <si>
    <t>116329</t>
  </si>
  <si>
    <t>https://www.kinguin.net/es/category/537471/007-first-light-deluxe-edition-latam-pc-steam-cd-key</t>
  </si>
  <si>
    <t>https://www.eneba.com/latam/steam-007-first-light-deluxe-edition-steam-key-pc-latam</t>
  </si>
  <si>
    <t>https://driffle.com/es/007-first-light-deluxe-edition-latam-pc-steam-digital-key-p9995852</t>
  </si>
  <si>
    <t>https://www.loaded.com/es_es/007-first-light-deluxe-edition-pc-steam</t>
  </si>
  <si>
    <t>Edicion estandar - CD Key LATAM (Steam)</t>
  </si>
  <si>
    <t>007 First Light (LATAM) (PC) - Steam - Digital Key</t>
  </si>
  <si>
    <t>2026-10-27T17:15:34.169Z</t>
  </si>
  <si>
    <t>driffle:62424 | eneba:62738</t>
  </si>
  <si>
    <t>62738</t>
  </si>
  <si>
    <t>62424</t>
  </si>
  <si>
    <t>https://www.kinguin.net/es/category/534950/007-first-light-latam-pc-steam-cd-key</t>
  </si>
  <si>
    <t>https://www.eneba.com/latam/steam-007-first-light-steam-key-pc-latam</t>
  </si>
  <si>
    <t>https://driffle.com/es/007-first-light-latam-pc-steam-digital-key-p9995849</t>
  </si>
  <si>
    <t>https://www.loaded.com/es_es/007-first-light-pc-latin-america-steam</t>
  </si>
  <si>
    <t>Edicion estandar - Cuenta Steam</t>
  </si>
  <si>
    <t>007 First Light (Global) (PC) - Steam Account</t>
  </si>
  <si>
    <t>2026-10-27T17:15:42.202Z</t>
  </si>
  <si>
    <t>driffle:45419</t>
  </si>
  <si>
    <t>45419</t>
  </si>
  <si>
    <t>https://www.kinguin.net/es/category/404893/007-first-light-pc-steam-account</t>
  </si>
  <si>
    <t>https://driffle.com/007-first-light-global-pc-steam-account-p9994206</t>
  </si>
  <si>
    <t>A way out</t>
  </si>
  <si>
    <t>global</t>
  </si>
  <si>
    <t>A Way Out (Global) (PC) - Steam Account</t>
  </si>
  <si>
    <t>2026-10-27T17:18:05.733Z</t>
  </si>
  <si>
    <t>driffle:5118</t>
  </si>
  <si>
    <t>5118</t>
  </si>
  <si>
    <t>https://www.kinguin.net/es/category/163457/a-way-out-steam-account</t>
  </si>
  <si>
    <t>https://driffle.com/es/a-way-out-global-pc-steam-account-p9941450</t>
  </si>
  <si>
    <t>ARC Raiders</t>
  </si>
  <si>
    <t>ARC Raiders - Deluxe Edition Steam Código de (PC) GLOBAL</t>
  </si>
  <si>
    <t>2026-10-27T17:22:16.528Z</t>
  </si>
  <si>
    <t>driffle:67262 | eneba:66618</t>
  </si>
  <si>
    <t>66618</t>
  </si>
  <si>
    <t>67262</t>
  </si>
  <si>
    <t>https://www.kinguin.net/es/category/408331/arc-raiders-deluxe-edition-pc-steam-cd-key</t>
  </si>
  <si>
    <t>https://www.eneba.com/latam/steam-arc-raiders-deluxe-edition-steam-key-pc-global</t>
  </si>
  <si>
    <t>https://driffle.com/es/arc-raiders-deluxe-edition-global-pc-steam-digital-key-p9969559</t>
  </si>
  <si>
    <t>https://www.loaded.com/es_es/arc-raiders-deluxe-edition-pc-steam</t>
  </si>
  <si>
    <t>ARC Raiders (Global) (PC) - Steam - Digital Key</t>
  </si>
  <si>
    <t>2026-10-27T17:20:09.467Z</t>
  </si>
  <si>
    <t>driffle:52287 | eneba:52535</t>
  </si>
  <si>
    <t>52535</t>
  </si>
  <si>
    <t>52287</t>
  </si>
  <si>
    <t>https://www.kinguin.net/es/category/391296/arc-raiders-pc-steam-cd-key</t>
  </si>
  <si>
    <t>https://www.eneba.com/latam/steam-arc-raiders-steam-key-pc-global</t>
  </si>
  <si>
    <t>https://driffle.com/es/arc-raiders-global-pc-steam-digital-key-p9938981</t>
  </si>
  <si>
    <t>https://www.loaded.com/es_es/arc-raiders-pc-steam</t>
  </si>
  <si>
    <t>ARK: Survival Ascended</t>
  </si>
  <si>
    <t>ARK Survival Ascended (Global) (PC) - Steam Account</t>
  </si>
  <si>
    <t>2026-10-27T17:22:40.782Z</t>
  </si>
  <si>
    <t>driffle:12911</t>
  </si>
  <si>
    <t>12911</t>
  </si>
  <si>
    <t>https://www.kinguin.net/es/category/193815/ark-survival-ascended-steam-account</t>
  </si>
  <si>
    <t>https://driffle.com/es/ark-survival-ascended-global-pc-steam-account-p9945608</t>
  </si>
  <si>
    <t>Assassin's Creed Mirage</t>
  </si>
  <si>
    <t>Assassin's Creed Mirage (Global) (PC) - Steam Account</t>
  </si>
  <si>
    <t>2026-10-27T17:22:48.827Z</t>
  </si>
  <si>
    <t>driffle:46921</t>
  </si>
  <si>
    <t>46921</t>
  </si>
  <si>
    <t>https://www.kinguin.net/es/category/280875/assassin-s-creed-mirage-pc-steam-account</t>
  </si>
  <si>
    <t>https://driffle.com/es/assassins-creed-mirage-global-pc-steam-account-p9972488</t>
  </si>
  <si>
    <t>Assassin's Creed Shadows</t>
  </si>
  <si>
    <t>Assassin's Creed Shadows (Global) (PC) - Steam Account</t>
  </si>
  <si>
    <t>2026-10-27T17:23:45.956Z</t>
  </si>
  <si>
    <t>driffle:35794</t>
  </si>
  <si>
    <t>35794</t>
  </si>
  <si>
    <t>https://www.kinguin.net/es/category/305769/assassins-creed-shadows-pc-steam-account</t>
  </si>
  <si>
    <t>https://driffle.com/es/assassins-creed-shadows-global-pc-steam-account-p9979431</t>
  </si>
  <si>
    <t>Baldur's Gate 3</t>
  </si>
  <si>
    <t>Baldur's Gate 3 (Global) (PC / Mac) - Steam Account</t>
  </si>
  <si>
    <t>2026-10-27T17:24:46.449Z</t>
  </si>
  <si>
    <t>driffle:21331</t>
  </si>
  <si>
    <t>21331</t>
  </si>
  <si>
    <t>https://www.kinguin.net/es/category/137430/baldur-s-gate-3-pc-steam-account</t>
  </si>
  <si>
    <t>https://driffle.com/es/baldurs-gate-3-global-pc-mac-steam-account-p9945610</t>
  </si>
  <si>
    <t>Battlefield 6</t>
  </si>
  <si>
    <t>Battlefield 6 (Global) (PC) - EA Play - Digital Key</t>
  </si>
  <si>
    <t>2026-10-27T17:25:06.426Z</t>
  </si>
  <si>
    <t>driffle:70696</t>
  </si>
  <si>
    <t>70696</t>
  </si>
  <si>
    <t>https://www.kinguin.net/es/category/371746/battlefield-6-pc-steam-cd-key</t>
  </si>
  <si>
    <t>https://www.eneba.com/latam/ea-app-battlefield-6-ea-app-pc-key-global</t>
  </si>
  <si>
    <t>https://driffle.com/es/battlefield-6-global-pc-ea-play-digital-key-p9951111</t>
  </si>
  <si>
    <t>https://www.loaded.com/es_es/battlefield-6-pc-eaapp</t>
  </si>
  <si>
    <t>Battlefield 6 (Global) (PC) - Steam Account</t>
  </si>
  <si>
    <t>2026-10-27T17:25:14.270Z</t>
  </si>
  <si>
    <t>driffle:22718</t>
  </si>
  <si>
    <t>22718</t>
  </si>
  <si>
    <t>https://www.kinguin.net/es/category/371748/battlefield-6-pc-steam-account</t>
  </si>
  <si>
    <t>https://driffle.com/es/battlefield-6-global-pc-steam-account-p9952012</t>
  </si>
  <si>
    <t>Phantom Edition - CD Key LATAM (Steam)</t>
  </si>
  <si>
    <t>Battlefield 6 Phantom Edition (Global) (PC) - EA Play - Digital Key</t>
  </si>
  <si>
    <t>2026-10-27T17:26:01.948Z</t>
  </si>
  <si>
    <t>driffle:105565</t>
  </si>
  <si>
    <t>105565</t>
  </si>
  <si>
    <t>https://www.kinguin.net/es/category/371753/battlefield-6-phantom-edition-pc-steam-cd-key</t>
  </si>
  <si>
    <t>https://www.eneba.com/latam/ea-app-battlefield-6-phantom-edition-ea-app-key-pc-global</t>
  </si>
  <si>
    <t>https://driffle.com/es/battlefield-6-phantom-edition-global-pc-ea-play-digital-key-p9967536</t>
  </si>
  <si>
    <t>https://www.loaded.com/es_es/battlefield-6-phantom-edition-pc-eaapp</t>
  </si>
  <si>
    <t>Phantom Edition - Cuenta Steam</t>
  </si>
  <si>
    <t>Battlefield 6 Phantom Edition (Global) (PC) - Steam Account</t>
  </si>
  <si>
    <t>2026-10-27T17:26:09.878Z</t>
  </si>
  <si>
    <t>driffle:113969</t>
  </si>
  <si>
    <t>113969</t>
  </si>
  <si>
    <t>https://www.kinguin.net/es/category/371752/battlefield-6-phantom-edition-pc-steam-account</t>
  </si>
  <si>
    <t>https://driffle.com/es/battlefield-6-phantom-edition-global-pc-steam-account-p9952026</t>
  </si>
  <si>
    <t>Black Myth: Wukong</t>
  </si>
  <si>
    <t>Black Myth: Wukong (PC) Código de Steam GLOBAL</t>
  </si>
  <si>
    <t>2026-10-27T17:28:13.592Z</t>
  </si>
  <si>
    <t>driffle:63052 | eneba:59882</t>
  </si>
  <si>
    <t>59882</t>
  </si>
  <si>
    <t>63052</t>
  </si>
  <si>
    <t>https://www.kinguin.net/es/category/263403/black-myth-wukong-pc-steam-cd-key</t>
  </si>
  <si>
    <t>https://www.eneba.com/latam/steam-black-myth-wukong-pc-steam-key-global</t>
  </si>
  <si>
    <t>https://driffle.com/es/black-myth-wukong-latam-pc-steam-digital-key-p9916395</t>
  </si>
  <si>
    <t>https://www.loaded.com/es_es/black-myth-wukong-pc-steam</t>
  </si>
  <si>
    <t>Black Myth Wukong (Global) (PC) - Steam Account</t>
  </si>
  <si>
    <t>2026-10-27T17:28:21.500Z</t>
  </si>
  <si>
    <t>driffle:36206</t>
  </si>
  <si>
    <t>36206</t>
  </si>
  <si>
    <t>https://www.kinguin.net/es/category/243305/black-myth-wukong-pc-steam-account</t>
  </si>
  <si>
    <t>https://driffle.com/black-myth-wukong-global-pc-steam-account-p9952239</t>
  </si>
  <si>
    <t>Borderlands 4</t>
  </si>
  <si>
    <t>Borderlands 4 Deluxe Edition (Global) (PC) - Steam - Digital Key</t>
  </si>
  <si>
    <t>2026-10-27T17:31:08.840Z</t>
  </si>
  <si>
    <t>driffle:68929 | eneba:70333</t>
  </si>
  <si>
    <t>70333</t>
  </si>
  <si>
    <t>68929</t>
  </si>
  <si>
    <t>https://www.kinguin.net/es/category/377653/borderlands-4-deluxe-edition-pc-steam-cd-key</t>
  </si>
  <si>
    <t>https://www.eneba.com/latam/steam-borderlands-4-deluxe-edition-steam-key-pc-global</t>
  </si>
  <si>
    <t>https://driffle.com/es/borderlands-4-deluxe-edition-global-pc-steam-digital-key-p9941167</t>
  </si>
  <si>
    <t>Borderlands 4 Código de Steam (PC) GLOBAL</t>
  </si>
  <si>
    <t>2026-10-27T17:30:53.026Z</t>
  </si>
  <si>
    <t>driffle:47334 | loaded:51990 | eneba:47103</t>
  </si>
  <si>
    <t>47103</t>
  </si>
  <si>
    <t>47334</t>
  </si>
  <si>
    <t>51990</t>
  </si>
  <si>
    <t>https://www.kinguin.net/es/category/373366/borderlands-4-pc-steam-cd-key</t>
  </si>
  <si>
    <t>https://www.eneba.com/latam/steam-borderlands-4-steam-key-pc-global</t>
  </si>
  <si>
    <t>https://driffle.com/es/borderlands-4-global-pc-steam-digital-key-p9926887</t>
  </si>
  <si>
    <t>https://www.loaded.com/es_es/borderlands-4-pc-steam</t>
  </si>
  <si>
    <t>Edición Super Deluxe - CD Key LATAM (Steam)</t>
  </si>
  <si>
    <t>Borderlands 4 Super Deluxe Edition Código de Steam (PC) GLOBAL</t>
  </si>
  <si>
    <t>2026-10-27T17:31:24.568Z</t>
  </si>
  <si>
    <t>driffle:90425 | eneba:89980</t>
  </si>
  <si>
    <t>89980</t>
  </si>
  <si>
    <t>90425</t>
  </si>
  <si>
    <t>https://www.kinguin.net/es/category/364798/borderlands-4-super-deluxe-edition-pc-steam-cd-key</t>
  </si>
  <si>
    <t>https://www.eneba.com/latam/steam-borderlands-4-super-deluxe-edition-steam-key-pc-global</t>
  </si>
  <si>
    <t>https://driffle.com/es/borderlands-4-super-deluxe-edition-global-pc-steam-digital-key-p9941170</t>
  </si>
  <si>
    <t>Call of Duty: Black Ops 7</t>
  </si>
  <si>
    <t>Call of Duty Black Ops 7 (Global) (PC) - Steam Account</t>
  </si>
  <si>
    <t>2026-10-27T17:31:35.775Z</t>
  </si>
  <si>
    <t>driffle:43752</t>
  </si>
  <si>
    <t>43752</t>
  </si>
  <si>
    <t>https://www.kinguin.net/es/category/378747/call-of-duty-black-ops-7-pc-steam-account</t>
  </si>
  <si>
    <t>https://driffle.com/es/call-of-duty-black-ops-7-global-pc-steam-account-p9971582</t>
  </si>
  <si>
    <t>Call of Duty: Black Ops III</t>
  </si>
  <si>
    <t>Zombies Chronicles Edition - Cuenta Steam</t>
  </si>
  <si>
    <t>Call of Duty Black Ops III - Zombies Chronicles Edition (Global) (PC / Mac) - Steam Account</t>
  </si>
  <si>
    <t>2026-10-27T17:31:47.067Z</t>
  </si>
  <si>
    <t>driffle:26399</t>
  </si>
  <si>
    <t>26399</t>
  </si>
  <si>
    <t>https://www.kinguin.net/es/category/150106/call-of-duty-black-ops-iii-zombies-chronicles-edition-steam-account</t>
  </si>
  <si>
    <t>https://driffle.com/es/call-of-duty-black-ops-iii-zombies-chronicles-edition-global-pc-mac-steam-account-p9945601</t>
  </si>
  <si>
    <t>Clair Obscur: Expedition 33</t>
  </si>
  <si>
    <t>Clair Obscur Expedition 33 Deluxe Edition (Global) (PC) - Steam Account</t>
  </si>
  <si>
    <t>2026-10-27T17:32:50.891Z</t>
  </si>
  <si>
    <t>driffle:65165</t>
  </si>
  <si>
    <t>65165</t>
  </si>
  <si>
    <t>https://www.kinguin.net/es/category/320785/clair-obscur-expedition-33-deluxe-edition-pc-steam-account</t>
  </si>
  <si>
    <t>https://driffle.com/es/clair-obscur-expedition-33-deluxe-edition-global-pc-steam-account-p9979466</t>
  </si>
  <si>
    <t>Clair Obscur: Expedition 33 Deluxe Edition Código de Steam (PC) LATAM</t>
  </si>
  <si>
    <t>2026-10-27T17:32:43.192Z</t>
  </si>
  <si>
    <t>driffle:65132 | loaded:56448 | eneba:54483</t>
  </si>
  <si>
    <t>54483</t>
  </si>
  <si>
    <t>65132</t>
  </si>
  <si>
    <t>56448</t>
  </si>
  <si>
    <t>https://www.kinguin.net/es/category/336302/clair-obscur-expedition-33-deluxe-edition-asia-pc-steam-cd-key</t>
  </si>
  <si>
    <t>https://www.eneba.com/latam/steam-clair-obscur-expedition-33-deluxe-edition-steam-key-pc-latam</t>
  </si>
  <si>
    <t>https://driffle.com/es/clair-obscur-expedition-33-deluxe-edition-latam-pc-steam-digital-key-p9938799</t>
  </si>
  <si>
    <t>https://www.loaded.com/es_es/clair-obscur-expedition-33-deluxe-edition-pc-steam</t>
  </si>
  <si>
    <t>loaded</t>
  </si>
  <si>
    <t>cuenta</t>
  </si>
  <si>
    <t>Clair Obscur: Expedition 33 PC Key</t>
  </si>
  <si>
    <t>2026-10-27T17:32:15.498Z</t>
  </si>
  <si>
    <t>driffle:45766 | loaded:39773 | eneba:42761</t>
  </si>
  <si>
    <t>42761</t>
  </si>
  <si>
    <t>45766</t>
  </si>
  <si>
    <t>39773</t>
  </si>
  <si>
    <t>https://www.kinguin.net/es/category/330348/clair-obscur-expedition-33-latam-pc-steam-cd-key</t>
  </si>
  <si>
    <t>https://www.eneba.com/latam/steam-clair-obscur-expedition-33-steam-key-pc-latam</t>
  </si>
  <si>
    <t>https://driffle.com/es/clair-obscur-expedition-33-latam-pc-steam-digital-key-p9938798</t>
  </si>
  <si>
    <t>https://www.loaded.com/es_es/clair-obscur-expedition-33-pc-steam</t>
  </si>
  <si>
    <t>Clair Obscur Expedition 33 (Global) (PC) - Steam Account</t>
  </si>
  <si>
    <t>2026-10-27T17:32:23.377Z</t>
  </si>
  <si>
    <t>driffle:42315</t>
  </si>
  <si>
    <t>42315</t>
  </si>
  <si>
    <t>https://www.kinguin.net/es/category/320789/clair-obscur-expedition-33-pc-steam-account</t>
  </si>
  <si>
    <t>https://driffle.com/es/clair-obscur-expedition-33-global-pc-steam-account-p9978241</t>
  </si>
  <si>
    <t>Crimson Desert</t>
  </si>
  <si>
    <t>Crimson Desert Deluxe Edition (Global) (PC / Mac) - Steam Account</t>
  </si>
  <si>
    <t>2026-10-27T17:33:43.134Z</t>
  </si>
  <si>
    <t>driffle:65396</t>
  </si>
  <si>
    <t>65396</t>
  </si>
  <si>
    <t>https://www.kinguin.net/es/category/394220/crimson-desert-deluxe-edition-pc-steam-account</t>
  </si>
  <si>
    <t>https://driffle.com/es/crimson-desert-deluxe-edition-global-pc-steam-account-p9963797</t>
  </si>
  <si>
    <t>Crimson Desert Deluxe Edition (LATAM) (PC / Mac) - Steam - Digital Key</t>
  </si>
  <si>
    <t>2026-10-27T17:33:35.264Z</t>
  </si>
  <si>
    <t>driffle:52915 | loaded:53146 | eneba:53509</t>
  </si>
  <si>
    <t>53509</t>
  </si>
  <si>
    <t>52915</t>
  </si>
  <si>
    <t>53146</t>
  </si>
  <si>
    <t>https://www.kinguin.net/es/category/451627/crimson-desert-deluxe-edition-latam-pc-steam-cd-key</t>
  </si>
  <si>
    <t>https://www.eneba.com/latam/steam-crimson-desert-deluxe-edition-steam-key-pc-latam</t>
  </si>
  <si>
    <t>https://driffle.com/es/crimson-desert-deluxe-edition-latam-pc-mac-steam-digital-key-p9987078</t>
  </si>
  <si>
    <t>https://www.loaded.com/es_es/crimson-desert-deluxe-edition-pc-steam-latam</t>
  </si>
  <si>
    <t>Crimson Desert (LATAM) (PC / Mac) - Steam - Digital Key</t>
  </si>
  <si>
    <t>2026-10-27T17:33:10.415Z</t>
  </si>
  <si>
    <t>driffle:43718 | loaded:46377 | eneba:48440</t>
  </si>
  <si>
    <t>48440</t>
  </si>
  <si>
    <t>43718</t>
  </si>
  <si>
    <t>46377</t>
  </si>
  <si>
    <t>https://www.kinguin.net/es/category/451625/crimson-desert-latam-pc-steam-cd-key</t>
  </si>
  <si>
    <t>https://www.eneba.com/latam/steam-crimson-desert-steam-key-pc-latam</t>
  </si>
  <si>
    <t>https://driffle.com/es/crimson-desert-latam-pc-mac-steam-digital-key-p9987077</t>
  </si>
  <si>
    <t>https://www.loaded.com/es_es/crimson-desert-pc-steam-latam</t>
  </si>
  <si>
    <t>Crimson Desert (Global) (PC / Mac) - Steam Account</t>
  </si>
  <si>
    <t>2026-10-27T17:33:18.616Z</t>
  </si>
  <si>
    <t>driffle:44544</t>
  </si>
  <si>
    <t>44544</t>
  </si>
  <si>
    <t>https://www.kinguin.net/es/category/394217/crimson-desert-pc-steam-account</t>
  </si>
  <si>
    <t>https://driffle.com/es/crimson-desert-global-pc-steam-account-p9963796</t>
  </si>
  <si>
    <t>Cuphead</t>
  </si>
  <si>
    <t>&amp; The Delicious Last Course - CD Key LATAM (Steam)</t>
  </si>
  <si>
    <t>Cuphead + The Delicious Last Course - Bundle (Global) (PC) - Steam - Digital Key</t>
  </si>
  <si>
    <t>2026-10-27T17:34:15.971Z</t>
  </si>
  <si>
    <t>driffle:25128 | eneba:25970</t>
  </si>
  <si>
    <t>25970</t>
  </si>
  <si>
    <t>25128</t>
  </si>
  <si>
    <t>https://www.kinguin.net/es/category/149808/cuphead-the-delicious-last-course-bundle-steam-cd-key</t>
  </si>
  <si>
    <t>https://www.eneba.com/latam/steam-cuphead-the-delicious-last-course-bundle-steam-key-pc-global</t>
  </si>
  <si>
    <t>https://driffle.com/es/cuphead-the-delicious-last-course-bundle-global-pc-mac-steam-digital-key-p9925316</t>
  </si>
  <si>
    <t>Cuphead (Global) (PC / Mac) - Steam - Digital Key</t>
  </si>
  <si>
    <t>2026-10-27T17:33:55.496Z</t>
  </si>
  <si>
    <t>driffle:16229 | eneba:16626</t>
  </si>
  <si>
    <t>16626</t>
  </si>
  <si>
    <t>16229</t>
  </si>
  <si>
    <t>https://www.kinguin.net/es/category/41472/cuphead-steam-cd-key</t>
  </si>
  <si>
    <t>https://www.eneba.com/latam/steam-cuphead-steam-key-global</t>
  </si>
  <si>
    <t>https://driffle.com/es/cuphead-p9879470</t>
  </si>
  <si>
    <t>Cuphead (Global) (PC / Mac) - Steam Account</t>
  </si>
  <si>
    <t>2026-10-27T17:34:03.503Z</t>
  </si>
  <si>
    <t>driffle:6703</t>
  </si>
  <si>
    <t>6703</t>
  </si>
  <si>
    <t>https://www.kinguin.net/es/category/137553/cuphead-steam-account</t>
  </si>
  <si>
    <t>https://driffle.com/es/cuphead-global-pc-mac-steam-account-p9943424</t>
  </si>
  <si>
    <t>Cyberpunk 2077</t>
  </si>
  <si>
    <t>Cyberpunk 2077 (Global) (PC) - Steam Account</t>
  </si>
  <si>
    <t>2026-10-27T17:34:27.464Z</t>
  </si>
  <si>
    <t>driffle:14975</t>
  </si>
  <si>
    <t>14975</t>
  </si>
  <si>
    <t>https://www.kinguin.net/es/category/137554/cyberpunk-2077-steam-account</t>
  </si>
  <si>
    <t>https://driffle.com/es/cyberpunk-2077-global-pc-steam-account-p9943437</t>
  </si>
  <si>
    <t>Ultimate Edition - Cuenta Steam</t>
  </si>
  <si>
    <t>Cyberpunk 2077 Ultimate Edition (Global) (PC) - Steam Account</t>
  </si>
  <si>
    <t>2026-10-27T17:34:35.367Z</t>
  </si>
  <si>
    <t>driffle:28430</t>
  </si>
  <si>
    <t>28430</t>
  </si>
  <si>
    <t>https://www.kinguin.net/es/category/166979/cyberpunk-2077-phantom-liberty-bundle-steam-account</t>
  </si>
  <si>
    <t>https://driffle.com/es/cyberpunk-2077-ultimate-edition-global-pc-steam-account-p9941467</t>
  </si>
  <si>
    <t>DayZ</t>
  </si>
  <si>
    <t>Cool Edition - CD Key LATAM (Steam)</t>
  </si>
  <si>
    <t>DayZ Cool Edition Steam Key (PC) GLOBAL</t>
  </si>
  <si>
    <t>2026-10-27T17:35:27.696Z</t>
  </si>
  <si>
    <t>eneba:110287 | driffle:117584</t>
  </si>
  <si>
    <t>110287</t>
  </si>
  <si>
    <t>117584</t>
  </si>
  <si>
    <t>https://www.eneba.com/latam/steam-dayz-cool-edition-steam-key-pc-global</t>
  </si>
  <si>
    <t>https://driffle.com/es/dayz-cool-edition-global-pc-steam-digital-key-p9980962</t>
  </si>
  <si>
    <t>Deluxe Edition - CD Key LATAM (Steam)</t>
  </si>
  <si>
    <t>DayZ Deluxe Edition Steam Key (PC) LATAM</t>
  </si>
  <si>
    <t>2026-10-27T17:35:14.872Z</t>
  </si>
  <si>
    <t>eneba:42398 | driffle:62375 | loaded:61896</t>
  </si>
  <si>
    <t>42398</t>
  </si>
  <si>
    <t>62375</t>
  </si>
  <si>
    <t>61896</t>
  </si>
  <si>
    <t>https://www.kinguin.net/es/category/246388/dayz-deluxe-edition-pc-steam-cd-key</t>
  </si>
  <si>
    <t>https://www.eneba.com/latam/steam-dayz-deluxe-edition-steam-key-pc-latam</t>
  </si>
  <si>
    <t>https://driffle.com/es/dayz-deluxe-edition-pc-steam-digital-code-p9909108</t>
  </si>
  <si>
    <t>https://www.loaded.com/es_es/dayz-deluxe-edition-pc-steam</t>
  </si>
  <si>
    <t>DayZ (PC) Steam Key LATAM</t>
  </si>
  <si>
    <t>2026-10-27T17:34:47.875Z</t>
  </si>
  <si>
    <t>eneba:23015 | driffle:28166</t>
  </si>
  <si>
    <t>23015</t>
  </si>
  <si>
    <t>28166</t>
  </si>
  <si>
    <t>https://www.kinguin.net/es/category/170955/dayz-latam-pc-steam-cd-key</t>
  </si>
  <si>
    <t>https://www.eneba.com/latam/steam-dayz-pc-steam-key-latam</t>
  </si>
  <si>
    <t>https://driffle.com/es/dayz-latam-pc-steam-digital-code-p9887060</t>
  </si>
  <si>
    <t>DayZ (Global) (PC) - Steam Account</t>
  </si>
  <si>
    <t>2026-10-27T17:34:55.767Z</t>
  </si>
  <si>
    <t>driffle:22041</t>
  </si>
  <si>
    <t>22041</t>
  </si>
  <si>
    <t>https://www.kinguin.net/es/category/133282/dayz-pc-steam-account</t>
  </si>
  <si>
    <t>https://driffle.com/es/dayz-global-pc-steam-account-p9941452</t>
  </si>
  <si>
    <t>Dead by Daylight</t>
  </si>
  <si>
    <t>Dead by Daylight (Global) (PC) - Steam Account</t>
  </si>
  <si>
    <t>2026-10-27T17:35:46.969Z</t>
  </si>
  <si>
    <t>driffle:6852</t>
  </si>
  <si>
    <t>6852</t>
  </si>
  <si>
    <t>https://www.kinguin.net/es/category/158643/dead-by-daylight-steam-account</t>
  </si>
  <si>
    <t>https://driffle.com/es/dead-by-daylight-global-pc-steam-account-p9943429</t>
  </si>
  <si>
    <t>Death Stranding 2: On the Beach</t>
  </si>
  <si>
    <t>DEATH STRANDING 2 - ON THE BEACH (LATAM) (PC) - Steam - Digital Key</t>
  </si>
  <si>
    <t>2026-10-27T17:36:02.945Z</t>
  </si>
  <si>
    <t>driffle:84383 | eneba:90921</t>
  </si>
  <si>
    <t>90921</t>
  </si>
  <si>
    <t>84383</t>
  </si>
  <si>
    <t>https://www.kinguin.net/es/category/452496/death-stranding-2-on-the-beach-latam-pc-steam-cd-key</t>
  </si>
  <si>
    <t>https://www.eneba.com/latam/steam-death-stranding-2-on-the-beach-steam-key-pc-global</t>
  </si>
  <si>
    <t>https://driffle.com/es/death-stranding-2-on-the-beach-latam-pc-steam-digital-key-p9985579</t>
  </si>
  <si>
    <t>DEATH STRANDING 2 - ON THE BEACH (Global) (PC) - Steam Account</t>
  </si>
  <si>
    <t>2026-10-27T17:36:07.680Z</t>
  </si>
  <si>
    <t>driffle:62887</t>
  </si>
  <si>
    <t>62887</t>
  </si>
  <si>
    <t>https://driffle.com/es/death-stranding-2-on-the-beach-global-pc-steam-account-p9986853</t>
  </si>
  <si>
    <t>Detroit: Become Human</t>
  </si>
  <si>
    <t>Detroit: Become Human Código de Steam LATAM</t>
  </si>
  <si>
    <t>2026-10-27T17:38:19.468Z</t>
  </si>
  <si>
    <t>driffle:8453 | loaded:10550 | eneba:8007</t>
  </si>
  <si>
    <t>8007</t>
  </si>
  <si>
    <t>8453</t>
  </si>
  <si>
    <t>10550</t>
  </si>
  <si>
    <t>https://www.kinguin.net/es/category/78715/detroit-become-human-pc-steam-cd-key</t>
  </si>
  <si>
    <t>https://www.eneba.com/latam/steam-detroit-become-human-steam-key-latam</t>
  </si>
  <si>
    <t>https://driffle.com/es/detroit-become-human-latam-pc-steam-digital-code-p9902916</t>
  </si>
  <si>
    <t>https://www.loaded.com/es_es/detroit-become-human-pc-steam</t>
  </si>
  <si>
    <t>Detroit Become Human (Global) (PC) - Steam Account</t>
  </si>
  <si>
    <t>2026-10-27T17:38:27.493Z</t>
  </si>
  <si>
    <t>driffle:3682</t>
  </si>
  <si>
    <t>3682</t>
  </si>
  <si>
    <t>https://www.kinguin.net/es/category/152425/detroit-become-human-steam-account</t>
  </si>
  <si>
    <t>https://driffle.com/es/detroit-become-human-global-pc-steam-account-p9943441</t>
  </si>
  <si>
    <t>Diablo IV</t>
  </si>
  <si>
    <t>Age of Hatred Collection - Cuenta Steam</t>
  </si>
  <si>
    <t>Diablo IV - Age of Hatred Collection (Global) (PC) - Steam Account</t>
  </si>
  <si>
    <t>2026-10-27T17:36:45.218Z</t>
  </si>
  <si>
    <t>driffle:86744</t>
  </si>
  <si>
    <t>86744</t>
  </si>
  <si>
    <t>https://www.kinguin.net/es/category/427893/diablo-iv-age-of-hatred-collection-pc-steam-account</t>
  </si>
  <si>
    <t>https://driffle.com/es/diablo-iv-age-of-hatred-collection-global-pc-steam-account-p9977572</t>
  </si>
  <si>
    <t>Diablo IV (Global) (PC) - Steam Account</t>
  </si>
  <si>
    <t>2026-10-27T17:36:36.823Z</t>
  </si>
  <si>
    <t>driffle:34192</t>
  </si>
  <si>
    <t>34192</t>
  </si>
  <si>
    <t>https://www.kinguin.net/es/category/191664/diablo-iv-steam-account</t>
  </si>
  <si>
    <t>https://driffle.com/es/diablo-iv-global-pc-steam-account-p9979483</t>
  </si>
  <si>
    <t>Dispatch</t>
  </si>
  <si>
    <t>Dispatch (Global) (PC) - Steam Account</t>
  </si>
  <si>
    <t>2026-10-27T17:38:35.590Z</t>
  </si>
  <si>
    <t>driffle:7628</t>
  </si>
  <si>
    <t>7628</t>
  </si>
  <si>
    <t>https://www.kinguin.net/es/category/403168/dispatch-pc-steam-account</t>
  </si>
  <si>
    <t>https://driffle.com/es/dispatch-global-pc-steam-account-p9969733</t>
  </si>
  <si>
    <t>DRAGON BALL: Sparking! ZERO</t>
  </si>
  <si>
    <t>DRAGON BALL Sparking! ZERO (Global) (PC) - Steam Account</t>
  </si>
  <si>
    <t>2026-10-27T17:37:03.214Z</t>
  </si>
  <si>
    <t>driffle:35728</t>
  </si>
  <si>
    <t>35728</t>
  </si>
  <si>
    <t>https://www.kinguin.net/es/category/267255/dragon-ball-sparking-zero-pc-steam-account</t>
  </si>
  <si>
    <t>https://driffle.com/es/dragon-ball-sparking-zero-global-pc-steam-account-p9971483</t>
  </si>
  <si>
    <t>Dying Light: The Beast</t>
  </si>
  <si>
    <t>Dying Light The Beast Deluxe Edition Steam (PC) Key GLOBAL</t>
  </si>
  <si>
    <t>2026-10-27T17:40:30.777Z</t>
  </si>
  <si>
    <t>eneba:44594 | driffle:45419</t>
  </si>
  <si>
    <t>44594</t>
  </si>
  <si>
    <t>https://www.kinguin.net/es/category/389374/dying-light-the-beast-deluxe-edition-pc-steam-cd-key</t>
  </si>
  <si>
    <t>https://www.eneba.com/latam/steam-dying-light-the-beast-deluxe-edition-steam-pc-key-global</t>
  </si>
  <si>
    <t>https://driffle.com/es/dying-light-the-beast-deluxe-edition-global-pc-steam-digital-key-p9958591</t>
  </si>
  <si>
    <t>https://www.loaded.com/es_es/dying-light-the-beast-deluxe-edition-pc-steam</t>
  </si>
  <si>
    <t>Dying Light The Beast Deluxe Edition (Global) (PC) - Steam Account</t>
  </si>
  <si>
    <t>2026-10-27T17:40:38.707Z</t>
  </si>
  <si>
    <t>driffle:39013</t>
  </si>
  <si>
    <t>39013</t>
  </si>
  <si>
    <t>https://www.kinguin.net/es/category/371691/dying-light-the-beast-deluxe-edition-pc-steam-account</t>
  </si>
  <si>
    <t>https://driffle.com/es/dying-light-the-beast-deluxe-edition-global-pc-steam-account-p9962273</t>
  </si>
  <si>
    <t>Dying Light The Beast (Global) (PC) - Steam - Digital Key</t>
  </si>
  <si>
    <t>2026-10-27T17:39:02.702Z</t>
  </si>
  <si>
    <t>driffle:38699 | loaded:39773 | eneba:39244</t>
  </si>
  <si>
    <t>39244</t>
  </si>
  <si>
    <t>38699</t>
  </si>
  <si>
    <t>https://www.kinguin.net/es/category/359509/dying-light-the-beast-pc-steam-cd-key</t>
  </si>
  <si>
    <t>https://www.eneba.com/latam/steam-dying-light-the-beast-steam-pc-key-global</t>
  </si>
  <si>
    <t>https://driffle.com/es/dying-light-the-beast-global-pc-steam-digital-key-p9938120</t>
  </si>
  <si>
    <t>https://www.loaded.com/es_es/dying-light-the-beast-pc-steam</t>
  </si>
  <si>
    <t>Dying Light The Beast (Global) (PC) - Steam Account</t>
  </si>
  <si>
    <t>2026-10-27T17:39:10.859Z</t>
  </si>
  <si>
    <t>driffle:27869</t>
  </si>
  <si>
    <t>27869</t>
  </si>
  <si>
    <t>https://www.kinguin.net/es/category/356849/dying-light-the-beast-pc-steam-account</t>
  </si>
  <si>
    <t>https://driffle.com/es/dying-light-the-beast-global-pc-steam-account-p9961930</t>
  </si>
  <si>
    <t>Dynasty Warriors: Origins</t>
  </si>
  <si>
    <t>DYNASTY WARRIORS: ORIGINS (PC) Código de Steam LATAM</t>
  </si>
  <si>
    <t>2026-10-27T17:41:35.424Z</t>
  </si>
  <si>
    <t>driffle:104558 | eneba:18161</t>
  </si>
  <si>
    <t>18161</t>
  </si>
  <si>
    <t>104558</t>
  </si>
  <si>
    <t>https://www.kinguin.net/es/category/304555/dynasty-warriors-origins-pc-steam-cd-key</t>
  </si>
  <si>
    <t>https://www.eneba.com/latam/steam-dynasty-warriors-origins-pc-steam-key-latam</t>
  </si>
  <si>
    <t>https://driffle.com/es/dynasty-warriors-origins-global-pc-steam-digital-key-p9926207</t>
  </si>
  <si>
    <t>https://www.loaded.com/es_es/dynasty-warriors-origins-pc-steam</t>
  </si>
  <si>
    <t>EA SPORTS FC 26</t>
  </si>
  <si>
    <t>EA SPORTS FC 26 (Global) (PC) - Steam Account</t>
  </si>
  <si>
    <t>2026-10-27T17:42:07.860Z</t>
  </si>
  <si>
    <t>driffle:3352</t>
  </si>
  <si>
    <t>3352</t>
  </si>
  <si>
    <t>https://www.kinguin.net/es/category/365634/ea-sports-fc-26-pc-steam-account</t>
  </si>
  <si>
    <t>https://driffle.com/es/ea-sports-fc-26-global-pc-steam-account-p9952463</t>
  </si>
  <si>
    <t>The World's Game Edition - Cuenta Steam</t>
  </si>
  <si>
    <t>EA SPORTS FC 26 - The World's Game Edition (Global) (PC) - Steam Account</t>
  </si>
  <si>
    <t>2026-10-27T17:42:20.483Z</t>
  </si>
  <si>
    <t>driffle:15008</t>
  </si>
  <si>
    <t>15008</t>
  </si>
  <si>
    <t>https://www.kinguin.net/es/category/541854/ea-sports-fc-26-the-world-s-game-edition-pc-steam-account</t>
  </si>
  <si>
    <t>https://driffle.com/es/ea-sports-fc-26-the-worlds-game-edition-global-pc-steam-account-p9996215</t>
  </si>
  <si>
    <t>EA SPORTS FC™ 27</t>
  </si>
  <si>
    <t>EA SPORTS FC 27 (Global) (PC) - Steam Account</t>
  </si>
  <si>
    <t>2026-10-27T17:42:28.602Z</t>
  </si>
  <si>
    <t>driffle:57042</t>
  </si>
  <si>
    <t>57042</t>
  </si>
  <si>
    <t>https://www.kinguin.net/es/category/609604/ea-sports-fc-27-pc-steam-account</t>
  </si>
  <si>
    <t>https://driffle.com/es/ea-sports-fc-27-global-pc-steam-account-p9998646</t>
  </si>
  <si>
    <t>ELDEN RING</t>
  </si>
  <si>
    <t>Elden Ring (PC) Steam Key LATAM</t>
  </si>
  <si>
    <t>2026-10-27T17:42:47.779Z</t>
  </si>
  <si>
    <t>eneba:87371</t>
  </si>
  <si>
    <t>87371</t>
  </si>
  <si>
    <t>https://www.kinguin.net/es/category/111450/elden-ring-na-latam-steam-cd-key</t>
  </si>
  <si>
    <t>https://www.eneba.com/latam/steam-elden-ring-pc-steam-key-latam</t>
  </si>
  <si>
    <t>https://driffle.com/es/elden-ring-latam-pc-steam-digital-key-p9972146</t>
  </si>
  <si>
    <t>Elden Ring (Global) (PC) - Steam Account</t>
  </si>
  <si>
    <t>2026-10-27T17:42:55.725Z</t>
  </si>
  <si>
    <t>driffle:44940</t>
  </si>
  <si>
    <t>44940</t>
  </si>
  <si>
    <t>https://www.kinguin.net/es/category/133264/elden-ring-steam-account</t>
  </si>
  <si>
    <t>https://driffle.com/es/elden-ring-global-pc-steam-account-p9943442</t>
  </si>
  <si>
    <t>Shadow of the Erdtree Deluxe Edition - CD Key LATAM (Steam)</t>
  </si>
  <si>
    <t>ELDEN RING Shadow of the Erdtree Deluxe Edition (PC) Código de Steam LATAM</t>
  </si>
  <si>
    <t>2026-10-27T17:43:13.331Z</t>
  </si>
  <si>
    <t>eneba:156185</t>
  </si>
  <si>
    <t>156185</t>
  </si>
  <si>
    <t>https://www.eneba.com/latam/steam-elden-ring-shadow-of-the-erdtree-deluxe-edition-pc-steam-key-latam</t>
  </si>
  <si>
    <t>Shadow of the Erdtree Edition - Cuenta Steam</t>
  </si>
  <si>
    <t>Elden Ring Shadow of the Erdtree Edition (Global) (PC) - Steam Account</t>
  </si>
  <si>
    <t>2026-10-27T17:43:08.541Z</t>
  </si>
  <si>
    <t>driffle:94223</t>
  </si>
  <si>
    <t>94223</t>
  </si>
  <si>
    <t>https://www.kinguin.net/es/category/217207/elden-ring-shadow-of-the-erdtree-edition-steam-account</t>
  </si>
  <si>
    <t>https://driffle.com/es/elden-ring-shadow-of-the-erdtree-edition-global-pc-steam-account-p9979504</t>
  </si>
  <si>
    <t>ELDEN RING NIGHTREIGN</t>
  </si>
  <si>
    <t>ELDEN RING NIGHTREIGN Deluxe Edition Steam Key (PC) LATAM</t>
  </si>
  <si>
    <t>2026-10-27T17:43:49.563Z</t>
  </si>
  <si>
    <t>eneba:63564 | driffle:89088</t>
  </si>
  <si>
    <t>63564</t>
  </si>
  <si>
    <t>89088</t>
  </si>
  <si>
    <t>https://www.kinguin.net/es/category/325556/elden-ring-nightreign-deluxe-edition-eu-pc-steam-cd-key</t>
  </si>
  <si>
    <t>https://www.eneba.com/latam/steam-elden-ring-nightreign-deluxe-edition-steam-key-pc-latam</t>
  </si>
  <si>
    <t>https://driffle.com/es/elden-ring-nightreign-deluxe-edition-latam-pc-steam-digital-key-p9933646</t>
  </si>
  <si>
    <t>ELDEN RING NIGHTREIGN Steam Key (PC) LATAM</t>
  </si>
  <si>
    <t>2026-10-27T17:43:29.075Z</t>
  </si>
  <si>
    <t>eneba:45502 | driffle:62210</t>
  </si>
  <si>
    <t>45502</t>
  </si>
  <si>
    <t>62210</t>
  </si>
  <si>
    <t>https://www.kinguin.net/es/category/335894/elden-ring-nightreign-pc-steam-cd-key</t>
  </si>
  <si>
    <t>https://www.eneba.com/latam/steam-elden-ring-nightreign-steam-key-pc-latam</t>
  </si>
  <si>
    <t>https://driffle.com/es/elden-ring-nightreign-latam-pc-steam-digital-key-p9933644</t>
  </si>
  <si>
    <t>ELDEN RING NIGHTREIGN (Global) (PC) - Steam Account</t>
  </si>
  <si>
    <t>2026-10-27T17:43:37.148Z</t>
  </si>
  <si>
    <t>driffle:35331</t>
  </si>
  <si>
    <t>35331</t>
  </si>
  <si>
    <t>https://www.kinguin.net/es/category/312067/elden-ring-nightreign-pc-steam-account</t>
  </si>
  <si>
    <t>https://driffle.com/es/elden-ring-nightreign-global-pc-steam-account-p9945661</t>
  </si>
  <si>
    <t>F1 25</t>
  </si>
  <si>
    <t>2026 Season Edition - Cuenta Steam</t>
  </si>
  <si>
    <t>F1 25 - 2026 Season Edition (Global) (PC) - Steam Account</t>
  </si>
  <si>
    <t>2026-10-27T17:44:03.956Z</t>
  </si>
  <si>
    <t>driffle:35909</t>
  </si>
  <si>
    <t>35909</t>
  </si>
  <si>
    <t>https://www.kinguin.net/es/category/541795/f1-25-2026-season-edition-pc-steam-account</t>
  </si>
  <si>
    <t>https://driffle.com/es/f1-25-2026-season-edition-global-pc-steam-account-p9996177</t>
  </si>
  <si>
    <t>Fallout 76</t>
  </si>
  <si>
    <t>Fallout 76 Steam Key (PC) LATAM</t>
  </si>
  <si>
    <t>2026-10-27T17:44:23.310Z</t>
  </si>
  <si>
    <t>eneba:11590 | driffle:16180 | loaded:15173</t>
  </si>
  <si>
    <t>11590</t>
  </si>
  <si>
    <t>16180</t>
  </si>
  <si>
    <t>15173</t>
  </si>
  <si>
    <t>https://www.kinguin.net/es/category/278799/fallout-76-latam-pc-steam-cd-key</t>
  </si>
  <si>
    <t>https://www.eneba.com/latam/steam-fallout-76-steam-key-pc-latam</t>
  </si>
  <si>
    <t>https://driffle.com/es/fallout-76-p9882414</t>
  </si>
  <si>
    <t>https://www.loaded.com/es_es/fallout-76-pc-ww-steam</t>
  </si>
  <si>
    <t>Fallout 76 (Global) (PC) - Steam Account</t>
  </si>
  <si>
    <t>2026-10-27T17:44:31.247Z</t>
  </si>
  <si>
    <t>driffle:5102</t>
  </si>
  <si>
    <t>5102</t>
  </si>
  <si>
    <t>https://www.kinguin.net/es/category/138395/fallout-76-steam-account</t>
  </si>
  <si>
    <t>https://driffle.com/es/fallout-76-global-pc-steam-account-p9979508</t>
  </si>
  <si>
    <t>FINAL FANTASY VII REMAKE INTERGRADE</t>
  </si>
  <si>
    <t>Final Fantasy VII Remake Intergrade (Global) (PC) - Steam - Digital Key</t>
  </si>
  <si>
    <t>2026-10-27T17:45:27.670Z</t>
  </si>
  <si>
    <t>driffle:21546 | eneba:21876</t>
  </si>
  <si>
    <t>21876</t>
  </si>
  <si>
    <t>21546</t>
  </si>
  <si>
    <t>https://www.kinguin.net/es/category/121803/final-fantasy-vii-remake-intergrade-steam-cd-key</t>
  </si>
  <si>
    <t>https://www.eneba.com/latam/steam-final-fantasy-vii-remake-intergrade-pc-steam-key-global</t>
  </si>
  <si>
    <t>https://driffle.com/es/final-fantasy-vii-remake-intergrade-pc-steam-digital-code-p9907421</t>
  </si>
  <si>
    <t>https://www.loaded.com/es_es/final-fantasy-vii-remake-intergrade-pc-steam-ww</t>
  </si>
  <si>
    <t>Forza Horizon 5</t>
  </si>
  <si>
    <t>Forza Horizon 5 Deluxe Edition (Global) (PC) - Steam Account</t>
  </si>
  <si>
    <t>2026-10-27T17:45:51.342Z</t>
  </si>
  <si>
    <t>driffle:28050</t>
  </si>
  <si>
    <t>28050</t>
  </si>
  <si>
    <t>https://www.kinguin.net/es/category/153247/forza-horizon-5-deluxe-edition-steam-account</t>
  </si>
  <si>
    <t>https://driffle.com/es/forza-horizon-5-deluxe-edition-global-pc-steam-account-p9962282</t>
  </si>
  <si>
    <t>Forza Horizon 5 (Global) (PC) - Steam Account</t>
  </si>
  <si>
    <t>2026-10-27T17:45:43.537Z</t>
  </si>
  <si>
    <t>driffle:20439</t>
  </si>
  <si>
    <t>20439</t>
  </si>
  <si>
    <t>https://www.kinguin.net/es/category/151135/forza-horizon-5-steam-account</t>
  </si>
  <si>
    <t>https://driffle.com/es/forza-horizon-5-global-pc-steam-account-p9943443</t>
  </si>
  <si>
    <t>Premium Edition - Cuenta Steam</t>
  </si>
  <si>
    <t>Forza Horizon 5 Premium Edition (Global) (PC) - Steam Account</t>
  </si>
  <si>
    <t>2026-10-27T17:46:03.932Z</t>
  </si>
  <si>
    <t>driffle:26317</t>
  </si>
  <si>
    <t>26317</t>
  </si>
  <si>
    <t>https://www.kinguin.net/es/category/153246/forza-horizon-5-premium-edition-steam-account</t>
  </si>
  <si>
    <t>https://driffle.com/es/forza-horizon-5-premium-edition-global-pc-steam-account-p9945649</t>
  </si>
  <si>
    <t>Forza Horizon 6</t>
  </si>
  <si>
    <t>Forza Horizon 6 Deluxe Edition (Global) (PC) - Steam Account</t>
  </si>
  <si>
    <t>2026-10-27T17:46:20.115Z</t>
  </si>
  <si>
    <t>driffle:83260</t>
  </si>
  <si>
    <t>83260</t>
  </si>
  <si>
    <t>https://www.kinguin.net/es/category/440711/forza-horizon-6-deluxe-edition-pc-steam-account</t>
  </si>
  <si>
    <t>https://driffle.com/es/forza-horizon-6-deluxe-edition-global-pc-steam-account-p9980950</t>
  </si>
  <si>
    <t>Forza Horizon 6 (Global) (PC) - Steam Account</t>
  </si>
  <si>
    <t>2026-10-27T17:46:11.828Z</t>
  </si>
  <si>
    <t>driffle:58842</t>
  </si>
  <si>
    <t>58842</t>
  </si>
  <si>
    <t>https://www.kinguin.net/es/category/440716/forza-horizon-6-pc-steam-account</t>
  </si>
  <si>
    <t>https://driffle.com/es/forza-horizon-6-global-pc-steam-account-p9980945</t>
  </si>
  <si>
    <t>Forza Horizon 6 Premium Edition (Global) (PC) - Steam Account</t>
  </si>
  <si>
    <t>2026-10-27T17:46:28.157Z</t>
  </si>
  <si>
    <t>driffle:99737</t>
  </si>
  <si>
    <t>99737</t>
  </si>
  <si>
    <t>https://www.kinguin.net/es/category/440707/forza-horizon-6-premium-edition-pc-steam-account</t>
  </si>
  <si>
    <t>https://driffle.com/es/forza-horizon-6-premium-edition-global-pc-steam-account-p9980955</t>
  </si>
  <si>
    <t>Gears of War: E-Day</t>
  </si>
  <si>
    <t>Gears of War E-Day (Global) (PC) - Steam Account</t>
  </si>
  <si>
    <t>2026-10-27T17:46:36.508Z</t>
  </si>
  <si>
    <t>driffle:66156</t>
  </si>
  <si>
    <t>66156</t>
  </si>
  <si>
    <t>https://www.kinguin.net/es/category/542407/gears-of-war-e-day-pc-steam-account</t>
  </si>
  <si>
    <t>https://driffle.com/es/gears-of-war-e-day-global-pc-steam-account-p9996357</t>
  </si>
  <si>
    <t>Gears of War E-Day Premium Edition (Global) (PC) - Steam Account</t>
  </si>
  <si>
    <t>2026-10-27T17:46:44.725Z</t>
  </si>
  <si>
    <t>driffle:106291</t>
  </si>
  <si>
    <t>106291</t>
  </si>
  <si>
    <t>https://www.kinguin.net/es/category/542436/gears-of-war-e-day-premium-edition-pc-steam-account</t>
  </si>
  <si>
    <t>https://driffle.com/es/gears-of-war-e-day-premium-edition-global-pc-steam-account-p9996359</t>
  </si>
  <si>
    <t>Ghost of Tsushima</t>
  </si>
  <si>
    <t>Director's Cut - CD Key LATAM (Steam)</t>
  </si>
  <si>
    <t>Ghost of Tsushima Director’s Cut (LATAM) (PC) - Steam - Digital Key</t>
  </si>
  <si>
    <t>2026-10-27T17:47:01.464Z</t>
  </si>
  <si>
    <t>driffle:36784 | loaded:48688 | eneba:37626</t>
  </si>
  <si>
    <t>37626</t>
  </si>
  <si>
    <t>36784</t>
  </si>
  <si>
    <t>48688</t>
  </si>
  <si>
    <t>https://www.kinguin.net/es/category/305975/ghost-of-tsushima-director-s-cut-latam-pc-steam-cd-key</t>
  </si>
  <si>
    <t>https://www.eneba.com/latam/steam-ghost-of-tsushima-directors-cut-pc-steam-key-latam</t>
  </si>
  <si>
    <t>https://driffle.com/es/ghost-of-tsushima-directors-cut-latam-pc-steam-digital-key-p9944724</t>
  </si>
  <si>
    <t>https://www.loaded.com/es_es/ghost-of-tsushima-director-s-cut-pc-steam</t>
  </si>
  <si>
    <t>God of War</t>
  </si>
  <si>
    <t>God of War (PC) Código de Steam LATAM</t>
  </si>
  <si>
    <t>2026-10-27T17:47:12.682Z</t>
  </si>
  <si>
    <t>driffle:26433 | eneba:21958</t>
  </si>
  <si>
    <t>21958</t>
  </si>
  <si>
    <t>26433</t>
  </si>
  <si>
    <t>https://www.eneba.com/latam/steam-god-of-war-pc-steam-key-latam</t>
  </si>
  <si>
    <t>https://driffle.com/es/god-of-war-pc-steam-digital-code-p9878708</t>
  </si>
  <si>
    <t>God of War (Global) (PC) - Steam Account</t>
  </si>
  <si>
    <t>2026-10-27T17:47:20.708Z</t>
  </si>
  <si>
    <t>driffle:29553</t>
  </si>
  <si>
    <t>29553</t>
  </si>
  <si>
    <t>https://www.kinguin.net/es/category/152417/god-of-war-steam-account</t>
  </si>
  <si>
    <t>https://driffle.com/es/god-of-war-global-pc-steam-account-p9971517</t>
  </si>
  <si>
    <t>God Of War Ragnarök</t>
  </si>
  <si>
    <t>God of War Ragnarok Deluxe Edition (Global) (PC) - Steam - Digital Key</t>
  </si>
  <si>
    <t>2026-10-27T17:47:53.848Z</t>
  </si>
  <si>
    <t>driffle:65363</t>
  </si>
  <si>
    <t>65363</t>
  </si>
  <si>
    <t>https://www.kinguin.net/es/category/322697/god-of-war-ragnaroek-deluxe-edition-latam-pc-steam-cd-key</t>
  </si>
  <si>
    <t>https://www.eneba.com/latam/steam-god-of-war-ragnarok-digital-deluxe-edition-pc-steam-key-latam</t>
  </si>
  <si>
    <t>https://driffle.com/es/god-of-war-ragnarok-deluxe-edition-pc-steam-digital-code-p9910056</t>
  </si>
  <si>
    <t>God of War Ragnarök (PC) Código de Steam LATAM</t>
  </si>
  <si>
    <t>2026-10-27T17:47:33.061Z</t>
  </si>
  <si>
    <t>driffle:48539 | eneba:47252</t>
  </si>
  <si>
    <t>47252</t>
  </si>
  <si>
    <t>48539</t>
  </si>
  <si>
    <t>https://www.kinguin.net/es/category/273654/god-of-war-ragnaroek-latam-pc-steam-cd-key</t>
  </si>
  <si>
    <t>https://www.eneba.com/latam/steam-god-of-war-ragnarok-pc-steam-key-latam</t>
  </si>
  <si>
    <t>https://driffle.com/es/god-of-war-ragnarok-latam-pc-steam-digital-key-p9978346</t>
  </si>
  <si>
    <t>God of War Ragnarok (Global) (PC) - Steam Account</t>
  </si>
  <si>
    <t>2026-10-27T17:47:40.930Z</t>
  </si>
  <si>
    <t>driffle:71257</t>
  </si>
  <si>
    <t>71257</t>
  </si>
  <si>
    <t>https://www.kinguin.net/es/category/261894/god-of-war-ragnaroek-steam-account</t>
  </si>
  <si>
    <t>https://driffle.com/es/god-of-war-ragnarok-global-pc-steam-account-p9962284</t>
  </si>
  <si>
    <t>Gothic 1 Remake</t>
  </si>
  <si>
    <t>Gothic 1 Remake PC (LATAM) Key</t>
  </si>
  <si>
    <t>2026-10-27T17:49:12.336Z</t>
  </si>
  <si>
    <t>loaded:39773 | eneba:42579 | driffle:58726</t>
  </si>
  <si>
    <t>42579</t>
  </si>
  <si>
    <t>58726</t>
  </si>
  <si>
    <t>https://www.kinguin.net/es/category/541778/gothic-1-remake-latam-pc-steam-cd-key</t>
  </si>
  <si>
    <t>https://www.eneba.com/latam/steam-gothic-1-remake-steam-key-pc-latam</t>
  </si>
  <si>
    <t>https://driffle.com/es/gothic-1-remake-global-pc-steam-digital-key-p9932448</t>
  </si>
  <si>
    <t>https://www.loaded.com/es_es/gothic-1-remake-pc-steam-latam</t>
  </si>
  <si>
    <t>Gothic 1 Remake (Global) (PC) - Steam Account</t>
  </si>
  <si>
    <t>2026-10-27T17:49:17.304Z</t>
  </si>
  <si>
    <t>driffle:46905</t>
  </si>
  <si>
    <t>46905</t>
  </si>
  <si>
    <t>https://driffle.com/es/gothic-1-remake-global-pc-steam-account-p9995855</t>
  </si>
  <si>
    <t>Grand Theft Auto V</t>
  </si>
  <si>
    <t>Enhanced - Cuenta Steam</t>
  </si>
  <si>
    <t>Grand Theft Auto V Enhanced (Global) (PC) - Steam Account</t>
  </si>
  <si>
    <t>2026-10-27T17:49:26.952Z</t>
  </si>
  <si>
    <t>driffle:18854</t>
  </si>
  <si>
    <t>18854</t>
  </si>
  <si>
    <t>https://www.kinguin.net/es/category/320974/grand-theft-auto-v-enhanced-pc-steam-account</t>
  </si>
  <si>
    <t>https://driffle.com/es/grand-theft-auto-v-enhanced-global-pc-steam-account-p9962285</t>
  </si>
  <si>
    <t>Halo: Campaign Evolved</t>
  </si>
  <si>
    <t>Halo - Campaign Evolved (Global) (PC) - Steam Account</t>
  </si>
  <si>
    <t>2026-10-27T17:49:39.126Z</t>
  </si>
  <si>
    <t>driffle:63101</t>
  </si>
  <si>
    <t>63101</t>
  </si>
  <si>
    <t>https://www.kinguin.net/es/category/542775/halo-campaign-evolved-pc-steam-account</t>
  </si>
  <si>
    <t>https://driffle.com/es/halo-campaign-evolved-global-pc-steam-account-p9996349</t>
  </si>
  <si>
    <t>Halo - Campaign Evolved - Premium Edition (Global) (PC) - Steam Account</t>
  </si>
  <si>
    <t>2026-10-27T17:49:47.051Z</t>
  </si>
  <si>
    <t>driffle:80437</t>
  </si>
  <si>
    <t>80437</t>
  </si>
  <si>
    <t>https://www.kinguin.net/es/category/542838/halo-campaign-evolved-premium-edition-pc-steam-account</t>
  </si>
  <si>
    <t>https://driffle.com/es/halo-campaign-evolved-premium-edition-global-pc-steam-account-p9996352</t>
  </si>
  <si>
    <t>HELLDIVERS 2</t>
  </si>
  <si>
    <t>HELLDIVERS 2 (PC) Código de Steam LATAM</t>
  </si>
  <si>
    <t>2026-10-27T17:50:06.108Z</t>
  </si>
  <si>
    <t>driffle:39261 | loaded:44230 | eneba:38534</t>
  </si>
  <si>
    <t>38534</t>
  </si>
  <si>
    <t>39261</t>
  </si>
  <si>
    <t>44230</t>
  </si>
  <si>
    <t>https://www.kinguin.net/es/category/323104/helldivers-2-latam-pc-steam-cd-key</t>
  </si>
  <si>
    <t>https://www.eneba.com/latam/steam-helldivers-2-pc-steam-key-latam-10</t>
  </si>
  <si>
    <t>https://driffle.com/es/helldivers-2-latam-pc-steam-digital-key-p9967079</t>
  </si>
  <si>
    <t>https://www.loaded.com/es_es/helldivers-2-pc-steam</t>
  </si>
  <si>
    <t>Helldivers 2 (Global) (PC) - Steam Account</t>
  </si>
  <si>
    <t>2026-10-27T17:50:14.048Z</t>
  </si>
  <si>
    <t>driffle:40648</t>
  </si>
  <si>
    <t>40648</t>
  </si>
  <si>
    <t>https://www.kinguin.net/es/category/208502/helldivers-2-steam-account</t>
  </si>
  <si>
    <t>https://driffle.com/es/helldivers-2-global-pc-steam-account-p9952240</t>
  </si>
  <si>
    <t>Super Citizen Edition - CD Key LATAM (Steam)</t>
  </si>
  <si>
    <t>Helldivers 2 Super Citizen Edition (LATAM) (PC) - Steam - Digital Key</t>
  </si>
  <si>
    <t>2026-10-27T17:52:18.048Z</t>
  </si>
  <si>
    <t>driffle:55176 | eneba:56200</t>
  </si>
  <si>
    <t>56200</t>
  </si>
  <si>
    <t>55176</t>
  </si>
  <si>
    <t>https://www.kinguin.net/es/category/322569/helldivers-2-super-citizen-edition-latam-pc-steam-cd-key</t>
  </si>
  <si>
    <t>https://www.eneba.com/latam/steam-helldivers-2-super-citizen-edition-pc-steam-key-latam</t>
  </si>
  <si>
    <t>https://driffle.com/es/helldivers-2-super-citizen-edition-latam-pc-steam-digital-key-p9981990</t>
  </si>
  <si>
    <t>https://www.loaded.com/es_es/helldivers-2-super-citizen-edition-pc-steam</t>
  </si>
  <si>
    <t>HITMAN World of Assassination</t>
  </si>
  <si>
    <t>HITMAN World of Assassination Deluxe Edition (Global) (PC) - Steam Account</t>
  </si>
  <si>
    <t>2026-10-27T17:53:49.428Z</t>
  </si>
  <si>
    <t>driffle:29470</t>
  </si>
  <si>
    <t>29470</t>
  </si>
  <si>
    <t>https://www.kinguin.net/es/category/374248/hitman-world-of-assassination-deluxe-edition-pc-steam-account</t>
  </si>
  <si>
    <t>https://driffle.com/es/hitman-world-of-assassination-deluxe-edition-global-pc-steam-account-p9979540</t>
  </si>
  <si>
    <t>Hitman World of Assassination (Global) (PC) - Steam Account</t>
  </si>
  <si>
    <t>2026-10-27T17:53:38.345Z</t>
  </si>
  <si>
    <t>driffle:12267</t>
  </si>
  <si>
    <t>12267</t>
  </si>
  <si>
    <t>https://driffle.com/es/hitman-world-of-assassination-global-pc-steam-account-p9945630</t>
  </si>
  <si>
    <t>Hogwarts Legacy</t>
  </si>
  <si>
    <t>Hogwarts Legacy Deluxe Edition (PC) Código de Steam LATAM</t>
  </si>
  <si>
    <t>2026-10-27T17:55:59.477Z</t>
  </si>
  <si>
    <t>driffle:19119 | loaded:12201 | eneba:11871</t>
  </si>
  <si>
    <t>11871</t>
  </si>
  <si>
    <t>19119</t>
  </si>
  <si>
    <t>12201</t>
  </si>
  <si>
    <t>https://www.kinguin.net/es/category/149506/hogwarts-legacy-deluxe-edition-latam-steam-cd-key</t>
  </si>
  <si>
    <t>https://www.eneba.com/latam/steam-hogwarts-legacy-deluxe-edition-pc-steam-key-latam</t>
  </si>
  <si>
    <t>https://driffle.com/es/hogwarts-legacy-deluxe-edition-pc-steam-digital-code-p9883456</t>
  </si>
  <si>
    <t>https://www.loaded.com/es_es/hogwarts-legacy-deluxe-edition-pc-steam-ww</t>
  </si>
  <si>
    <t>Hogwarts Legacy Deluxe Edition (Global) (PC) - Steam Account</t>
  </si>
  <si>
    <t>2026-10-27T17:56:07.211Z</t>
  </si>
  <si>
    <t>driffle:8635</t>
  </si>
  <si>
    <t>8635</t>
  </si>
  <si>
    <t>https://www.kinguin.net/es/category/148234/hogwarts-legacy-deluxe-edition-steam-account</t>
  </si>
  <si>
    <t>https://driffle.com/es/hogwarts-legacy-deluxe-edition-pc-steam-digital-code-p9962290</t>
  </si>
  <si>
    <t>Hogwarts Legacy (LATAM) (PC) - Steam - Digital Key</t>
  </si>
  <si>
    <t>2026-10-27T17:55:32.314Z</t>
  </si>
  <si>
    <t>driffle:6951 | loaded:8899 | eneba:7165</t>
  </si>
  <si>
    <t>7165</t>
  </si>
  <si>
    <t>6951</t>
  </si>
  <si>
    <t>8899</t>
  </si>
  <si>
    <t>https://www.kinguin.net/es/category/149507/hogwarts-legacy-latam-pc-steam-cd-key</t>
  </si>
  <si>
    <t>https://www.eneba.com/latam/steam-hogwarts-legacy-pc-steam-key-latam</t>
  </si>
  <si>
    <t>https://driffle.com/es/hogwarts-legacy-latam-pc-steam-digital-key-p9994172</t>
  </si>
  <si>
    <t>https://www.loaded.com/es_es/hogwarts-legacy-pc-steam</t>
  </si>
  <si>
    <t>Hogwarts Legacy (Global) (PC) - Steam Account</t>
  </si>
  <si>
    <t>2026-10-27T17:55:40.189Z</t>
  </si>
  <si>
    <t>driffle:3252</t>
  </si>
  <si>
    <t>3252</t>
  </si>
  <si>
    <t>https://www.kinguin.net/es/category/148232/hogwarts-legacy-pc-steam-account</t>
  </si>
  <si>
    <t>https://driffle.com/es/hogwarts-legacy-global-pc-steam-account-p9971523</t>
  </si>
  <si>
    <t>Invincible VS</t>
  </si>
  <si>
    <t>Invincible VS - Deluxe Edition (Global) (PC) - Steam Account</t>
  </si>
  <si>
    <t>2026-10-27T17:59:06.555Z</t>
  </si>
  <si>
    <t>driffle:28661</t>
  </si>
  <si>
    <t>28661</t>
  </si>
  <si>
    <t>https://www.kinguin.net/es/category/440609/invincible-vs-deluxe-edition-pc-steam-account</t>
  </si>
  <si>
    <t>https://driffle.com/es/invincible-vs-deluxe-edition-global-pc-steam-account-p9994203</t>
  </si>
  <si>
    <t>Invincible VS (Global) (PC) - Steam Account</t>
  </si>
  <si>
    <t>2026-10-27T17:57:28.065Z</t>
  </si>
  <si>
    <t>driffle:20159</t>
  </si>
  <si>
    <t>20159</t>
  </si>
  <si>
    <t>https://www.kinguin.net/es/category/440606/invincible-vs-pc-steam-account</t>
  </si>
  <si>
    <t>https://driffle.com/es/invincible-vs-global-pc-steam-account-p9994202</t>
  </si>
  <si>
    <t>It takes two</t>
  </si>
  <si>
    <t>It Takes Two Código de Código de Steam GLOBAL</t>
  </si>
  <si>
    <t>2026-10-27T17:59:19.564Z</t>
  </si>
  <si>
    <t>driffle:68979 | eneba:64108</t>
  </si>
  <si>
    <t>64108</t>
  </si>
  <si>
    <t>68979</t>
  </si>
  <si>
    <t>https://www.kinguin.net/es/category/106598/it-takes-two-steam-cd-key</t>
  </si>
  <si>
    <t>https://www.eneba.com/latam/steam-it-takes-two-steam-key-global</t>
  </si>
  <si>
    <t>https://driffle.com/es/it-takes-two-steam-altergift-p53426</t>
  </si>
  <si>
    <t>It Takes Two (Global) (PC) - Steam Account</t>
  </si>
  <si>
    <t>2026-10-27T17:59:27.645Z</t>
  </si>
  <si>
    <t>driffle:10732</t>
  </si>
  <si>
    <t>10732</t>
  </si>
  <si>
    <t>https://www.kinguin.net/es/category/152047/it-takes-two-steam-account</t>
  </si>
  <si>
    <t>https://driffle.com/es/it-takes-two-global-pc-steam-account-p9945671</t>
  </si>
  <si>
    <t>LEGO Batman: Legacy of the Dark Knight</t>
  </si>
  <si>
    <t>LEGO® Batman™: Legacy of the Dark Knight Deluxe Edition Steam Key (PC) LATAM</t>
  </si>
  <si>
    <t>2026-10-27T18:01:38.603Z</t>
  </si>
  <si>
    <t>eneba:86611 | driffle:109792</t>
  </si>
  <si>
    <t>86611</t>
  </si>
  <si>
    <t>109792</t>
  </si>
  <si>
    <t>https://www.kinguin.net/es/category/464787/lego-batman-legacy-of-the-dark-knight-deluxe-edition-pc-steam-cd-key</t>
  </si>
  <si>
    <t>https://www.eneba.com/latam/steam-lego-r-batmantm-legacy-of-the-dark-knight-deluxe-edition-steam-key-pc-latam</t>
  </si>
  <si>
    <t>https://driffle.com/es/lego-batman-legacy-of-the-dark-knight-deluxe-edition-global-pc-steam-digital-key-p9980733</t>
  </si>
  <si>
    <t>https://www.loaded.com/es_es/lego-batman-legacy-of-the-dark-knight-deluxe-edition-pc-latam-steam</t>
  </si>
  <si>
    <t>LEGO Batman: Legacy of the Dark Knight PC (Latin America) Key</t>
  </si>
  <si>
    <t>2026-10-27T18:00:14.450Z</t>
  </si>
  <si>
    <t>loaded:55292 | eneba:60823 | driffle:87784</t>
  </si>
  <si>
    <t>60823</t>
  </si>
  <si>
    <t>87784</t>
  </si>
  <si>
    <t>55292</t>
  </si>
  <si>
    <t>https://www.kinguin.net/es/category/471797/lego-batman-legacy-of-the-dark-knight-pc-steam-cd-key</t>
  </si>
  <si>
    <t>https://www.eneba.com/latam/steam-lego-r-batmantm-legacy-of-the-dark-knight-steam-key-pc-latam</t>
  </si>
  <si>
    <t>https://driffle.com/es/lego-batman-legacy-of-the-dark-knight-global-pc-steam-digital-key-p9980732</t>
  </si>
  <si>
    <t>https://www.loaded.com/es_es/lego-batman-legacy-of-the-dark-knight-pc-latam-steam</t>
  </si>
  <si>
    <t>Marvel vs. Capcom: Infinite</t>
  </si>
  <si>
    <t>Marvel vs. Capcom Infinite Deluxe Edition (Global) (PC) - Steam - Digital Key</t>
  </si>
  <si>
    <t>2026-10-27T18:04:05.822Z</t>
  </si>
  <si>
    <t>driffle:14265 | eneba:33284</t>
  </si>
  <si>
    <t>33284</t>
  </si>
  <si>
    <t>14265</t>
  </si>
  <si>
    <t>https://www.kinguin.net/es/category/42036/marvel-vs-capcom-infinite-deluxe-edition-steam-cd-key</t>
  </si>
  <si>
    <t>https://www.eneba.com/latam/steam-marvel-vs-capcom-infinite-deluxe-edition-pc-steam-key-latam</t>
  </si>
  <si>
    <t>https://driffle.com/es/marvel-vs-capcom-infinite-deluxe-edition-pc-steam-digital-code-p9879561</t>
  </si>
  <si>
    <t>https://www.loaded.com/es_es/marvel-vs-capcom-infinite-deluxe-edition-pc-steam-cd-key</t>
  </si>
  <si>
    <t>Marvel vs. Capcom: Infinite Steam Key LATAM</t>
  </si>
  <si>
    <t>2026-10-27T18:02:01.650Z</t>
  </si>
  <si>
    <t>driffle:11194 | eneba:7644</t>
  </si>
  <si>
    <t>7644</t>
  </si>
  <si>
    <t>11194</t>
  </si>
  <si>
    <t>https://www.kinguin.net/es/category/40785/marvel-vs-capcom-infinite-steam-cd-key</t>
  </si>
  <si>
    <t>https://www.eneba.com/latam/steam-marvel-vs-capcom-infinite-steam-key-latam</t>
  </si>
  <si>
    <t>https://driffle.com/es/marvel-vs-capcom-infinite-pc-steam-digital-code-p9903799</t>
  </si>
  <si>
    <t>Marvel's Spider-Man 2</t>
  </si>
  <si>
    <t>Marvel's Spider-Man 2 Deluxe Edition (LATAM) (PC) - Steam - Digital Key</t>
  </si>
  <si>
    <t>2026-10-27T18:04:39.412Z</t>
  </si>
  <si>
    <t>driffle:48110</t>
  </si>
  <si>
    <t>48110</t>
  </si>
  <si>
    <t>https://www.kinguin.net/es/category/307365/marvel-s-spider-man-2-deluxe-edition-latam-pc-steam-cd-key</t>
  </si>
  <si>
    <t>https://www.eneba.com/latam/steam-marvels-spider-man-2-digital-deluxe-edition-pc-steam-key-latam</t>
  </si>
  <si>
    <t>https://driffle.com/es/marvels-spider-man-2-deluxe-edition-latam-pc-steam-digital-key-p9930164</t>
  </si>
  <si>
    <t>Marvel's Spider-Man 2 (LATAM) (PC) - Steam - Digital Key</t>
  </si>
  <si>
    <t>2026-10-27T18:04:18.811Z</t>
  </si>
  <si>
    <t>driffle:41440 | eneba:43091</t>
  </si>
  <si>
    <t>43091</t>
  </si>
  <si>
    <t>41440</t>
  </si>
  <si>
    <t>https://www.kinguin.net/es/category/307369/marvel-s-spider-man-2-latam-pc-steam-cd-key</t>
  </si>
  <si>
    <t>https://www.eneba.com/latam/steam-marvels-spider-man-2-pc-steam-key-latam</t>
  </si>
  <si>
    <t>https://driffle.com/es/marvels-spider-man-2-latam-pc-steam-digital-key-p9930167</t>
  </si>
  <si>
    <t>Marvel's Spider-Man 2 (Global) (PC) - Steam Account</t>
  </si>
  <si>
    <t>2026-10-27T18:04:26.842Z</t>
  </si>
  <si>
    <t>driffle:42183</t>
  </si>
  <si>
    <t>42183</t>
  </si>
  <si>
    <t>https://www.kinguin.net/es/category/296645/marvel-s-spider-man-2-pc-steam-account</t>
  </si>
  <si>
    <t>https://driffle.com/es/marvels-spider-man-2-global-pc-steam-account-p9979525</t>
  </si>
  <si>
    <t>Marvel's Spider-Man Remastered</t>
  </si>
  <si>
    <t>Marvel’s Spider-Man Remastered (LATAM) (PC) - Steam - Digital Key</t>
  </si>
  <si>
    <t>2026-10-27T18:05:23.093Z</t>
  </si>
  <si>
    <t>driffle:25838</t>
  </si>
  <si>
    <t>25838</t>
  </si>
  <si>
    <t>https://www.kinguin.net/es/category/322545/marvel-s-spider-man-remastered-latam-pc-steam-cd-key</t>
  </si>
  <si>
    <t>https://www.eneba.com/latam/steam-marvels-spider-man-remastered-pc-steam-key-latam</t>
  </si>
  <si>
    <t>https://driffle.com/es/marvels-spider-man-remastered-latam-pc-steam-digital-key-p9973449</t>
  </si>
  <si>
    <t>https://www.loaded.com/es_es/marvel-s-spider-man-remastered-pc-steam</t>
  </si>
  <si>
    <t>Marvel's Spider-Man: Miles Morales</t>
  </si>
  <si>
    <t>Marvel's Spider-Man: Miles Morales Código de Steam LATAM</t>
  </si>
  <si>
    <t>2026-10-27T18:05:47.871Z</t>
  </si>
  <si>
    <t>driffle:26383 | eneba:23791</t>
  </si>
  <si>
    <t>23791</t>
  </si>
  <si>
    <t>26383</t>
  </si>
  <si>
    <t>https://www.kinguin.net/es/category/136099/marvel-s-spider-man-miles-morales-pc-steam-cd-key</t>
  </si>
  <si>
    <t>https://www.eneba.com/latam/steam-marvels-spider-man-miles-morales-pc-steam-key-latam</t>
  </si>
  <si>
    <t>https://driffle.com/es/marvels-spider-man-miles-morales-pc-steam-digital-code-p9882675</t>
  </si>
  <si>
    <t>https://www.loaded.com/es_es/marvel-s-spider-man-miles-morales-pc-steam</t>
  </si>
  <si>
    <t>Microsoft Flight Simulator 2024</t>
  </si>
  <si>
    <t>Aviator Edition - CD Key (Steam)</t>
  </si>
  <si>
    <t>Microsoft Flight Simulator 2024 - Aviator Edition PC Key</t>
  </si>
  <si>
    <t>2026-10-27T18:07:36.535Z</t>
  </si>
  <si>
    <t>loaded:300465</t>
  </si>
  <si>
    <t>300465</t>
  </si>
  <si>
    <t>https://www.loaded.com/es_es/microsoft-flight-simulator-2024-aviator-edition-pc-steam</t>
  </si>
  <si>
    <t>Deluxe Edition - CD Key (Steam)</t>
  </si>
  <si>
    <t>Microsoft Flight Simulator 2024 - Deluxe Edition PC Key</t>
  </si>
  <si>
    <t>2026-10-27T18:07:08.465Z</t>
  </si>
  <si>
    <t>loaded:151875</t>
  </si>
  <si>
    <t>151875</t>
  </si>
  <si>
    <t>https://www.loaded.com/es_es/microsoft-flight-simulator-2024-deluxe-edition-pc-steam</t>
  </si>
  <si>
    <t>Microsoft Flight Simulator 2024 - Deluxe Edition (Global) (PC) - Steam Account</t>
  </si>
  <si>
    <t>2026-10-27T18:07:16.205Z</t>
  </si>
  <si>
    <t>driffle:149746</t>
  </si>
  <si>
    <t>149746</t>
  </si>
  <si>
    <t>https://www.kinguin.net/es/category/274086/microsoft-flight-simulator-2024-deluxe-edition-pc-steam-account</t>
  </si>
  <si>
    <t>https://driffle.com/es/microsoft-flight-simulator-2024-deluxe-edition-global-pc-steam-account-p9971541</t>
  </si>
  <si>
    <t>Microsoft Flight Simulator 2024 - Premium Deluxe Edition (Global) (PC) - Steam Account</t>
  </si>
  <si>
    <t>2026-10-27T18:07:30.235Z</t>
  </si>
  <si>
    <t>driffle:192853</t>
  </si>
  <si>
    <t>192853</t>
  </si>
  <si>
    <t>https://www.kinguin.net/es/category/274118/microsoft-flight-simulator-2024-premium-deluxe-edition-pc-steam-account</t>
  </si>
  <si>
    <t>https://driffle.com/es/microsoft-flight-simulator-2024-premium-deluxe-edition-global-pc-steam-account-p9971543</t>
  </si>
  <si>
    <t>Edicion estandar - CD Key (Steam)</t>
  </si>
  <si>
    <t>Microsoft Flight Simulator 2024 PC Key</t>
  </si>
  <si>
    <t>2026-10-27T18:05:57.674Z</t>
  </si>
  <si>
    <t>loaded:107298</t>
  </si>
  <si>
    <t>107298</t>
  </si>
  <si>
    <t>https://www.loaded.com/es_es/microsoft-flight-simulator-2024-pc-steam</t>
  </si>
  <si>
    <t>Microsoft Flight Simulator 2024 (Global) (PC) - Steam Account</t>
  </si>
  <si>
    <t>2026-10-27T18:06:05.432Z</t>
  </si>
  <si>
    <t>driffle:59981</t>
  </si>
  <si>
    <t>59981</t>
  </si>
  <si>
    <t>https://www.kinguin.net/es/category/274084/microsoft-flight-simulator-2024-pc-steam-account</t>
  </si>
  <si>
    <t>https://driffle.com/es/microsoft-flight-simulator-2024-global-pc-steam-account-p9971540</t>
  </si>
  <si>
    <t>Premium Deluxe - CD Key (Steam)</t>
  </si>
  <si>
    <t>Microsoft Flight Simulator 2024 - Premium Deluxe Edition PC Key</t>
  </si>
  <si>
    <t>2026-10-27T18:07:22.441Z</t>
  </si>
  <si>
    <t>loaded:196452</t>
  </si>
  <si>
    <t>196452</t>
  </si>
  <si>
    <t>https://www.loaded.com/es_es/microsoft-flight-simulator-2024-premium-deluxe-edition-pc-steam</t>
  </si>
  <si>
    <t>Monster Hunter Wilds</t>
  </si>
  <si>
    <t>Monster Hunter Wilds (PC) Código de Steam LATAM</t>
  </si>
  <si>
    <t>2026-10-27T18:07:52.416Z</t>
  </si>
  <si>
    <t>eneba:41836</t>
  </si>
  <si>
    <t>41836</t>
  </si>
  <si>
    <t>https://www.kinguin.net/es/category/320762/monster-hunter-wilds-latam-pc-steam-cd-key</t>
  </si>
  <si>
    <t>https://www.eneba.com/latam/steam-monster-hunter-wilds-pc-steam-key-latam</t>
  </si>
  <si>
    <t>https://driffle.com/es/monster-hunter-wilds-global-pc-steam-digital-key-p9925652</t>
  </si>
  <si>
    <t>Monster Hunter Wilds (Global) (PC) - Steam Account</t>
  </si>
  <si>
    <t>2026-10-27T18:08:00.281Z</t>
  </si>
  <si>
    <t>https://www.kinguin.net/es/category/273198/monster-hunter-wilds-pc-steam-account</t>
  </si>
  <si>
    <t>https://driffle.com/es/monster-hunter-wilds-global-pc-steam-account-p9979523</t>
  </si>
  <si>
    <t>Mortal Kombat 1</t>
  </si>
  <si>
    <t>Definitive Edition - CD Key LATAM (Steam)</t>
  </si>
  <si>
    <t>Mortal Kombat 1 Definitive Edition Steam Key (PC) LATAM</t>
  </si>
  <si>
    <t>2026-10-27T18:10:02.653Z</t>
  </si>
  <si>
    <t>eneba:21232 | driffle:23659 | loaded:24253</t>
  </si>
  <si>
    <t>21232</t>
  </si>
  <si>
    <t>23659</t>
  </si>
  <si>
    <t>24253</t>
  </si>
  <si>
    <t>https://www.kinguin.net/es/category/451660/mortal-kombat-1-definitive-edition-latam-pc-steam-cd-key</t>
  </si>
  <si>
    <t>https://www.eneba.com/latam/steam-mortal-kombat-1-definitive-edition-steam-key-pc-latam</t>
  </si>
  <si>
    <t>https://driffle.com/es/mortal-kombat-1-definitive-edition-global-pc-steam-digital-key-p9948991</t>
  </si>
  <si>
    <t>https://www.loaded.com/es_es/mortal-kombat-1-definitive-edition-pc-steam</t>
  </si>
  <si>
    <t>Mortal Kombat 1 (PC) Código de Steam LATAM</t>
  </si>
  <si>
    <t>2026-10-27T18:09:11.952Z</t>
  </si>
  <si>
    <t>driffle:15833 | eneba:12812</t>
  </si>
  <si>
    <t>12812</t>
  </si>
  <si>
    <t>15833</t>
  </si>
  <si>
    <t>https://www.kinguin.net/es/category/275778/mortal-kombat-1-latam-pc-steam-cd-key</t>
  </si>
  <si>
    <t>https://www.eneba.com/latam/steam-mortal-kombat-1-pc-steam-key-latam</t>
  </si>
  <si>
    <t>https://driffle.com/es/mortal-kombat-1-latam-pc-steam-digital-key-p9919803</t>
  </si>
  <si>
    <t>https://www.loaded.com/es_es/mortal-kombat-11-pc-steam-cd-key</t>
  </si>
  <si>
    <t>NBA 2K26</t>
  </si>
  <si>
    <t>NBA 2K26 (Global) (PC) - Steam - Digital Key</t>
  </si>
  <si>
    <t>2026-10-27T18:11:21.924Z</t>
  </si>
  <si>
    <t>driffle:21546 | eneba:22272 | loaded:99043</t>
  </si>
  <si>
    <t>22272</t>
  </si>
  <si>
    <t>99043</t>
  </si>
  <si>
    <t>https://www.kinguin.net/es/category/369993/nba-2k26-standard-edition-pc-steam-cd-key</t>
  </si>
  <si>
    <t>https://www.eneba.com/latam/steam-nba-2k26-steam-key-pc-global</t>
  </si>
  <si>
    <t>https://driffle.com/es/nba-2k26-global-pc-steam-digital-key-p9949948</t>
  </si>
  <si>
    <t>https://www.loaded.com/es_es/nba-2k26-standard-edition-pc-steam</t>
  </si>
  <si>
    <t>NBA 2K26 (Global) (PC) - Steam Account</t>
  </si>
  <si>
    <t>2026-10-27T18:11:29.884Z</t>
  </si>
  <si>
    <t>driffle:21166</t>
  </si>
  <si>
    <t>21166</t>
  </si>
  <si>
    <t>https://www.kinguin.net/es/category/371701/nba-2k26-standard-edition-pc-steam-account</t>
  </si>
  <si>
    <t>https://driffle.com/es/nba-2k26-global-pc-steam-account-p9979521</t>
  </si>
  <si>
    <t>Slam Edition - CD Key LATAM (Steam)</t>
  </si>
  <si>
    <t>NBA 2K26 Slam Edition Steam Key (PC) GLOBAL</t>
  </si>
  <si>
    <t>2026-10-27T18:11:48.774Z</t>
  </si>
  <si>
    <t>eneba:33614 | driffle:33812 | loaded:112582</t>
  </si>
  <si>
    <t>33614</t>
  </si>
  <si>
    <t>33812</t>
  </si>
  <si>
    <t>112582</t>
  </si>
  <si>
    <t>https://www.kinguin.net/es/category/410112/nba-2k26-slam-edition-pc-steam-cd-key</t>
  </si>
  <si>
    <t>https://www.eneba.com/latam/steam-nba-2k26-slam-edition-steam-key-pc-global</t>
  </si>
  <si>
    <t>https://driffle.com/es/nba-2k26-slam-edition-global-pc-steam-digital-key-p9970529</t>
  </si>
  <si>
    <t>https://www.loaded.com/es_es/nba-2k26-slam-edition-pc-steam</t>
  </si>
  <si>
    <t>Slam Edition - Cuenta Steam</t>
  </si>
  <si>
    <t>NBA 2K26 SLAM Edition (Global) (PC) - Steam Account</t>
  </si>
  <si>
    <t>2026-10-27T18:11:56.681Z</t>
  </si>
  <si>
    <t>driffle:29933</t>
  </si>
  <si>
    <t>29933</t>
  </si>
  <si>
    <t>https://www.kinguin.net/es/category/426616/nba-2k26-slam-edition-pc-steam-account</t>
  </si>
  <si>
    <t>https://driffle.com/es/nba-2k26-slam-edition-global-pc-steam-account-p9977089</t>
  </si>
  <si>
    <t>Superstar Edition - CD Key LATAM (Steam)</t>
  </si>
  <si>
    <t>NBA 2K26 Superstar Edition (Global) (PC) - Steam - Digital Key</t>
  </si>
  <si>
    <t>2026-10-27T18:12:15.447Z</t>
  </si>
  <si>
    <t>driffle:47400 | eneba:50009 | loaded:140649</t>
  </si>
  <si>
    <t>50009</t>
  </si>
  <si>
    <t>47400</t>
  </si>
  <si>
    <t>140649</t>
  </si>
  <si>
    <t>https://www.kinguin.net/es/category/372374/nba-2k26-superstar-edition-pc-steam-cd-key</t>
  </si>
  <si>
    <t>https://www.eneba.com/latam/steam-nba-2k26-superstar-edition-steam-key-pc-global</t>
  </si>
  <si>
    <t>https://driffle.com/es/nba-2k26-superstar-edition-global-pc-steam-digital-key-p9949949</t>
  </si>
  <si>
    <t>https://www.loaded.com/es_es/nba-2k26-superstar-edition-pc-steam</t>
  </si>
  <si>
    <t>NieR: Automata</t>
  </si>
  <si>
    <t>(Game of the YoRHa Edition - CD Key LATAM (Steam)</t>
  </si>
  <si>
    <t>NieR: Automata (Game of the YoRHa Edition) Código de Steam (PC) LATAM</t>
  </si>
  <si>
    <t>2026-10-27T18:12:37.829Z</t>
  </si>
  <si>
    <t>driffle:22520 | loaded:24253 | eneba:18722</t>
  </si>
  <si>
    <t>18722</t>
  </si>
  <si>
    <t>22520</t>
  </si>
  <si>
    <t>https://www.kinguin.net/es/category/389320/nier-automata-game-of-the-yorha-edition-latam-pc-steam-cd-key</t>
  </si>
  <si>
    <t>https://www.eneba.com/latam/steam-nier-automata-game-of-the-yorha-edition-steam-key-pc-latam</t>
  </si>
  <si>
    <t>https://driffle.com/es/nier-automata-game-of-the-yorha-edition-pc-steam-digital-code-p221997</t>
  </si>
  <si>
    <t>https://www.loaded.com/es_es/nier-automata-game-of-the-yorha-edition-steam-pc</t>
  </si>
  <si>
    <t>(Game of the YoRHa Edition - Cuenta Steam</t>
  </si>
  <si>
    <t>NieR Automata Game of the YoRHa Edition (Global) (PC) - Steam Account</t>
  </si>
  <si>
    <t>2026-10-27T18:12:45.674Z</t>
  </si>
  <si>
    <t>driffle:7842</t>
  </si>
  <si>
    <t>7842</t>
  </si>
  <si>
    <t>https://www.kinguin.net/es/category/156126/nier-automata-game-of-the-yorha-edition-steam-account</t>
  </si>
  <si>
    <t>https://driffle.com/es/nier-automata-game-of-the-yorha-edition-global-pc-steam-account-p9979549</t>
  </si>
  <si>
    <t>Persona 3 Reload</t>
  </si>
  <si>
    <t>Persona 3 Reload Deluxe Edition (Global) (PC) - Steam - Digital Key</t>
  </si>
  <si>
    <t>2026-10-27T18:14:13.082Z</t>
  </si>
  <si>
    <t>driffle:46839</t>
  </si>
  <si>
    <t>46839</t>
  </si>
  <si>
    <t>https://www.kinguin.net/es/category/213135/persona-3-reload-deluxe-edition-steam-cd-key</t>
  </si>
  <si>
    <t>https://www.eneba.com/latam/steam-persona-3-reload-digital-deluxe-edition-pc-steam-key-global</t>
  </si>
  <si>
    <t>https://driffle.com/es/persona-3-reload-deluxe-edition-pc-steam-digital-code-p9889103</t>
  </si>
  <si>
    <t>https://www.loaded.com/es_es/persona-3-reload-digital-premium-edition-pc-steam-ww</t>
  </si>
  <si>
    <t>Persona 3 Reload (PC) Código de Steam GLOBAL</t>
  </si>
  <si>
    <t>2026-10-27T18:13:22.830Z</t>
  </si>
  <si>
    <t>driffle:23312 | loaded:24253 | eneba:22982</t>
  </si>
  <si>
    <t>22982</t>
  </si>
  <si>
    <t>23312</t>
  </si>
  <si>
    <t>https://www.kinguin.net/es/category/213128/persona-3-reload-pc-steam-cd-key</t>
  </si>
  <si>
    <t>https://www.eneba.com/latam/steam-persona-3-reload-pc-steam-key-global</t>
  </si>
  <si>
    <t>https://driffle.com/es/persona-3-reload-pc-steam-digital-code-p9889101</t>
  </si>
  <si>
    <t>https://www.loaded.com/es_es/persona-3-reload-pc-steam-ww</t>
  </si>
  <si>
    <t>PRAGMATA</t>
  </si>
  <si>
    <t>PRAGMATA Deluxe Edition (LATAM) (PC) - Steam - Digital Key</t>
  </si>
  <si>
    <t>2026-10-27T18:17:44.823Z</t>
  </si>
  <si>
    <t>driffle:67262 | eneba:67328 | loaded:77415</t>
  </si>
  <si>
    <t>67328</t>
  </si>
  <si>
    <t>77415</t>
  </si>
  <si>
    <t>https://www.kinguin.net/es/category/475524/pragmata-deluxe-edition-latam-pc-steam-cd-key</t>
  </si>
  <si>
    <t>https://www.eneba.com/latam/steam-pragmata-deluxe-edition-steam-key-pc-latam</t>
  </si>
  <si>
    <t>https://driffle.com/es/pragmata-deluxe-edition-latam-pc-steam-digital-key-p9987966</t>
  </si>
  <si>
    <t>https://www.loaded.com/es_es/pragmata-deluxe-edition-pc-steam-latam</t>
  </si>
  <si>
    <t>PRAGMATA Steam Key (PC) LATAM</t>
  </si>
  <si>
    <t>2026-10-27T18:15:53.823Z</t>
  </si>
  <si>
    <t>eneba:54466 | driffle:57455 | loaded:66354</t>
  </si>
  <si>
    <t>54466</t>
  </si>
  <si>
    <t>57455</t>
  </si>
  <si>
    <t>66354</t>
  </si>
  <si>
    <t>https://www.kinguin.net/es/category/475522/pragmata-latam-pc-steam-cd-key</t>
  </si>
  <si>
    <t>https://www.eneba.com/latam/steam-pragmata-steam-key-pc-latam</t>
  </si>
  <si>
    <t>https://driffle.com/es/pragmata-latam-steam-digital-key-p9987965</t>
  </si>
  <si>
    <t>https://www.loaded.com/es_es/pragmata-pc-steam-latam</t>
  </si>
  <si>
    <t>Ready Or Not</t>
  </si>
  <si>
    <t>Ready or Not (LATAM) (PC) - Steam - Digital Key</t>
  </si>
  <si>
    <t>2026-10-27T18:18:37.537Z</t>
  </si>
  <si>
    <t>driffle:16906 | loaded:18805 | eneba:18029</t>
  </si>
  <si>
    <t>18029</t>
  </si>
  <si>
    <t>16906</t>
  </si>
  <si>
    <t>18805</t>
  </si>
  <si>
    <t>https://www.kinguin.net/es/category/146495/ready-or-not-latam-pc-steam-cd-key</t>
  </si>
  <si>
    <t>https://www.eneba.com/latam/steam-ready-or-not-pc-steam-key-latam</t>
  </si>
  <si>
    <t>https://driffle.com/es/ready-or-not-latam-pc-steam-digital-code-p9895584</t>
  </si>
  <si>
    <t>https://www.loaded.com/es_es/ready-or-not-pc-steam-latam</t>
  </si>
  <si>
    <t>Ready or Not (Global) (PC) - Steam Account</t>
  </si>
  <si>
    <t>2026-10-27T18:18:45.567Z</t>
  </si>
  <si>
    <t>driffle:11359</t>
  </si>
  <si>
    <t>11359</t>
  </si>
  <si>
    <t>https://www.kinguin.net/es/category/133263/ready-or-not-pc-steam-account</t>
  </si>
  <si>
    <t>https://driffle.com/es/ready-or-not-global-pc-steam-account-p9943438</t>
  </si>
  <si>
    <t>RESIDENT EVIL 2</t>
  </si>
  <si>
    <t>Resident Evil 2 / Biohazard RE:2 (Deluxe Edition) Steam Key LATAM</t>
  </si>
  <si>
    <t>2026-10-27T18:19:46.176Z</t>
  </si>
  <si>
    <t>eneba:14116 | driffle:22866</t>
  </si>
  <si>
    <t>14116</t>
  </si>
  <si>
    <t>22866</t>
  </si>
  <si>
    <t>https://www.kinguin.net/es/category/170954/resident-evil-2-biohazard-re-2-deluxe-edition-latam-steam-cd-key</t>
  </si>
  <si>
    <t>https://www.eneba.com/latam/steam-resident-evil-2-biohazard-re-2-deluxe-edition-steam-key-latam</t>
  </si>
  <si>
    <t>https://driffle.com/es/resident-evil-2-biohazard-re2-deluxe-edition-latam-pc-steam-digital-code-p9887140</t>
  </si>
  <si>
    <t>Resident Evil 2 / Biohazard RE:2 Código de Steam LATAM</t>
  </si>
  <si>
    <t>2026-10-27T18:19:30.369Z</t>
  </si>
  <si>
    <t>driffle:14842 | eneba:11458</t>
  </si>
  <si>
    <t>11458</t>
  </si>
  <si>
    <t>14842</t>
  </si>
  <si>
    <t>https://www.kinguin.net/es/category/326609/resident-evil-2-biohazard-re-2-latam-pc-steam-cd-key</t>
  </si>
  <si>
    <t>https://www.eneba.com/latam/steam-resident-evil-2-biohazard-re-2-steam-key-latam</t>
  </si>
  <si>
    <t>https://driffle.com/es/resident-evil-2-biohazard-re-2-latam-pc-steam-digital-code-p9887138</t>
  </si>
  <si>
    <t>Resident Evil 3</t>
  </si>
  <si>
    <t>Resident Evil 3 Código de Steam LATAM</t>
  </si>
  <si>
    <t>2026-10-27T18:19:58.651Z</t>
  </si>
  <si>
    <t>driffle:13340 | eneba:10665</t>
  </si>
  <si>
    <t>10665</t>
  </si>
  <si>
    <t>13340</t>
  </si>
  <si>
    <t>https://www.kinguin.net/es/category/71701/resident-evil-3-steam-cd-key</t>
  </si>
  <si>
    <t>https://www.eneba.com/latam/steam-resident-evil-3-steam-key-latam</t>
  </si>
  <si>
    <t>https://driffle.com/es/resident-evil-3-p9879598</t>
  </si>
  <si>
    <t>Resident Evil 3 (Global) (PC) - Steam Account</t>
  </si>
  <si>
    <t>2026-10-27T18:20:06.510Z</t>
  </si>
  <si>
    <t>driffle:11408</t>
  </si>
  <si>
    <t>11408</t>
  </si>
  <si>
    <t>https://www.kinguin.net/es/category/165389/resident-evil-3-steam-account</t>
  </si>
  <si>
    <t>https://driffle.com/es/resident-evil-3-global-pc-steam-account-p9997169</t>
  </si>
  <si>
    <t>Resident Evil 4 (2023)</t>
  </si>
  <si>
    <t>Resident Evil 4 Remake (Global) (PC) - Steam - Digital Key</t>
  </si>
  <si>
    <t>2026-10-27T18:20:43.372Z</t>
  </si>
  <si>
    <t>driffle:19201</t>
  </si>
  <si>
    <t>19201</t>
  </si>
  <si>
    <t>https://www.kinguin.net/es/category/286215/resident-evil-4-2023-latam-pc-steam-cd-key</t>
  </si>
  <si>
    <t>https://www.eneba.com/latam/steam-resident-evil-4-pc-steam-key-latam</t>
  </si>
  <si>
    <t>https://driffle.com/es/resident-evil-4-remake-pc-steam-digital-code-p9883809</t>
  </si>
  <si>
    <t>Gold Edition - CD Key LATAM (Steam)</t>
  </si>
  <si>
    <t>Resident Evil 4 Gold Edition (PC) Steam Key LATAM</t>
  </si>
  <si>
    <t>2026-10-27T18:20:54.596Z</t>
  </si>
  <si>
    <t>eneba:24402</t>
  </si>
  <si>
    <t>24402</t>
  </si>
  <si>
    <t>https://www.kinguin.net/es/category/325062/resident-evil-4-2023-gold-edition-latam-pc-steam-cd-key</t>
  </si>
  <si>
    <t>https://www.eneba.com/latam/steam-resident-evil-4-gold-edition-pc-steam-key-latam</t>
  </si>
  <si>
    <t>Resident Evil 7 Gold Edition &amp; Village Gold Edition</t>
  </si>
  <si>
    <t>Gold Edition Bundle - CD Key LATAM (Steam)</t>
  </si>
  <si>
    <t>Resident Evil 7 Gold Edition &amp; Village Gold Edition (PC) Steam Key LATAM</t>
  </si>
  <si>
    <t>2026-10-27T18:21:10.150Z</t>
  </si>
  <si>
    <t>eneba:29982</t>
  </si>
  <si>
    <t>29982</t>
  </si>
  <si>
    <t>https://www.kinguin.net/es/category/154024/resident-evil-7-gold-edition-village-gold-edition-bundle-pc-steam-cd-key</t>
  </si>
  <si>
    <t>https://www.eneba.com/latam/steam-resident-evil-7-gold-edition-village-gold-edition-pc-steam-key-latam</t>
  </si>
  <si>
    <t>https://driffle.com/es/resident-evil-7-gold-edition-and-village-gold-edition-pc-steam-digital-code-p9905289</t>
  </si>
  <si>
    <t>Resident Evil 7: Biohazard</t>
  </si>
  <si>
    <t>Resident Evil 7 Biohazard (Global) (PC) - Steam - Digital Key</t>
  </si>
  <si>
    <t>2026-10-27T18:21:25.877Z</t>
  </si>
  <si>
    <t>driffle:10005 | eneba:15503</t>
  </si>
  <si>
    <t>15503</t>
  </si>
  <si>
    <t>10005</t>
  </si>
  <si>
    <t>https://www.kinguin.net/es/category/326624/resident-evil-7-biohazard-latam-pc-steam-cd-key</t>
  </si>
  <si>
    <t>https://www.eneba.com/latam/steam-resident-evil-7-biohazard-steam-key-latam</t>
  </si>
  <si>
    <t>https://driffle.com/es/resident-evil-7-biohazard-steam-cd-key-p935891</t>
  </si>
  <si>
    <t>Resident Evil 7 Biohazard Gold Edition (Global) (PC) - Steam - Digital Key</t>
  </si>
  <si>
    <t>2026-10-27T18:21:41.622Z</t>
  </si>
  <si>
    <t>driffle:15123 | eneba:17699</t>
  </si>
  <si>
    <t>17699</t>
  </si>
  <si>
    <t>15123</t>
  </si>
  <si>
    <t>https://www.kinguin.net/es/category/326593/resident-evil-7-biohazard-gold-edition-latam-pc-steam-cd-key</t>
  </si>
  <si>
    <t>https://www.eneba.com/latam/steam-resident-evil-7-biohazard-gold-edition-steam-key-latam</t>
  </si>
  <si>
    <t>https://driffle.com/es/resident-evil-7-biohazard-gold-edition-pc-steam-digital-code-p9879852</t>
  </si>
  <si>
    <t>Resident Evil Requiem</t>
  </si>
  <si>
    <t>Resident Evil Requiem Deluxe Edition Steam Key (PC) LATAM</t>
  </si>
  <si>
    <t>2026-10-27T18:24:24.924Z</t>
  </si>
  <si>
    <t>eneba:66618 | driffle:67064</t>
  </si>
  <si>
    <t>67064</t>
  </si>
  <si>
    <t>https://www.kinguin.net/es/category/428464/resident-evil-requiem-deluxe-edition-latam-pc-steam-cd-key</t>
  </si>
  <si>
    <t>https://www.eneba.com/latam/steam-resident-evil-requiem-deluxe-edition-steam-key-pc-latam</t>
  </si>
  <si>
    <t>https://driffle.com/es/resident-evil-requiem-deluxe-edition-latam-pc-steam-digital-key-p9977705</t>
  </si>
  <si>
    <t>https://www.loaded.com/es_es/resident-evil-requiem-deluxe-edition-pc-latam-steam</t>
  </si>
  <si>
    <t>Resident Evil Requiem Steam Key (PC) LATAM</t>
  </si>
  <si>
    <t>2026-10-27T18:22:38.494Z</t>
  </si>
  <si>
    <t>eneba:58792 | driffle:59370</t>
  </si>
  <si>
    <t>58792</t>
  </si>
  <si>
    <t>59370</t>
  </si>
  <si>
    <t>https://www.kinguin.net/es/category/428086/resident-evil-requiem-latam-pc-steam-cd-key</t>
  </si>
  <si>
    <t>https://www.eneba.com/latam/steam-resident-evil-requiem-steam-key-pc-latam</t>
  </si>
  <si>
    <t>https://driffle.com/es/resident-evil-requiem-latam-pc-steam-digital-key-p9977704</t>
  </si>
  <si>
    <t>https://www.loaded.com/es_es/resident-evil-requiem-pc-latam-steam</t>
  </si>
  <si>
    <t>Resident Evil Village</t>
  </si>
  <si>
    <t>Resident Evil Village / Resident Evil 8 Código de Steam LATAM</t>
  </si>
  <si>
    <t>2026-10-27T18:25:02.840Z</t>
  </si>
  <si>
    <t>driffle:38815 | eneba:15338</t>
  </si>
  <si>
    <t>15338</t>
  </si>
  <si>
    <t>38815</t>
  </si>
  <si>
    <t>https://www.kinguin.net/es/category/85671/resident-evil-village-steam-cd-key</t>
  </si>
  <si>
    <t>https://www.eneba.com/latam/steam-resident-evil-village-resident-evil-8-steam-key-latam</t>
  </si>
  <si>
    <t>https://driffle.com/es/resident-evil-village-resident-evil-8-latam-pc-steam-digital-key-p9931713</t>
  </si>
  <si>
    <t>https://www.loaded.com/es_es/resident-evil-village-pc-steam-ww</t>
  </si>
  <si>
    <t>Resident Evil Village / Resident Evil 8 Gold Edition (PC) Steam Key LATAM</t>
  </si>
  <si>
    <t>2026-10-27T18:26:48.739Z</t>
  </si>
  <si>
    <t>eneba:21480 | driffle:35084</t>
  </si>
  <si>
    <t>21480</t>
  </si>
  <si>
    <t>35084</t>
  </si>
  <si>
    <t>https://www.kinguin.net/es/category/326599/resident-evil-village-gold-edition-latam-pc-steam-cd-key</t>
  </si>
  <si>
    <t>https://www.eneba.com/latam/steam-resident-evil-village-resident-evil-8-gold-edition-pc-steam-key-latam</t>
  </si>
  <si>
    <t>https://driffle.com/es/resident-evil-village-resident-evil-8-gold-edition-latam-pc-steam-digital-key-p9978713</t>
  </si>
  <si>
    <t>https://www.loaded.com/es_es/resident-evil-village-gold-edition-pc-steam</t>
  </si>
  <si>
    <t>Resident Evil: Raccoon City Edition (Resident Evil 2, Resident Evil 3, RESIDENT EVIL RESISTANCE)</t>
  </si>
  <si>
    <t>Resident Evil: Raccoon City Edition (PC) Steam Key GLOBAL</t>
  </si>
  <si>
    <t>2026-10-27T18:27:04.504Z</t>
  </si>
  <si>
    <t>driffle:13505 | eneba:13274</t>
  </si>
  <si>
    <t>13274</t>
  </si>
  <si>
    <t>13505</t>
  </si>
  <si>
    <t>https://www.kinguin.net/es/category/80572/resident-evil-raccoon-city-edition-pc-steam-cd-key</t>
  </si>
  <si>
    <t>https://www.eneba.com/latam/steam-resident-evil-raccoon-city-edition-pc-steam-key-global</t>
  </si>
  <si>
    <t>https://driffle.com/es/resident-evil-raccoon-city-edition-global-pc-steam-digital-key-p9960425</t>
  </si>
  <si>
    <t>Sea of Thieves</t>
  </si>
  <si>
    <t>2026 Edition - Cuenta Steam</t>
  </si>
  <si>
    <t>Sea of Thieves 2026 Edition (Global) (PC) - Steam Account</t>
  </si>
  <si>
    <t>2026-10-27T18:27:12.524Z</t>
  </si>
  <si>
    <t>driffle:13258</t>
  </si>
  <si>
    <t>13258</t>
  </si>
  <si>
    <t>https://www.kinguin.net/es/category/491050/sea-of-thieves-2026-edition-pc-steam-account</t>
  </si>
  <si>
    <t>https://driffle.com/es/sea-of-thieves-2026-edition-global-pc-steam-account-p9992474</t>
  </si>
  <si>
    <t>Sea of Thieves 2026 Deluxe Edition (Global) (PC) - Steam Account</t>
  </si>
  <si>
    <t>2026-10-27T18:27:20.505Z</t>
  </si>
  <si>
    <t>driffle:51775</t>
  </si>
  <si>
    <t>51775</t>
  </si>
  <si>
    <t>https://www.kinguin.net/es/category/491052/sea-of-thieves-2026-deluxe-edition-pc-steam-account</t>
  </si>
  <si>
    <t>https://driffle.com/es/sea-of-thieves-2026-deluxe-edition-global-pc-steam-account-p9992475</t>
  </si>
  <si>
    <t>Sea of Thieves 2026 Premium Edition (Global) (PC) - Steam Account</t>
  </si>
  <si>
    <t>2026-10-27T18:27:28.415Z</t>
  </si>
  <si>
    <t>driffle:60905</t>
  </si>
  <si>
    <t>60905</t>
  </si>
  <si>
    <t>https://www.kinguin.net/es/category/491059/sea-of-thieves-2026-premium-edition-pc-steam-account</t>
  </si>
  <si>
    <t>https://driffle.com/es/sea-of-thieves-2026-premium-edition-global-pc-steam-account-p9992476</t>
  </si>
  <si>
    <t>SILENT HILL 2</t>
  </si>
  <si>
    <t>SILENT HILL 2 PC Key</t>
  </si>
  <si>
    <t>2026-10-27T18:27:47.450Z</t>
  </si>
  <si>
    <t>driffle:36388 | loaded:33169 | eneba:33433</t>
  </si>
  <si>
    <t>33433</t>
  </si>
  <si>
    <t>36388</t>
  </si>
  <si>
    <t>33169</t>
  </si>
  <si>
    <t>https://www.kinguin.net/es/category/278941/silent-hill-2-latam-pc-steam-cd-key</t>
  </si>
  <si>
    <t>https://www.eneba.com/latam/steam-silent-hill-2-pc-steam-key-global</t>
  </si>
  <si>
    <t>https://driffle.com/es/silent-hill-2-pc-steam-digital-key-p9908068</t>
  </si>
  <si>
    <t>https://www.loaded.com/es_es/silent-hill-2-pc-steam</t>
  </si>
  <si>
    <t>Silent Hill 2 (Global) (PC) - Steam Account</t>
  </si>
  <si>
    <t>2026-10-27T18:27:55.398Z</t>
  </si>
  <si>
    <t>driffle:21645</t>
  </si>
  <si>
    <t>21645</t>
  </si>
  <si>
    <t>https://www.kinguin.net/es/category/272532/silent-hill-2-pc-steam-account</t>
  </si>
  <si>
    <t>https://driffle.com/es/silent-hill-2-global-pc-steam-account-p9962323</t>
  </si>
  <si>
    <t>SILENT HILL f</t>
  </si>
  <si>
    <t>SILENT HILL f Steam Key (PC) LATAM</t>
  </si>
  <si>
    <t>2026-10-27T18:28:58.562Z</t>
  </si>
  <si>
    <t>eneba:42926 | driffle:45766</t>
  </si>
  <si>
    <t>42926</t>
  </si>
  <si>
    <t>https://www.kinguin.net/es/category/392619/silent-hill-f-latam-pc-steam-cd-key</t>
  </si>
  <si>
    <t>https://www.eneba.com/latam/steam-silent-hill-f-steam-key-pc-latam</t>
  </si>
  <si>
    <t>https://driffle.com/es/silent-hill-f-latam-pc-steam-digital-key-p9963231</t>
  </si>
  <si>
    <t>SILENT HILL f (Global) (PC) - Steam Account</t>
  </si>
  <si>
    <t>2026-10-27T18:29:06.430Z</t>
  </si>
  <si>
    <t>driffle:20225</t>
  </si>
  <si>
    <t>20225</t>
  </si>
  <si>
    <t>https://www.kinguin.net/es/category/347319/silent-hill-f-pc-steam-account</t>
  </si>
  <si>
    <t>https://driffle.com/es/silent-hill-f-global-pc-steam-account-p9964460</t>
  </si>
  <si>
    <t>SILENT HILL: Townfall</t>
  </si>
  <si>
    <t>SILENT HILL: Townfall - Deluxe Edition PC Key</t>
  </si>
  <si>
    <t>2026-10-27T18:30:49.402Z</t>
  </si>
  <si>
    <t>eneba:70778 | loaded:68500</t>
  </si>
  <si>
    <t>70778</t>
  </si>
  <si>
    <t>68500</t>
  </si>
  <si>
    <t>https://www.eneba.com/latam/steam-silent-hill-townfall-deluxe-edition-steam-key-pc-global</t>
  </si>
  <si>
    <t>https://www.loaded.com/es_es/silent-hill-townfall-deluxe-edition-pc-steam</t>
  </si>
  <si>
    <t>SILENT HILL: Townfall PC Key</t>
  </si>
  <si>
    <t>2026-10-27T18:30:38.048Z</t>
  </si>
  <si>
    <t>eneba:83557 | loaded:63052</t>
  </si>
  <si>
    <t>83557</t>
  </si>
  <si>
    <t>https://www.kinguin.net/es/category/566817/silent-hill-townfall-pre-order-pc-steam-cd-key</t>
  </si>
  <si>
    <t>https://www.eneba.com/latam/steam-silent-hill-townfall-steam-key-pc-global</t>
  </si>
  <si>
    <t>https://www.loaded.com/es_es/silent-hill-townfall-pc-steam</t>
  </si>
  <si>
    <t>Split Fiction</t>
  </si>
  <si>
    <t>Split Fiction Steam Key (PC) GLOBAL</t>
  </si>
  <si>
    <t>2026-10-27T18:31:03.735Z</t>
  </si>
  <si>
    <t>eneba:66321 | driffle:78835</t>
  </si>
  <si>
    <t>66321</t>
  </si>
  <si>
    <t>78835</t>
  </si>
  <si>
    <t>https://www.kinguin.net/es/category/321035/split-fiction-pc-steam-cd-key</t>
  </si>
  <si>
    <t>https://www.eneba.com/latam/steam-split-fiction-steam-key-pc-global</t>
  </si>
  <si>
    <t>https://driffle.com/es/split-fiction-global-pc-steam-digital-key-p9929426</t>
  </si>
  <si>
    <t>Split Fiction (Global) (PC) - Steam Account</t>
  </si>
  <si>
    <t>2026-10-27T18:31:11.613Z</t>
  </si>
  <si>
    <t>driffle:28926</t>
  </si>
  <si>
    <t>28926</t>
  </si>
  <si>
    <t>https://www.kinguin.net/es/category/305795/split-fiction-pc-steam-account</t>
  </si>
  <si>
    <t>https://driffle.com/es/split-fiction-global-pc-steam-account-p9945656</t>
  </si>
  <si>
    <t>STAR WARS Jedi: Survivor</t>
  </si>
  <si>
    <t>Star Wars Jedi Survivor (Global) (PC) - Steam Account</t>
  </si>
  <si>
    <t>2026-10-27T18:31:24.134Z</t>
  </si>
  <si>
    <t>driffle:12085</t>
  </si>
  <si>
    <t>12085</t>
  </si>
  <si>
    <t>https://www.kinguin.net/es/category/158455/star-wars-jedi-survivor-steam-account</t>
  </si>
  <si>
    <t>https://driffle.com/es/star-wars-jedi-survivor-global-pc-steam-account-p9971599</t>
  </si>
  <si>
    <t>Stellar Blade</t>
  </si>
  <si>
    <t>Complete Edition - CD Key LATAM (Steam)</t>
  </si>
  <si>
    <t>Stellar Blade Complete Edition (LATAM) (PC) - Steam - Digital Key</t>
  </si>
  <si>
    <t>2026-10-27T18:32:46.655Z</t>
  </si>
  <si>
    <t>driffle:59238 | loaded:86331 | eneba:63035</t>
  </si>
  <si>
    <t>63035</t>
  </si>
  <si>
    <t>59238</t>
  </si>
  <si>
    <t>86331</t>
  </si>
  <si>
    <t>https://www.kinguin.net/es/category/346620/stellar-blade-complete-edition-latam-pc-steam-cd-key</t>
  </si>
  <si>
    <t>https://www.eneba.com/latam/steam-stellar-blade-complete-edition-steam-key-pc-latam</t>
  </si>
  <si>
    <t>https://driffle.com/es/stellar-blade-complete-edition-latam-pc-steam-digital-key-p9938572</t>
  </si>
  <si>
    <t>https://www.loaded.com/es_es/stellar-blade-complete-edition-pc-steam</t>
  </si>
  <si>
    <t>Complete Edition - Cuenta Steam</t>
  </si>
  <si>
    <t>Stellar Blade Complete Edition (Global) (PC) - Steam Account</t>
  </si>
  <si>
    <t>2026-10-27T18:32:54.764Z</t>
  </si>
  <si>
    <t>driffle:101223</t>
  </si>
  <si>
    <t>101223</t>
  </si>
  <si>
    <t>https://www.kinguin.net/es/category/340981/stellar-blade-complete-edition-pc-steam-account</t>
  </si>
  <si>
    <t>https://driffle.com/es/stellar-blade-complete-edition-global-pc-steam-account-p9979471</t>
  </si>
  <si>
    <t>Stellar Blade (LATAM) (PC) - Steam - Digital Key</t>
  </si>
  <si>
    <t>2026-10-27T18:31:56.935Z</t>
  </si>
  <si>
    <t>driffle:42001 | loaded:66354 | eneba:43570</t>
  </si>
  <si>
    <t>43570</t>
  </si>
  <si>
    <t>42001</t>
  </si>
  <si>
    <t>https://www.kinguin.net/es/category/346615/stellar-blade-latam-pc-steam-cd-key</t>
  </si>
  <si>
    <t>https://www.eneba.com/latam/steam-stellar-blade-steam-key-pc-latam</t>
  </si>
  <si>
    <t>https://driffle.com/es/stellar-blade-latam-pc-steam-digital-key-p9938571</t>
  </si>
  <si>
    <t>https://www.loaded.com/es_es/stellar-blade-pc-steam</t>
  </si>
  <si>
    <t>Stellar Blade (Global) (PC) - Steam Account</t>
  </si>
  <si>
    <t>2026-10-27T18:32:01.710Z</t>
  </si>
  <si>
    <t>driffle:50273</t>
  </si>
  <si>
    <t>50273</t>
  </si>
  <si>
    <t>https://driffle.com/es/stellar-blade-global-pc-steam-account-p9979470</t>
  </si>
  <si>
    <t>Street Fighter 6</t>
  </si>
  <si>
    <t>6 Years 1-2 Fighters Edition - CD Key LATAM (Steam)</t>
  </si>
  <si>
    <t>Street Fighter 6 Years 1–2 Fighter Edition (LATAM) (PC) - Steam - Digital Key</t>
  </si>
  <si>
    <t>2026-10-27T18:33:18.595Z</t>
  </si>
  <si>
    <t>driffle:69177</t>
  </si>
  <si>
    <t>69177</t>
  </si>
  <si>
    <t>https://www.kinguin.net/es/category/353130/street-fighter-6-years-1-2-fighters-edition-latam-pc-steam-cd-key</t>
  </si>
  <si>
    <t>https://www.eneba.com/latam/steam-street-fightertm-6-years-1-2-fighters-edition-steam-key-pc-latam</t>
  </si>
  <si>
    <t>https://driffle.com/es/street-fighter-6-years-12-fighter-edition-latam-pc-steam-digital-key-p9940168</t>
  </si>
  <si>
    <t>Street Fighter 6 (PC) Código de Steam LATAM</t>
  </si>
  <si>
    <t>2026-10-27T18:33:02.701Z</t>
  </si>
  <si>
    <t>eneba:22949</t>
  </si>
  <si>
    <t>22949</t>
  </si>
  <si>
    <t>https://www.kinguin.net/es/category/164647/street-fighter-6-pc-steam-cd-key</t>
  </si>
  <si>
    <t>https://www.eneba.com/latam/steam-street-fighter-6-pc-steam-key-latam</t>
  </si>
  <si>
    <t>Subnautica 2</t>
  </si>
  <si>
    <t>Subnautica 2 (Global) (PC) - Steam Account</t>
  </si>
  <si>
    <t>2026-10-27T18:33:34.684Z</t>
  </si>
  <si>
    <t>driffle:22619</t>
  </si>
  <si>
    <t>22619</t>
  </si>
  <si>
    <t>https://www.kinguin.net/es/category/492108/subnautica-2-pc-steam-account</t>
  </si>
  <si>
    <t>https://driffle.com/es/subnautica-2-global-pc-steam-account-p9995025</t>
  </si>
  <si>
    <t>TEKKEN 8</t>
  </si>
  <si>
    <t>TEKKEN 8 (PC) Código de Steam GLOBAL</t>
  </si>
  <si>
    <t>2026-10-27T18:34:50.793Z</t>
  </si>
  <si>
    <t>driffle:32706 | loaded:35315 | eneba:32558</t>
  </si>
  <si>
    <t>32558</t>
  </si>
  <si>
    <t>32706</t>
  </si>
  <si>
    <t>35315</t>
  </si>
  <si>
    <t>https://www.kinguin.net/es/category/296523/tekken-8-pc-steam-cd-key</t>
  </si>
  <si>
    <t>https://www.eneba.com/latam/steam-tekken-8-pc-steam-key-global</t>
  </si>
  <si>
    <t>https://driffle.com/es/tekken-8-pc-steam-digital-code-p9888257</t>
  </si>
  <si>
    <t>https://www.loaded.com/es_es/tekken-8-pc-steam</t>
  </si>
  <si>
    <t>Tekken 8 (Global) (PC) - Steam Account</t>
  </si>
  <si>
    <t>2026-10-27T18:34:58.546Z</t>
  </si>
  <si>
    <t>driffle:51808</t>
  </si>
  <si>
    <t>51808</t>
  </si>
  <si>
    <t>https://www.kinguin.net/es/category/180122/tekken-8-steam-account</t>
  </si>
  <si>
    <t>https://driffle.com/es/tekken-8-global-pc-steam-account-p9997873</t>
  </si>
  <si>
    <t>The Elder Scrolls V: Skyrim Special Edition</t>
  </si>
  <si>
    <t>The Elder Scrolls V: Skyrim (Special Edition) Código de Steam LATAM</t>
  </si>
  <si>
    <t>2026-10-27T18:35:18.231Z</t>
  </si>
  <si>
    <t>driffle:19647 | loaded:16493 | eneba:15767</t>
  </si>
  <si>
    <t>15767</t>
  </si>
  <si>
    <t>19647</t>
  </si>
  <si>
    <t>16493</t>
  </si>
  <si>
    <t>https://www.kinguin.net/es/category/301555/the-elder-scrolls-v-skyrim-special-edition-latam-ru-cis-tr-pc-steam-cd-key</t>
  </si>
  <si>
    <t>https://www.eneba.com/latam/steam-the-elder-scrolls-v-skyrim-special-edition-steam-key-latam</t>
  </si>
  <si>
    <t>https://driffle.com/es/the-elder-scrolls-v-skyrim-special-edition-latam-pc-steam-digital-key-p9981028</t>
  </si>
  <si>
    <t>https://www.loaded.com/es_es/the-elder-scrolls-v-5-skyrim-special-edition-pc-steam-cd-key</t>
  </si>
  <si>
    <t>The Elder Scrolls V Skyrim Special Edition (Global) (PC) - Steam Account</t>
  </si>
  <si>
    <t>2026-10-27T18:35:26.334Z</t>
  </si>
  <si>
    <t>driffle:26234</t>
  </si>
  <si>
    <t>26234</t>
  </si>
  <si>
    <t>https://www.kinguin.net/es/category/206801/the-elder-scrolls-v-skyrim-special-edition-pc-steam-account</t>
  </si>
  <si>
    <t>https://driffle.com/es/the-elder-scrolls-v-skyrim-special-edition-global-pc-steam-account-p9997153</t>
  </si>
  <si>
    <t>UNCHARTED™: Legacy of Thieves Collection</t>
  </si>
  <si>
    <t>UNCHARTED Legacy of Thieves Collection (LATAM) (PC) - Steam - Digital Key</t>
  </si>
  <si>
    <t>2026-10-27T18:37:48.591Z</t>
  </si>
  <si>
    <t>driffle:17319 | eneba:17864 | loaded:24253</t>
  </si>
  <si>
    <t>17864</t>
  </si>
  <si>
    <t>17319</t>
  </si>
  <si>
    <t>https://www.kinguin.net/es/category/119860/uncharted-legacy-of-thieves-collection-steam-cd-key</t>
  </si>
  <si>
    <t>https://www.eneba.com/latam/steam-uncharted-legacy-of-thieves-collection-pc-steam-key-latam</t>
  </si>
  <si>
    <t>https://driffle.com/es/uncharted-legacy-of-thieves-collection-latam-pc-steam-digital-key-p9975841</t>
  </si>
  <si>
    <t>https://www.loaded.com/es_es/uncharted-legacy-of-thieves-collection-pc-steam</t>
  </si>
  <si>
    <t>Until Dawn</t>
  </si>
  <si>
    <t>Until Dawn (PC) Código de Steam LATAM</t>
  </si>
  <si>
    <t>2026-10-27T18:38:01.162Z</t>
  </si>
  <si>
    <t>driffle:50141 | eneba:34456</t>
  </si>
  <si>
    <t>34456</t>
  </si>
  <si>
    <t>50141</t>
  </si>
  <si>
    <t>https://www.kinguin.net/es/category/375444/until-dawn-latam-pc-steam-cd-key</t>
  </si>
  <si>
    <t>https://www.eneba.com/latam/steam-until-dawn-pc-steam-key-latam</t>
  </si>
  <si>
    <t>https://driffle.com/es/until-dawn-global-pc-steam-digital-key-p9918074</t>
  </si>
  <si>
    <t>WWE 2K25</t>
  </si>
  <si>
    <t>Bloodline Edition - CD Key (Steam)</t>
  </si>
  <si>
    <t>WWE 2K25 The Bloodline Edition (Global) (PC) - Steam - Digital Key</t>
  </si>
  <si>
    <t>2026-10-27T18:38:28.200Z</t>
  </si>
  <si>
    <t>driffle:195379</t>
  </si>
  <si>
    <t>195379</t>
  </si>
  <si>
    <t>https://www.kinguin.net/es/category/315148/wwe-2k25-bloodline-edition-pc-steam-cd-key</t>
  </si>
  <si>
    <t>https://driffle.com/es/wwe-2k25-the-bloodline-edition-global-pc-steam-digital-key-p9930284</t>
  </si>
  <si>
    <t>WWE 2K25 (Global) (PC) - Steam - Digital Key</t>
  </si>
  <si>
    <t>2026-10-27T18:38:17.007Z</t>
  </si>
  <si>
    <t>driffle:32178 | eneba:32525</t>
  </si>
  <si>
    <t>32525</t>
  </si>
  <si>
    <t>32178</t>
  </si>
  <si>
    <t>https://www.kinguin.net/es/category/315139/wwe-2k25-pc-steam-cd-key</t>
  </si>
  <si>
    <t>https://www.eneba.com/latam/steam-wwe-2k25-steam-key-pc-global</t>
  </si>
  <si>
    <t>https://driffle.com/es/wwe-2k25-global-pc-steam-digital-key-p9930153</t>
  </si>
  <si>
    <t>WWE 2K26</t>
  </si>
  <si>
    <t>WWE 2K26 Steam Key (PC) GLOBAL</t>
  </si>
  <si>
    <t>2026-10-27T18:38:44.126Z</t>
  </si>
  <si>
    <t>eneba:40070</t>
  </si>
  <si>
    <t>40070</t>
  </si>
  <si>
    <t>https://www.kinguin.net/es/category/549111/wwe-2k26-pc-steam-cd-key</t>
  </si>
  <si>
    <t>https://www.eneba.com/latam/steam-wwe-2k26-steam-key-pc-global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</si>
</sst>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>
        <v>70976</v>
      </c>
      <c r="F2">
        <v>86811</v>
      </c>
      <c r="G2">
        <v>85976</v>
      </c>
      <c r="H2">
        <v>15000</v>
      </c>
      <c r="I2">
        <v>123805</v>
      </c>
      <c r="J2" t="str">
        <f>HYPERLINK("https://driffle.com/es/007-first-light-deluxe-edition-global-pc-steam-account-p9995859","Abrir compra")</f>
        <v>Abrir compra</v>
      </c>
      <c r="K2" t="str">
        <f>HYPERLINK("https://store.steampowered.com/app/3768760/007_First_Light/","Abrir Steam")</f>
        <v>Abrir Steam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32</v>
      </c>
      <c r="R2" t="s">
        <v>35</v>
      </c>
      <c r="S2" t="s">
        <v>36</v>
      </c>
      <c r="T2" t="s">
        <v>36</v>
      </c>
      <c r="U2" t="s">
        <v>37</v>
      </c>
      <c r="V2" t="s">
        <v>36</v>
      </c>
      <c r="W2" t="s">
        <v>38</v>
      </c>
      <c r="X2" t="s">
        <v>36</v>
      </c>
      <c r="Y2" t="s">
        <v>39</v>
      </c>
      <c r="Z2" t="s">
        <v>36</v>
      </c>
    </row>
    <row r="3">
      <c r="A3" t="s">
        <v>26</v>
      </c>
      <c r="B3" t="s">
        <v>40</v>
      </c>
      <c r="C3" t="s">
        <v>32</v>
      </c>
      <c r="D3" t="s">
        <v>41</v>
      </c>
      <c r="E3">
        <v>88873</v>
      </c>
      <c r="F3">
        <v>86811</v>
      </c>
      <c r="G3">
        <v>103873</v>
      </c>
      <c r="H3">
        <v>15000</v>
      </c>
      <c r="I3">
        <v>149577</v>
      </c>
      <c r="J3" t="str">
        <f>HYPERLINK("https://www.eneba.com/latam/steam-007-first-light-deluxe-edition-steam-key-pc-latam","Abrir compra")</f>
        <v>Abrir compra</v>
      </c>
      <c r="K3" t="str">
        <f>HYPERLINK("https://store.steampowered.com/app/3768760/007_First_Light/","Abrir Steam")</f>
        <v>Abrir Steam</v>
      </c>
      <c r="L3" t="s">
        <v>42</v>
      </c>
      <c r="M3" t="s">
        <v>31</v>
      </c>
      <c r="N3" t="s">
        <v>32</v>
      </c>
      <c r="O3" t="s">
        <v>43</v>
      </c>
      <c r="P3" t="s">
        <v>44</v>
      </c>
      <c r="Q3" t="s">
        <v>32</v>
      </c>
      <c r="R3" t="s">
        <v>45</v>
      </c>
      <c r="S3" t="s">
        <v>36</v>
      </c>
      <c r="T3" t="s">
        <v>46</v>
      </c>
      <c r="U3" t="s">
        <v>47</v>
      </c>
      <c r="V3" t="s">
        <v>36</v>
      </c>
      <c r="W3" t="s">
        <v>48</v>
      </c>
      <c r="X3" t="s">
        <v>49</v>
      </c>
      <c r="Y3" t="s">
        <v>50</v>
      </c>
      <c r="Z3" t="s">
        <v>51</v>
      </c>
    </row>
    <row r="4">
      <c r="A4" t="s">
        <v>26</v>
      </c>
      <c r="B4" t="s">
        <v>52</v>
      </c>
      <c r="C4" t="s">
        <v>32</v>
      </c>
      <c r="D4" t="s">
        <v>41</v>
      </c>
      <c r="E4">
        <v>62424</v>
      </c>
      <c r="F4">
        <v>75485</v>
      </c>
      <c r="G4">
        <v>77424</v>
      </c>
      <c r="H4">
        <v>15000</v>
      </c>
      <c r="I4">
        <v>111491</v>
      </c>
      <c r="J4" t="str">
        <f>HYPERLINK("https://driffle.com/es/007-first-light-latam-pc-steam-digital-key-p9995849","Abrir compra")</f>
        <v>Abrir compra</v>
      </c>
      <c r="K4" t="str">
        <f>HYPERLINK("https://store.steampowered.com/app/3768760/007_First_Light/","Abrir Steam")</f>
        <v>Abrir Steam</v>
      </c>
      <c r="L4" t="s">
        <v>30</v>
      </c>
      <c r="M4" t="s">
        <v>31</v>
      </c>
      <c r="N4" t="s">
        <v>32</v>
      </c>
      <c r="O4" t="s">
        <v>53</v>
      </c>
      <c r="P4" t="s">
        <v>54</v>
      </c>
      <c r="Q4" t="s">
        <v>32</v>
      </c>
      <c r="R4" t="s">
        <v>55</v>
      </c>
      <c r="S4" t="s">
        <v>36</v>
      </c>
      <c r="T4" t="s">
        <v>56</v>
      </c>
      <c r="U4" t="s">
        <v>57</v>
      </c>
      <c r="V4" t="s">
        <v>36</v>
      </c>
      <c r="W4" t="s">
        <v>58</v>
      </c>
      <c r="X4" t="s">
        <v>59</v>
      </c>
      <c r="Y4" t="s">
        <v>60</v>
      </c>
      <c r="Z4" t="s">
        <v>61</v>
      </c>
    </row>
    <row r="5">
      <c r="A5" t="s">
        <v>26</v>
      </c>
      <c r="B5" t="s">
        <v>62</v>
      </c>
      <c r="C5" t="s">
        <v>28</v>
      </c>
      <c r="D5" t="s">
        <v>29</v>
      </c>
      <c r="E5">
        <v>45419</v>
      </c>
      <c r="F5">
        <v>75485</v>
      </c>
      <c r="G5">
        <v>60419</v>
      </c>
      <c r="H5">
        <v>15000</v>
      </c>
      <c r="I5">
        <v>87003</v>
      </c>
      <c r="J5" t="str">
        <f>HYPERLINK("https://driffle.com/007-first-light-global-pc-steam-account-p9994206","Abrir compra")</f>
        <v>Abrir compra</v>
      </c>
      <c r="K5" t="str">
        <f>HYPERLINK("https://store.steampowered.com/app/3768760/007_First_Light/","Abrir Steam")</f>
        <v>Abrir Steam</v>
      </c>
      <c r="L5" t="s">
        <v>30</v>
      </c>
      <c r="M5" t="s">
        <v>31</v>
      </c>
      <c r="N5" t="s">
        <v>32</v>
      </c>
      <c r="O5" t="s">
        <v>63</v>
      </c>
      <c r="P5" t="s">
        <v>64</v>
      </c>
      <c r="Q5" t="s">
        <v>32</v>
      </c>
      <c r="R5" t="s">
        <v>65</v>
      </c>
      <c r="S5" t="s">
        <v>36</v>
      </c>
      <c r="T5" t="s">
        <v>36</v>
      </c>
      <c r="U5" t="s">
        <v>66</v>
      </c>
      <c r="V5" t="s">
        <v>36</v>
      </c>
      <c r="W5" t="s">
        <v>67</v>
      </c>
      <c r="X5" t="s">
        <v>36</v>
      </c>
      <c r="Y5" t="s">
        <v>68</v>
      </c>
      <c r="Z5" t="s">
        <v>36</v>
      </c>
    </row>
    <row r="6">
      <c r="A6" t="s">
        <v>69</v>
      </c>
      <c r="B6" t="s">
        <v>62</v>
      </c>
      <c r="C6" t="s">
        <v>28</v>
      </c>
      <c r="D6" t="s">
        <v>29</v>
      </c>
      <c r="E6">
        <v>5118</v>
      </c>
      <c r="F6">
        <v>56609</v>
      </c>
      <c r="G6">
        <v>30125</v>
      </c>
      <c r="H6">
        <v>25007</v>
      </c>
      <c r="I6">
        <v>43380</v>
      </c>
      <c r="J6" t="str">
        <f>HYPERLINK("https://driffle.com/es/a-way-out-global-pc-steam-account-p9941450","Abrir compra")</f>
        <v>Abrir compra</v>
      </c>
      <c r="K6" t="str">
        <f>HYPERLINK("https://store.steampowered.com/app/1222700/A_Way_Out/?l=spanish","Abrir Steam")</f>
        <v>Abrir Steam</v>
      </c>
      <c r="L6" t="s">
        <v>30</v>
      </c>
      <c r="M6" t="s">
        <v>70</v>
      </c>
      <c r="N6" t="s">
        <v>32</v>
      </c>
      <c r="O6" t="s">
        <v>71</v>
      </c>
      <c r="P6" t="s">
        <v>72</v>
      </c>
      <c r="Q6" t="s">
        <v>32</v>
      </c>
      <c r="R6" t="s">
        <v>73</v>
      </c>
      <c r="S6" t="s">
        <v>36</v>
      </c>
      <c r="T6" t="s">
        <v>36</v>
      </c>
      <c r="U6" t="s">
        <v>74</v>
      </c>
      <c r="V6" t="s">
        <v>36</v>
      </c>
      <c r="W6" t="s">
        <v>75</v>
      </c>
      <c r="X6" t="s">
        <v>36</v>
      </c>
      <c r="Y6" t="s">
        <v>76</v>
      </c>
      <c r="Z6" t="s">
        <v>36</v>
      </c>
    </row>
    <row r="7">
      <c r="A7" t="s">
        <v>77</v>
      </c>
      <c r="B7" t="s">
        <v>40</v>
      </c>
      <c r="C7" t="s">
        <v>32</v>
      </c>
      <c r="D7" t="s">
        <v>41</v>
      </c>
      <c r="E7">
        <v>66618</v>
      </c>
      <c r="F7">
        <v>113237</v>
      </c>
      <c r="G7">
        <v>83604</v>
      </c>
      <c r="H7">
        <v>16986</v>
      </c>
      <c r="I7">
        <v>120390</v>
      </c>
      <c r="J7" t="str">
        <f>HYPERLINK("https://www.eneba.com/latam/steam-arc-raiders-deluxe-edition-steam-key-pc-global","Abrir compra")</f>
        <v>Abrir compra</v>
      </c>
      <c r="K7" t="str">
        <f>HYPERLINK("https://store.steampowered.com/app/1808500/ARC_Raiders/","Abrir Steam")</f>
        <v>Abrir Steam</v>
      </c>
      <c r="L7" t="s">
        <v>42</v>
      </c>
      <c r="M7" t="s">
        <v>70</v>
      </c>
      <c r="N7" t="s">
        <v>32</v>
      </c>
      <c r="O7" t="s">
        <v>78</v>
      </c>
      <c r="P7" t="s">
        <v>79</v>
      </c>
      <c r="Q7" t="s">
        <v>32</v>
      </c>
      <c r="R7" t="s">
        <v>80</v>
      </c>
      <c r="S7" t="s">
        <v>36</v>
      </c>
      <c r="T7" t="s">
        <v>81</v>
      </c>
      <c r="U7" t="s">
        <v>82</v>
      </c>
      <c r="V7" t="s">
        <v>36</v>
      </c>
      <c r="W7" t="s">
        <v>83</v>
      </c>
      <c r="X7" t="s">
        <v>84</v>
      </c>
      <c r="Y7" t="s">
        <v>85</v>
      </c>
      <c r="Z7" t="s">
        <v>86</v>
      </c>
    </row>
    <row r="8">
      <c r="A8" t="s">
        <v>77</v>
      </c>
      <c r="B8" t="s">
        <v>52</v>
      </c>
      <c r="C8" t="s">
        <v>32</v>
      </c>
      <c r="D8" t="s">
        <v>41</v>
      </c>
      <c r="E8">
        <v>52287</v>
      </c>
      <c r="F8">
        <v>75485</v>
      </c>
      <c r="G8">
        <v>67287</v>
      </c>
      <c r="H8">
        <v>15000</v>
      </c>
      <c r="I8">
        <v>96893</v>
      </c>
      <c r="J8" t="str">
        <f>HYPERLINK("https://driffle.com/es/arc-raiders-global-pc-steam-digital-key-p9938981","Abrir compra")</f>
        <v>Abrir compra</v>
      </c>
      <c r="K8" t="str">
        <f>HYPERLINK("https://store.steampowered.com/app/1808500/ARC_Raiders/","Abrir Steam")</f>
        <v>Abrir Steam</v>
      </c>
      <c r="L8" t="s">
        <v>30</v>
      </c>
      <c r="M8" t="s">
        <v>70</v>
      </c>
      <c r="N8" t="s">
        <v>32</v>
      </c>
      <c r="O8" t="s">
        <v>87</v>
      </c>
      <c r="P8" t="s">
        <v>88</v>
      </c>
      <c r="Q8" t="s">
        <v>32</v>
      </c>
      <c r="R8" t="s">
        <v>89</v>
      </c>
      <c r="S8" t="s">
        <v>36</v>
      </c>
      <c r="T8" t="s">
        <v>90</v>
      </c>
      <c r="U8" t="s">
        <v>91</v>
      </c>
      <c r="V8" t="s">
        <v>36</v>
      </c>
      <c r="W8" t="s">
        <v>92</v>
      </c>
      <c r="X8" t="s">
        <v>93</v>
      </c>
      <c r="Y8" t="s">
        <v>94</v>
      </c>
      <c r="Z8" t="s">
        <v>95</v>
      </c>
    </row>
    <row r="9">
      <c r="A9" t="s">
        <v>96</v>
      </c>
      <c r="B9" t="s">
        <v>62</v>
      </c>
      <c r="C9" t="s">
        <v>28</v>
      </c>
      <c r="D9" t="s">
        <v>29</v>
      </c>
      <c r="E9">
        <v>12911</v>
      </c>
      <c r="F9">
        <v>84923</v>
      </c>
      <c r="G9">
        <v>39911</v>
      </c>
      <c r="H9">
        <v>27000</v>
      </c>
      <c r="I9">
        <v>57472</v>
      </c>
      <c r="J9" t="str">
        <f>HYPERLINK("https://driffle.com/es/ark-survival-ascended-global-pc-steam-account-p9945608","Abrir compra")</f>
        <v>Abrir compra</v>
      </c>
      <c r="K9" t="str">
        <f>HYPERLINK("https://store.steampowered.com/app/2399830/ARK_Survival_Ascended/","Abrir Steam")</f>
        <v>Abrir Steam</v>
      </c>
      <c r="L9" t="s">
        <v>30</v>
      </c>
      <c r="M9" t="s">
        <v>70</v>
      </c>
      <c r="N9" t="s">
        <v>32</v>
      </c>
      <c r="O9" t="s">
        <v>97</v>
      </c>
      <c r="P9" t="s">
        <v>98</v>
      </c>
      <c r="Q9" t="s">
        <v>32</v>
      </c>
      <c r="R9" t="s">
        <v>99</v>
      </c>
      <c r="S9" t="s">
        <v>36</v>
      </c>
      <c r="T9" t="s">
        <v>36</v>
      </c>
      <c r="U9" t="s">
        <v>100</v>
      </c>
      <c r="V9" t="s">
        <v>36</v>
      </c>
      <c r="W9" t="s">
        <v>101</v>
      </c>
      <c r="X9" t="s">
        <v>36</v>
      </c>
      <c r="Y9" t="s">
        <v>102</v>
      </c>
      <c r="Z9" t="s">
        <v>36</v>
      </c>
    </row>
    <row r="10">
      <c r="A10" t="s">
        <v>103</v>
      </c>
      <c r="B10" t="s">
        <v>62</v>
      </c>
      <c r="C10" t="s">
        <v>28</v>
      </c>
      <c r="D10" t="s">
        <v>29</v>
      </c>
      <c r="E10">
        <v>46921</v>
      </c>
      <c r="F10">
        <v>75485</v>
      </c>
      <c r="G10">
        <v>61921</v>
      </c>
      <c r="H10">
        <v>15000</v>
      </c>
      <c r="I10">
        <v>89166</v>
      </c>
      <c r="J10" t="str">
        <f>HYPERLINK("https://driffle.com/es/assassins-creed-mirage-global-pc-steam-account-p9972488","Abrir compra")</f>
        <v>Abrir compra</v>
      </c>
      <c r="K10" t="str">
        <f>HYPERLINK("https://store.steampowered.com/app/3035570/Assassins_Creed_Mirage/","Abrir Steam")</f>
        <v>Abrir Steam</v>
      </c>
      <c r="L10" t="s">
        <v>30</v>
      </c>
      <c r="M10" t="s">
        <v>31</v>
      </c>
      <c r="N10" t="s">
        <v>32</v>
      </c>
      <c r="O10" t="s">
        <v>104</v>
      </c>
      <c r="P10" t="s">
        <v>105</v>
      </c>
      <c r="Q10" t="s">
        <v>32</v>
      </c>
      <c r="R10" t="s">
        <v>106</v>
      </c>
      <c r="S10" t="s">
        <v>36</v>
      </c>
      <c r="T10" t="s">
        <v>36</v>
      </c>
      <c r="U10" t="s">
        <v>107</v>
      </c>
      <c r="V10" t="s">
        <v>36</v>
      </c>
      <c r="W10" t="s">
        <v>108</v>
      </c>
      <c r="X10" t="s">
        <v>36</v>
      </c>
      <c r="Y10" t="s">
        <v>109</v>
      </c>
      <c r="Z10" t="s">
        <v>36</v>
      </c>
    </row>
    <row r="11">
      <c r="A11" t="s">
        <v>110</v>
      </c>
      <c r="B11" t="s">
        <v>62</v>
      </c>
      <c r="C11" t="s">
        <v>28</v>
      </c>
      <c r="D11" t="s">
        <v>29</v>
      </c>
      <c r="E11">
        <v>35794</v>
      </c>
      <c r="F11">
        <v>105687</v>
      </c>
      <c r="G11">
        <v>61536</v>
      </c>
      <c r="H11">
        <v>25742</v>
      </c>
      <c r="I11">
        <v>88612</v>
      </c>
      <c r="J11" t="str">
        <f>HYPERLINK("https://driffle.com/es/assassins-creed-shadows-global-pc-steam-account-p9979431","Abrir compra")</f>
        <v>Abrir compra</v>
      </c>
      <c r="K11" t="str">
        <f>HYPERLINK("https://store.steampowered.com/app/3159330/Assassins_Creed_Shadows/","Abrir Steam")</f>
        <v>Abrir Steam</v>
      </c>
      <c r="L11" t="s">
        <v>30</v>
      </c>
      <c r="M11" t="s">
        <v>70</v>
      </c>
      <c r="N11" t="s">
        <v>32</v>
      </c>
      <c r="O11" t="s">
        <v>111</v>
      </c>
      <c r="P11" t="s">
        <v>112</v>
      </c>
      <c r="Q11" t="s">
        <v>32</v>
      </c>
      <c r="R11" t="s">
        <v>113</v>
      </c>
      <c r="S11" t="s">
        <v>36</v>
      </c>
      <c r="T11" t="s">
        <v>36</v>
      </c>
      <c r="U11" t="s">
        <v>114</v>
      </c>
      <c r="V11" t="s">
        <v>36</v>
      </c>
      <c r="W11" t="s">
        <v>115</v>
      </c>
      <c r="X11" t="s">
        <v>36</v>
      </c>
      <c r="Y11" t="s">
        <v>116</v>
      </c>
      <c r="Z11" t="s">
        <v>36</v>
      </c>
    </row>
    <row r="12">
      <c r="A12" t="s">
        <v>117</v>
      </c>
      <c r="B12" t="s">
        <v>62</v>
      </c>
      <c r="C12" t="s">
        <v>28</v>
      </c>
      <c r="D12" t="s">
        <v>29</v>
      </c>
      <c r="E12">
        <v>21331</v>
      </c>
      <c r="F12">
        <v>66047</v>
      </c>
      <c r="G12">
        <v>40291</v>
      </c>
      <c r="H12">
        <v>18960</v>
      </c>
      <c r="I12">
        <v>58019</v>
      </c>
      <c r="J12" t="str">
        <f>HYPERLINK("https://driffle.com/es/baldurs-gate-3-global-pc-mac-steam-account-p9945610","Abrir compra")</f>
        <v>Abrir compra</v>
      </c>
      <c r="K12" t="str">
        <f>HYPERLINK("https://store.steampowered.com/app/1086940/Baldurs_Gate_3/","Abrir Steam")</f>
        <v>Abrir Steam</v>
      </c>
      <c r="L12" t="s">
        <v>30</v>
      </c>
      <c r="M12" t="s">
        <v>70</v>
      </c>
      <c r="N12" t="s">
        <v>32</v>
      </c>
      <c r="O12" t="s">
        <v>118</v>
      </c>
      <c r="P12" t="s">
        <v>119</v>
      </c>
      <c r="Q12" t="s">
        <v>32</v>
      </c>
      <c r="R12" t="s">
        <v>120</v>
      </c>
      <c r="S12" t="s">
        <v>36</v>
      </c>
      <c r="T12" t="s">
        <v>36</v>
      </c>
      <c r="U12" t="s">
        <v>121</v>
      </c>
      <c r="V12" t="s">
        <v>36</v>
      </c>
      <c r="W12" t="s">
        <v>122</v>
      </c>
      <c r="X12" t="s">
        <v>36</v>
      </c>
      <c r="Y12" t="s">
        <v>123</v>
      </c>
      <c r="Z12" t="s">
        <v>36</v>
      </c>
    </row>
    <row r="13">
      <c r="A13" t="s">
        <v>124</v>
      </c>
      <c r="B13" t="s">
        <v>52</v>
      </c>
      <c r="C13" t="s">
        <v>32</v>
      </c>
      <c r="D13" t="s">
        <v>41</v>
      </c>
      <c r="E13">
        <v>70696</v>
      </c>
      <c r="F13">
        <v>132113</v>
      </c>
      <c r="G13">
        <v>94698</v>
      </c>
      <c r="H13">
        <v>24002</v>
      </c>
      <c r="I13">
        <v>136365</v>
      </c>
      <c r="J13" t="str">
        <f>HYPERLINK("https://driffle.com/es/battlefield-6-global-pc-ea-play-digital-key-p9951111","Abrir compra")</f>
        <v>Abrir compra</v>
      </c>
      <c r="K13" t="str">
        <f>HYPERLINK("https://store.steampowered.com/app/2807960/Battlefield_6/","Abrir Steam")</f>
        <v>Abrir Steam</v>
      </c>
      <c r="L13" t="s">
        <v>30</v>
      </c>
      <c r="M13" t="s">
        <v>31</v>
      </c>
      <c r="N13" t="s">
        <v>32</v>
      </c>
      <c r="O13" t="s">
        <v>125</v>
      </c>
      <c r="P13" t="s">
        <v>126</v>
      </c>
      <c r="Q13" t="s">
        <v>32</v>
      </c>
      <c r="R13" t="s">
        <v>127</v>
      </c>
      <c r="S13" t="s">
        <v>36</v>
      </c>
      <c r="T13" t="s">
        <v>36</v>
      </c>
      <c r="U13" t="s">
        <v>128</v>
      </c>
      <c r="V13" t="s">
        <v>36</v>
      </c>
      <c r="W13" t="s">
        <v>129</v>
      </c>
      <c r="X13" t="s">
        <v>130</v>
      </c>
      <c r="Y13" t="s">
        <v>131</v>
      </c>
      <c r="Z13" t="s">
        <v>132</v>
      </c>
    </row>
    <row r="14">
      <c r="A14" t="s">
        <v>124</v>
      </c>
      <c r="B14" t="s">
        <v>62</v>
      </c>
      <c r="C14" t="s">
        <v>28</v>
      </c>
      <c r="D14" t="s">
        <v>29</v>
      </c>
      <c r="E14">
        <v>22718</v>
      </c>
      <c r="F14">
        <v>132113</v>
      </c>
      <c r="G14">
        <v>49718</v>
      </c>
      <c r="H14">
        <v>27000</v>
      </c>
      <c r="I14">
        <v>71594</v>
      </c>
      <c r="J14" t="str">
        <f>HYPERLINK("https://driffle.com/es/battlefield-6-global-pc-steam-account-p9952012","Abrir compra")</f>
        <v>Abrir compra</v>
      </c>
      <c r="K14" t="str">
        <f>HYPERLINK("https://store.steampowered.com/app/2807960/Battlefield_6/","Abrir Steam")</f>
        <v>Abrir Steam</v>
      </c>
      <c r="L14" t="s">
        <v>30</v>
      </c>
      <c r="M14" t="s">
        <v>31</v>
      </c>
      <c r="N14" t="s">
        <v>32</v>
      </c>
      <c r="O14" t="s">
        <v>133</v>
      </c>
      <c r="P14" t="s">
        <v>134</v>
      </c>
      <c r="Q14" t="s">
        <v>32</v>
      </c>
      <c r="R14" t="s">
        <v>135</v>
      </c>
      <c r="S14" t="s">
        <v>36</v>
      </c>
      <c r="T14" t="s">
        <v>36</v>
      </c>
      <c r="U14" t="s">
        <v>136</v>
      </c>
      <c r="V14" t="s">
        <v>36</v>
      </c>
      <c r="W14" t="s">
        <v>137</v>
      </c>
      <c r="X14" t="s">
        <v>36</v>
      </c>
      <c r="Y14" t="s">
        <v>138</v>
      </c>
      <c r="Z14" t="s">
        <v>36</v>
      </c>
    </row>
    <row r="15">
      <c r="A15" t="s">
        <v>124</v>
      </c>
      <c r="B15" t="s">
        <v>139</v>
      </c>
      <c r="C15" t="s">
        <v>32</v>
      </c>
      <c r="D15" t="s">
        <v>41</v>
      </c>
      <c r="E15">
        <v>105565</v>
      </c>
      <c r="F15">
        <v>132113</v>
      </c>
      <c r="G15">
        <v>140565</v>
      </c>
      <c r="H15">
        <v>35000</v>
      </c>
      <c r="I15">
        <v>202414</v>
      </c>
      <c r="J15" t="str">
        <f>HYPERLINK("https://driffle.com/es/battlefield-6-phantom-edition-global-pc-ea-play-digital-key-p9967536","Abrir compra")</f>
        <v>Abrir compra</v>
      </c>
      <c r="K15" t="str">
        <f>HYPERLINK("https://store.steampowered.com/app/2807960/Battlefield_6/","Abrir Steam")</f>
        <v>Abrir Steam</v>
      </c>
      <c r="L15" t="s">
        <v>30</v>
      </c>
      <c r="M15" t="s">
        <v>31</v>
      </c>
      <c r="N15" t="s">
        <v>32</v>
      </c>
      <c r="O15" t="s">
        <v>140</v>
      </c>
      <c r="P15" t="s">
        <v>141</v>
      </c>
      <c r="Q15" t="s">
        <v>32</v>
      </c>
      <c r="R15" t="s">
        <v>142</v>
      </c>
      <c r="S15" t="s">
        <v>36</v>
      </c>
      <c r="T15" t="s">
        <v>36</v>
      </c>
      <c r="U15" t="s">
        <v>143</v>
      </c>
      <c r="V15" t="s">
        <v>36</v>
      </c>
      <c r="W15" t="s">
        <v>144</v>
      </c>
      <c r="X15" t="s">
        <v>145</v>
      </c>
      <c r="Y15" t="s">
        <v>146</v>
      </c>
      <c r="Z15" t="s">
        <v>147</v>
      </c>
    </row>
    <row r="16">
      <c r="A16" t="s">
        <v>124</v>
      </c>
      <c r="B16" t="s">
        <v>148</v>
      </c>
      <c r="C16" t="s">
        <v>28</v>
      </c>
      <c r="D16" t="s">
        <v>29</v>
      </c>
      <c r="E16">
        <v>113969</v>
      </c>
      <c r="F16">
        <v>132113</v>
      </c>
      <c r="G16">
        <v>128969</v>
      </c>
      <c r="H16">
        <v>15000</v>
      </c>
      <c r="I16">
        <v>185715</v>
      </c>
      <c r="J16" t="str">
        <f>HYPERLINK("https://driffle.com/es/battlefield-6-phantom-edition-global-pc-steam-account-p9952026","Abrir compra")</f>
        <v>Abrir compra</v>
      </c>
      <c r="K16" t="str">
        <f>HYPERLINK("https://store.steampowered.com/app/2807960/Battlefield_6/","Abrir Steam")</f>
        <v>Abrir Steam</v>
      </c>
      <c r="L16" t="s">
        <v>30</v>
      </c>
      <c r="M16" t="s">
        <v>31</v>
      </c>
      <c r="N16" t="s">
        <v>32</v>
      </c>
      <c r="O16" t="s">
        <v>149</v>
      </c>
      <c r="P16" t="s">
        <v>150</v>
      </c>
      <c r="Q16" t="s">
        <v>32</v>
      </c>
      <c r="R16" t="s">
        <v>151</v>
      </c>
      <c r="S16" t="s">
        <v>36</v>
      </c>
      <c r="T16" t="s">
        <v>36</v>
      </c>
      <c r="U16" t="s">
        <v>152</v>
      </c>
      <c r="V16" t="s">
        <v>36</v>
      </c>
      <c r="W16" t="s">
        <v>153</v>
      </c>
      <c r="X16" t="s">
        <v>36</v>
      </c>
      <c r="Y16" t="s">
        <v>154</v>
      </c>
      <c r="Z16" t="s">
        <v>36</v>
      </c>
    </row>
    <row r="17">
      <c r="A17" t="s">
        <v>155</v>
      </c>
      <c r="B17" t="s">
        <v>52</v>
      </c>
      <c r="C17" t="s">
        <v>32</v>
      </c>
      <c r="D17" t="s">
        <v>41</v>
      </c>
      <c r="E17">
        <v>59882</v>
      </c>
      <c r="F17">
        <v>113237</v>
      </c>
      <c r="G17">
        <v>84371</v>
      </c>
      <c r="H17">
        <v>24489</v>
      </c>
      <c r="I17">
        <v>121494</v>
      </c>
      <c r="J17" t="str">
        <f>HYPERLINK("https://www.eneba.com/latam/steam-black-myth-wukong-pc-steam-key-global","Abrir compra")</f>
        <v>Abrir compra</v>
      </c>
      <c r="K17" t="str">
        <f>HYPERLINK("https://store.steampowered.com/app/2358720/Black_Myth_Wukong/","Abrir Steam")</f>
        <v>Abrir Steam</v>
      </c>
      <c r="L17" t="s">
        <v>42</v>
      </c>
      <c r="M17" t="s">
        <v>70</v>
      </c>
      <c r="N17" t="s">
        <v>32</v>
      </c>
      <c r="O17" t="s">
        <v>156</v>
      </c>
      <c r="P17" t="s">
        <v>157</v>
      </c>
      <c r="Q17" t="s">
        <v>32</v>
      </c>
      <c r="R17" t="s">
        <v>158</v>
      </c>
      <c r="S17" t="s">
        <v>36</v>
      </c>
      <c r="T17" t="s">
        <v>159</v>
      </c>
      <c r="U17" t="s">
        <v>160</v>
      </c>
      <c r="V17" t="s">
        <v>36</v>
      </c>
      <c r="W17" t="s">
        <v>161</v>
      </c>
      <c r="X17" t="s">
        <v>162</v>
      </c>
      <c r="Y17" t="s">
        <v>163</v>
      </c>
      <c r="Z17" t="s">
        <v>164</v>
      </c>
    </row>
    <row r="18">
      <c r="A18" t="s">
        <v>155</v>
      </c>
      <c r="B18" t="s">
        <v>62</v>
      </c>
      <c r="C18" t="s">
        <v>28</v>
      </c>
      <c r="D18" t="s">
        <v>29</v>
      </c>
      <c r="E18">
        <v>36206</v>
      </c>
      <c r="F18">
        <v>113237</v>
      </c>
      <c r="G18">
        <v>63206</v>
      </c>
      <c r="H18">
        <v>27000</v>
      </c>
      <c r="I18">
        <v>91017</v>
      </c>
      <c r="J18" t="str">
        <f>HYPERLINK("https://driffle.com/black-myth-wukong-global-pc-steam-account-p9952239","Abrir compra")</f>
        <v>Abrir compra</v>
      </c>
      <c r="K18" t="str">
        <f>HYPERLINK("https://store.steampowered.com/app/2358720/Black_Myth_Wukong/","Abrir Steam")</f>
        <v>Abrir Steam</v>
      </c>
      <c r="L18" t="s">
        <v>30</v>
      </c>
      <c r="M18" t="s">
        <v>70</v>
      </c>
      <c r="N18" t="s">
        <v>32</v>
      </c>
      <c r="O18" t="s">
        <v>165</v>
      </c>
      <c r="P18" t="s">
        <v>166</v>
      </c>
      <c r="Q18" t="s">
        <v>32</v>
      </c>
      <c r="R18" t="s">
        <v>167</v>
      </c>
      <c r="S18" t="s">
        <v>36</v>
      </c>
      <c r="T18" t="s">
        <v>36</v>
      </c>
      <c r="U18" t="s">
        <v>168</v>
      </c>
      <c r="V18" t="s">
        <v>36</v>
      </c>
      <c r="W18" t="s">
        <v>169</v>
      </c>
      <c r="X18" t="s">
        <v>36</v>
      </c>
      <c r="Y18" t="s">
        <v>170</v>
      </c>
      <c r="Z18" t="s">
        <v>36</v>
      </c>
    </row>
    <row r="19">
      <c r="A19" t="s">
        <v>171</v>
      </c>
      <c r="B19" t="s">
        <v>40</v>
      </c>
      <c r="C19" t="s">
        <v>32</v>
      </c>
      <c r="D19" t="s">
        <v>41</v>
      </c>
      <c r="E19">
        <v>68929</v>
      </c>
      <c r="F19">
        <v>188741</v>
      </c>
      <c r="G19">
        <v>95929</v>
      </c>
      <c r="H19">
        <v>27000</v>
      </c>
      <c r="I19">
        <v>138138</v>
      </c>
      <c r="J19" t="str">
        <f>HYPERLINK("https://driffle.com/es/borderlands-4-deluxe-edition-global-pc-steam-digital-key-p9941167","Abrir compra")</f>
        <v>Abrir compra</v>
      </c>
      <c r="K19" t="str">
        <f>HYPERLINK("https://store.steampowered.com/app/1285190/Borderlands_4/","Abrir Steam")</f>
        <v>Abrir Steam</v>
      </c>
      <c r="L19" t="s">
        <v>30</v>
      </c>
      <c r="M19" t="s">
        <v>70</v>
      </c>
      <c r="N19" t="s">
        <v>32</v>
      </c>
      <c r="O19" t="s">
        <v>172</v>
      </c>
      <c r="P19" t="s">
        <v>173</v>
      </c>
      <c r="Q19" t="s">
        <v>32</v>
      </c>
      <c r="R19" t="s">
        <v>174</v>
      </c>
      <c r="S19" t="s">
        <v>36</v>
      </c>
      <c r="T19" t="s">
        <v>175</v>
      </c>
      <c r="U19" t="s">
        <v>176</v>
      </c>
      <c r="V19" t="s">
        <v>36</v>
      </c>
      <c r="W19" t="s">
        <v>177</v>
      </c>
      <c r="X19" t="s">
        <v>178</v>
      </c>
      <c r="Y19" t="s">
        <v>179</v>
      </c>
      <c r="Z19" t="s">
        <v>36</v>
      </c>
    </row>
    <row r="20">
      <c r="A20" t="s">
        <v>171</v>
      </c>
      <c r="B20" t="s">
        <v>52</v>
      </c>
      <c r="C20" t="s">
        <v>32</v>
      </c>
      <c r="D20" t="s">
        <v>41</v>
      </c>
      <c r="E20">
        <v>47103</v>
      </c>
      <c r="F20">
        <v>132113</v>
      </c>
      <c r="G20">
        <v>74103</v>
      </c>
      <c r="H20">
        <v>27000</v>
      </c>
      <c r="I20">
        <v>106708</v>
      </c>
      <c r="J20" t="str">
        <f>HYPERLINK("https://www.eneba.com/latam/steam-borderlands-4-steam-key-pc-global","Abrir compra")</f>
        <v>Abrir compra</v>
      </c>
      <c r="K20" t="str">
        <f>HYPERLINK("https://store.steampowered.com/app/1285190/Borderlands_4/","Abrir Steam")</f>
        <v>Abrir Steam</v>
      </c>
      <c r="L20" t="s">
        <v>42</v>
      </c>
      <c r="M20" t="s">
        <v>70</v>
      </c>
      <c r="N20" t="s">
        <v>32</v>
      </c>
      <c r="O20" t="s">
        <v>180</v>
      </c>
      <c r="P20" t="s">
        <v>181</v>
      </c>
      <c r="Q20" t="s">
        <v>32</v>
      </c>
      <c r="R20" t="s">
        <v>182</v>
      </c>
      <c r="S20" t="s">
        <v>36</v>
      </c>
      <c r="T20" t="s">
        <v>183</v>
      </c>
      <c r="U20" t="s">
        <v>184</v>
      </c>
      <c r="V20" t="s">
        <v>185</v>
      </c>
      <c r="W20" t="s">
        <v>186</v>
      </c>
      <c r="X20" t="s">
        <v>187</v>
      </c>
      <c r="Y20" t="s">
        <v>188</v>
      </c>
      <c r="Z20" t="s">
        <v>189</v>
      </c>
    </row>
    <row r="21">
      <c r="A21" t="s">
        <v>171</v>
      </c>
      <c r="B21" t="s">
        <v>190</v>
      </c>
      <c r="C21" t="s">
        <v>32</v>
      </c>
      <c r="D21" t="s">
        <v>41</v>
      </c>
      <c r="E21">
        <v>89980</v>
      </c>
      <c r="F21">
        <v>245369</v>
      </c>
      <c r="G21">
        <v>116980</v>
      </c>
      <c r="H21">
        <v>27000</v>
      </c>
      <c r="I21">
        <v>168451</v>
      </c>
      <c r="J21" t="str">
        <f>HYPERLINK("https://www.eneba.com/latam/steam-borderlands-4-super-deluxe-edition-steam-key-pc-global","Abrir compra")</f>
        <v>Abrir compra</v>
      </c>
      <c r="K21" t="str">
        <f>HYPERLINK("https://store.steampowered.com/app/1285190/Borderlands_4/","Abrir Steam")</f>
        <v>Abrir Steam</v>
      </c>
      <c r="L21" t="s">
        <v>42</v>
      </c>
      <c r="M21" t="s">
        <v>70</v>
      </c>
      <c r="N21" t="s">
        <v>32</v>
      </c>
      <c r="O21" t="s">
        <v>191</v>
      </c>
      <c r="P21" t="s">
        <v>192</v>
      </c>
      <c r="Q21" t="s">
        <v>32</v>
      </c>
      <c r="R21" t="s">
        <v>193</v>
      </c>
      <c r="S21" t="s">
        <v>36</v>
      </c>
      <c r="T21" t="s">
        <v>194</v>
      </c>
      <c r="U21" t="s">
        <v>195</v>
      </c>
      <c r="V21" t="s">
        <v>36</v>
      </c>
      <c r="W21" t="s">
        <v>196</v>
      </c>
      <c r="X21" t="s">
        <v>197</v>
      </c>
      <c r="Y21" t="s">
        <v>198</v>
      </c>
      <c r="Z21" t="s">
        <v>36</v>
      </c>
    </row>
    <row r="22">
      <c r="A22" t="s">
        <v>199</v>
      </c>
      <c r="B22" t="s">
        <v>62</v>
      </c>
      <c r="C22" t="s">
        <v>28</v>
      </c>
      <c r="D22" t="s">
        <v>29</v>
      </c>
      <c r="E22">
        <v>43752</v>
      </c>
      <c r="F22">
        <v>132113</v>
      </c>
      <c r="G22">
        <v>70752</v>
      </c>
      <c r="H22">
        <v>27000</v>
      </c>
      <c r="I22">
        <v>101883</v>
      </c>
      <c r="J22" t="str">
        <f>HYPERLINK("https://driffle.com/es/call-of-duty-black-ops-7-global-pc-steam-account-p9971582","Abrir compra")</f>
        <v>Abrir compra</v>
      </c>
      <c r="K22" t="str">
        <f>HYPERLINK("https://store.steampowered.com/app/3606480/Call_of_Duty_Black_Ops_7/","Abrir Steam")</f>
        <v>Abrir Steam</v>
      </c>
      <c r="L22" t="s">
        <v>30</v>
      </c>
      <c r="M22" t="s">
        <v>31</v>
      </c>
      <c r="N22" t="s">
        <v>32</v>
      </c>
      <c r="O22" t="s">
        <v>200</v>
      </c>
      <c r="P22" t="s">
        <v>201</v>
      </c>
      <c r="Q22" t="s">
        <v>32</v>
      </c>
      <c r="R22" t="s">
        <v>202</v>
      </c>
      <c r="S22" t="s">
        <v>36</v>
      </c>
      <c r="T22" t="s">
        <v>36</v>
      </c>
      <c r="U22" t="s">
        <v>203</v>
      </c>
      <c r="V22" t="s">
        <v>36</v>
      </c>
      <c r="W22" t="s">
        <v>204</v>
      </c>
      <c r="X22" t="s">
        <v>36</v>
      </c>
      <c r="Y22" t="s">
        <v>205</v>
      </c>
      <c r="Z22" t="s">
        <v>36</v>
      </c>
    </row>
    <row r="23">
      <c r="A23" t="s">
        <v>206</v>
      </c>
      <c r="B23" t="s">
        <v>207</v>
      </c>
      <c r="C23" t="s">
        <v>28</v>
      </c>
      <c r="D23" t="s">
        <v>29</v>
      </c>
      <c r="E23">
        <v>26399</v>
      </c>
      <c r="F23">
        <v>113237</v>
      </c>
      <c r="G23">
        <v>53399</v>
      </c>
      <c r="H23">
        <v>27000</v>
      </c>
      <c r="I23">
        <v>76895</v>
      </c>
      <c r="J23" t="str">
        <f>HYPERLINK("https://driffle.com/es/call-of-duty-black-ops-iii-zombies-chronicles-edition-global-pc-mac-steam-account-p9945601","Abrir compra")</f>
        <v>Abrir compra</v>
      </c>
      <c r="K23" t="str">
        <f>HYPERLINK("https://store.steampowered.com/app/311210/Call_of_Duty_Black_Ops_III/","Abrir Steam")</f>
        <v>Abrir Steam</v>
      </c>
      <c r="L23" t="s">
        <v>30</v>
      </c>
      <c r="M23" t="s">
        <v>70</v>
      </c>
      <c r="N23" t="s">
        <v>32</v>
      </c>
      <c r="O23" t="s">
        <v>208</v>
      </c>
      <c r="P23" t="s">
        <v>209</v>
      </c>
      <c r="Q23" t="s">
        <v>32</v>
      </c>
      <c r="R23" t="s">
        <v>210</v>
      </c>
      <c r="S23" t="s">
        <v>36</v>
      </c>
      <c r="T23" t="s">
        <v>36</v>
      </c>
      <c r="U23" t="s">
        <v>211</v>
      </c>
      <c r="V23" t="s">
        <v>36</v>
      </c>
      <c r="W23" t="s">
        <v>212</v>
      </c>
      <c r="X23" t="s">
        <v>36</v>
      </c>
      <c r="Y23" t="s">
        <v>213</v>
      </c>
      <c r="Z23" t="s">
        <v>36</v>
      </c>
    </row>
    <row r="24">
      <c r="A24" t="s">
        <v>214</v>
      </c>
      <c r="B24" t="s">
        <v>27</v>
      </c>
      <c r="C24" t="s">
        <v>28</v>
      </c>
      <c r="D24" t="s">
        <v>29</v>
      </c>
      <c r="E24">
        <v>65165</v>
      </c>
      <c r="F24">
        <v>79260</v>
      </c>
      <c r="G24">
        <v>80165</v>
      </c>
      <c r="H24">
        <v>15000</v>
      </c>
      <c r="I24">
        <v>115438</v>
      </c>
      <c r="J24" t="str">
        <f>HYPERLINK("https://driffle.com/es/clair-obscur-expedition-33-deluxe-edition-global-pc-steam-account-p9979466","Abrir compra")</f>
        <v>Abrir compra</v>
      </c>
      <c r="K24" t="str">
        <f>HYPERLINK("https://store.steampowered.com/app/1903340/Clair_Obscur_Expedition_33/","Abrir Steam")</f>
        <v>Abrir Steam</v>
      </c>
      <c r="L24" t="s">
        <v>30</v>
      </c>
      <c r="M24" t="s">
        <v>70</v>
      </c>
      <c r="N24" t="s">
        <v>32</v>
      </c>
      <c r="O24" t="s">
        <v>215</v>
      </c>
      <c r="P24" t="s">
        <v>216</v>
      </c>
      <c r="Q24" t="s">
        <v>32</v>
      </c>
      <c r="R24" t="s">
        <v>217</v>
      </c>
      <c r="S24" t="s">
        <v>36</v>
      </c>
      <c r="T24" t="s">
        <v>36</v>
      </c>
      <c r="U24" t="s">
        <v>218</v>
      </c>
      <c r="V24" t="s">
        <v>36</v>
      </c>
      <c r="W24" t="s">
        <v>219</v>
      </c>
      <c r="X24" t="s">
        <v>36</v>
      </c>
      <c r="Y24" t="s">
        <v>220</v>
      </c>
      <c r="Z24" t="s">
        <v>36</v>
      </c>
    </row>
    <row r="25">
      <c r="A25" t="s">
        <v>214</v>
      </c>
      <c r="B25" t="s">
        <v>40</v>
      </c>
      <c r="C25" t="s">
        <v>32</v>
      </c>
      <c r="D25" t="s">
        <v>41</v>
      </c>
      <c r="E25">
        <v>54483</v>
      </c>
      <c r="F25">
        <v>79260</v>
      </c>
      <c r="G25">
        <v>69483</v>
      </c>
      <c r="H25">
        <v>15000</v>
      </c>
      <c r="I25">
        <v>100056</v>
      </c>
      <c r="J25" t="str">
        <f>HYPERLINK("https://www.eneba.com/latam/steam-clair-obscur-expedition-33-deluxe-edition-steam-key-pc-latam","Abrir compra")</f>
        <v>Abrir compra</v>
      </c>
      <c r="K25" t="str">
        <f>HYPERLINK("https://store.steampowered.com/app/1903340/Clair_Obscur_Expedition_33/","Abrir Steam")</f>
        <v>Abrir Steam</v>
      </c>
      <c r="L25" t="s">
        <v>42</v>
      </c>
      <c r="M25" t="s">
        <v>31</v>
      </c>
      <c r="N25" t="s">
        <v>32</v>
      </c>
      <c r="O25" t="s">
        <v>221</v>
      </c>
      <c r="P25" t="s">
        <v>222</v>
      </c>
      <c r="Q25" t="s">
        <v>32</v>
      </c>
      <c r="R25" t="s">
        <v>223</v>
      </c>
      <c r="S25" t="s">
        <v>36</v>
      </c>
      <c r="T25" t="s">
        <v>224</v>
      </c>
      <c r="U25" t="s">
        <v>225</v>
      </c>
      <c r="V25" t="s">
        <v>226</v>
      </c>
      <c r="W25" t="s">
        <v>227</v>
      </c>
      <c r="X25" t="s">
        <v>228</v>
      </c>
      <c r="Y25" t="s">
        <v>229</v>
      </c>
      <c r="Z25" t="s">
        <v>230</v>
      </c>
    </row>
    <row r="26">
      <c r="A26" t="s">
        <v>214</v>
      </c>
      <c r="B26" t="s">
        <v>52</v>
      </c>
      <c r="C26" t="s">
        <v>32</v>
      </c>
      <c r="D26" t="s">
        <v>41</v>
      </c>
      <c r="E26">
        <v>39773</v>
      </c>
      <c r="F26">
        <v>66047</v>
      </c>
      <c r="G26">
        <v>66007</v>
      </c>
      <c r="H26">
        <v>26234</v>
      </c>
      <c r="I26">
        <v>95050</v>
      </c>
      <c r="J26" t="str">
        <f>HYPERLINK("https://www.loaded.com/es_es/clair-obscur-expedition-33-pc-steam","Abrir compra")</f>
        <v>Abrir compra</v>
      </c>
      <c r="K26" t="str">
        <f>HYPERLINK("https://store.steampowered.com/app/1903340/Clair_Obscur_Expedition_33/","Abrir Steam")</f>
        <v>Abrir Steam</v>
      </c>
      <c r="L26" t="s">
        <v>231</v>
      </c>
      <c r="M26" t="s">
        <v>232</v>
      </c>
      <c r="N26" t="s">
        <v>32</v>
      </c>
      <c r="O26" t="s">
        <v>233</v>
      </c>
      <c r="P26" t="s">
        <v>234</v>
      </c>
      <c r="Q26" t="s">
        <v>32</v>
      </c>
      <c r="R26" t="s">
        <v>235</v>
      </c>
      <c r="S26" t="s">
        <v>36</v>
      </c>
      <c r="T26" t="s">
        <v>236</v>
      </c>
      <c r="U26" t="s">
        <v>237</v>
      </c>
      <c r="V26" t="s">
        <v>238</v>
      </c>
      <c r="W26" t="s">
        <v>239</v>
      </c>
      <c r="X26" t="s">
        <v>240</v>
      </c>
      <c r="Y26" t="s">
        <v>241</v>
      </c>
      <c r="Z26" t="s">
        <v>242</v>
      </c>
    </row>
    <row r="27">
      <c r="A27" t="s">
        <v>214</v>
      </c>
      <c r="B27" t="s">
        <v>62</v>
      </c>
      <c r="C27" t="s">
        <v>28</v>
      </c>
      <c r="D27" t="s">
        <v>29</v>
      </c>
      <c r="E27">
        <v>42315</v>
      </c>
      <c r="F27">
        <v>66047</v>
      </c>
      <c r="G27">
        <v>57315</v>
      </c>
      <c r="H27">
        <v>15000</v>
      </c>
      <c r="I27">
        <v>82534</v>
      </c>
      <c r="J27" t="str">
        <f>HYPERLINK("https://driffle.com/es/clair-obscur-expedition-33-global-pc-steam-account-p9978241","Abrir compra")</f>
        <v>Abrir compra</v>
      </c>
      <c r="K27" t="str">
        <f>HYPERLINK("https://store.steampowered.com/app/1903340/Clair_Obscur_Expedition_33/","Abrir Steam")</f>
        <v>Abrir Steam</v>
      </c>
      <c r="L27" t="s">
        <v>30</v>
      </c>
      <c r="M27" t="s">
        <v>70</v>
      </c>
      <c r="N27" t="s">
        <v>32</v>
      </c>
      <c r="O27" t="s">
        <v>243</v>
      </c>
      <c r="P27" t="s">
        <v>244</v>
      </c>
      <c r="Q27" t="s">
        <v>32</v>
      </c>
      <c r="R27" t="s">
        <v>245</v>
      </c>
      <c r="S27" t="s">
        <v>36</v>
      </c>
      <c r="T27" t="s">
        <v>36</v>
      </c>
      <c r="U27" t="s">
        <v>246</v>
      </c>
      <c r="V27" t="s">
        <v>36</v>
      </c>
      <c r="W27" t="s">
        <v>247</v>
      </c>
      <c r="X27" t="s">
        <v>36</v>
      </c>
      <c r="Y27" t="s">
        <v>248</v>
      </c>
      <c r="Z27" t="s">
        <v>36</v>
      </c>
    </row>
    <row r="28">
      <c r="A28" t="s">
        <v>249</v>
      </c>
      <c r="B28" t="s">
        <v>27</v>
      </c>
      <c r="C28" t="s">
        <v>28</v>
      </c>
      <c r="D28" t="s">
        <v>29</v>
      </c>
      <c r="E28">
        <v>65396</v>
      </c>
      <c r="F28">
        <v>150989</v>
      </c>
      <c r="G28">
        <v>91044</v>
      </c>
      <c r="H28">
        <v>25648</v>
      </c>
      <c r="I28">
        <v>131103</v>
      </c>
      <c r="J28" t="str">
        <f>HYPERLINK("https://driffle.com/es/crimson-desert-deluxe-edition-global-pc-steam-account-p9963797","Abrir compra")</f>
        <v>Abrir compra</v>
      </c>
      <c r="K28" t="str">
        <f>HYPERLINK("https://store.steampowered.com/app/3321460/Crimson_Desert/","Abrir Steam")</f>
        <v>Abrir Steam</v>
      </c>
      <c r="L28" t="s">
        <v>30</v>
      </c>
      <c r="M28" t="s">
        <v>31</v>
      </c>
      <c r="N28" t="s">
        <v>32</v>
      </c>
      <c r="O28" t="s">
        <v>250</v>
      </c>
      <c r="P28" t="s">
        <v>251</v>
      </c>
      <c r="Q28" t="s">
        <v>32</v>
      </c>
      <c r="R28" t="s">
        <v>252</v>
      </c>
      <c r="S28" t="s">
        <v>36</v>
      </c>
      <c r="T28" t="s">
        <v>36</v>
      </c>
      <c r="U28" t="s">
        <v>253</v>
      </c>
      <c r="V28" t="s">
        <v>36</v>
      </c>
      <c r="W28" t="s">
        <v>254</v>
      </c>
      <c r="X28" t="s">
        <v>36</v>
      </c>
      <c r="Y28" t="s">
        <v>255</v>
      </c>
      <c r="Z28" t="s">
        <v>36</v>
      </c>
    </row>
    <row r="29">
      <c r="A29" t="s">
        <v>249</v>
      </c>
      <c r="B29" t="s">
        <v>40</v>
      </c>
      <c r="C29" t="s">
        <v>32</v>
      </c>
      <c r="D29" t="s">
        <v>41</v>
      </c>
      <c r="E29">
        <v>52915</v>
      </c>
      <c r="F29">
        <v>150989</v>
      </c>
      <c r="G29">
        <v>79915</v>
      </c>
      <c r="H29">
        <v>27000</v>
      </c>
      <c r="I29">
        <v>115078</v>
      </c>
      <c r="J29" t="str">
        <f>HYPERLINK("https://driffle.com/es/crimson-desert-deluxe-edition-latam-pc-mac-steam-digital-key-p9987078","Abrir compra")</f>
        <v>Abrir compra</v>
      </c>
      <c r="K29" t="str">
        <f>HYPERLINK("https://store.steampowered.com/app/3321460/Crimson_Desert/","Abrir Steam")</f>
        <v>Abrir Steam</v>
      </c>
      <c r="L29" t="s">
        <v>30</v>
      </c>
      <c r="M29" t="s">
        <v>31</v>
      </c>
      <c r="N29" t="s">
        <v>32</v>
      </c>
      <c r="O29" t="s">
        <v>256</v>
      </c>
      <c r="P29" t="s">
        <v>257</v>
      </c>
      <c r="Q29" t="s">
        <v>32</v>
      </c>
      <c r="R29" t="s">
        <v>258</v>
      </c>
      <c r="S29" t="s">
        <v>36</v>
      </c>
      <c r="T29" t="s">
        <v>259</v>
      </c>
      <c r="U29" t="s">
        <v>260</v>
      </c>
      <c r="V29" t="s">
        <v>261</v>
      </c>
      <c r="W29" t="s">
        <v>262</v>
      </c>
      <c r="X29" t="s">
        <v>263</v>
      </c>
      <c r="Y29" t="s">
        <v>264</v>
      </c>
      <c r="Z29" t="s">
        <v>265</v>
      </c>
    </row>
    <row r="30">
      <c r="A30" t="s">
        <v>249</v>
      </c>
      <c r="B30" t="s">
        <v>52</v>
      </c>
      <c r="C30" t="s">
        <v>32</v>
      </c>
      <c r="D30" t="s">
        <v>41</v>
      </c>
      <c r="E30">
        <v>43718</v>
      </c>
      <c r="F30">
        <v>132113</v>
      </c>
      <c r="G30">
        <v>78718</v>
      </c>
      <c r="H30">
        <v>35000</v>
      </c>
      <c r="I30">
        <v>113354</v>
      </c>
      <c r="J30" t="str">
        <f>HYPERLINK("https://driffle.com/es/crimson-desert-latam-pc-mac-steam-digital-key-p9987077","Abrir compra")</f>
        <v>Abrir compra</v>
      </c>
      <c r="K30" t="str">
        <f>HYPERLINK("https://store.steampowered.com/app/3321460/Crimson_Desert/","Abrir Steam")</f>
        <v>Abrir Steam</v>
      </c>
      <c r="L30" t="s">
        <v>30</v>
      </c>
      <c r="M30" t="s">
        <v>31</v>
      </c>
      <c r="N30" t="s">
        <v>32</v>
      </c>
      <c r="O30" t="s">
        <v>266</v>
      </c>
      <c r="P30" t="s">
        <v>267</v>
      </c>
      <c r="Q30" t="s">
        <v>32</v>
      </c>
      <c r="R30" t="s">
        <v>268</v>
      </c>
      <c r="S30" t="s">
        <v>36</v>
      </c>
      <c r="T30" t="s">
        <v>269</v>
      </c>
      <c r="U30" t="s">
        <v>270</v>
      </c>
      <c r="V30" t="s">
        <v>271</v>
      </c>
      <c r="W30" t="s">
        <v>272</v>
      </c>
      <c r="X30" t="s">
        <v>273</v>
      </c>
      <c r="Y30" t="s">
        <v>274</v>
      </c>
      <c r="Z30" t="s">
        <v>275</v>
      </c>
    </row>
    <row r="31">
      <c r="A31" t="s">
        <v>249</v>
      </c>
      <c r="B31" t="s">
        <v>62</v>
      </c>
      <c r="C31" t="s">
        <v>28</v>
      </c>
      <c r="D31" t="s">
        <v>29</v>
      </c>
      <c r="E31">
        <v>44544</v>
      </c>
      <c r="F31">
        <v>132113</v>
      </c>
      <c r="G31">
        <v>71544</v>
      </c>
      <c r="H31">
        <v>27000</v>
      </c>
      <c r="I31">
        <v>103023</v>
      </c>
      <c r="J31" t="str">
        <f>HYPERLINK("https://driffle.com/es/crimson-desert-global-pc-steam-account-p9963796","Abrir compra")</f>
        <v>Abrir compra</v>
      </c>
      <c r="K31" t="str">
        <f>HYPERLINK("https://store.steampowered.com/app/3321460/Crimson_Desert/","Abrir Steam")</f>
        <v>Abrir Steam</v>
      </c>
      <c r="L31" t="s">
        <v>30</v>
      </c>
      <c r="M31" t="s">
        <v>31</v>
      </c>
      <c r="N31" t="s">
        <v>32</v>
      </c>
      <c r="O31" t="s">
        <v>276</v>
      </c>
      <c r="P31" t="s">
        <v>277</v>
      </c>
      <c r="Q31" t="s">
        <v>32</v>
      </c>
      <c r="R31" t="s">
        <v>278</v>
      </c>
      <c r="S31" t="s">
        <v>36</v>
      </c>
      <c r="T31" t="s">
        <v>36</v>
      </c>
      <c r="U31" t="s">
        <v>279</v>
      </c>
      <c r="V31" t="s">
        <v>36</v>
      </c>
      <c r="W31" t="s">
        <v>280</v>
      </c>
      <c r="X31" t="s">
        <v>36</v>
      </c>
      <c r="Y31" t="s">
        <v>281</v>
      </c>
      <c r="Z31" t="s">
        <v>36</v>
      </c>
    </row>
    <row r="32">
      <c r="A32" t="s">
        <v>282</v>
      </c>
      <c r="B32" t="s">
        <v>283</v>
      </c>
      <c r="C32" t="s">
        <v>32</v>
      </c>
      <c r="D32" t="s">
        <v>41</v>
      </c>
      <c r="E32">
        <v>25128</v>
      </c>
      <c r="F32">
        <v>50946</v>
      </c>
      <c r="G32">
        <v>40128</v>
      </c>
      <c r="H32">
        <v>15000</v>
      </c>
      <c r="I32">
        <v>57784</v>
      </c>
      <c r="J32" t="str">
        <f>HYPERLINK("https://driffle.com/es/cuphead-the-delicious-last-course-bundle-global-pc-mac-steam-digital-key-p9925316","Abrir compra")</f>
        <v>Abrir compra</v>
      </c>
      <c r="K32" t="str">
        <f>HYPERLINK("https://store.steampowered.com/app/268910/Cuphead/?curator_clanid=4777282","Abrir Steam")</f>
        <v>Abrir Steam</v>
      </c>
      <c r="L32" t="s">
        <v>30</v>
      </c>
      <c r="M32" t="s">
        <v>70</v>
      </c>
      <c r="N32" t="s">
        <v>32</v>
      </c>
      <c r="O32" t="s">
        <v>284</v>
      </c>
      <c r="P32" t="s">
        <v>285</v>
      </c>
      <c r="Q32" t="s">
        <v>32</v>
      </c>
      <c r="R32" t="s">
        <v>286</v>
      </c>
      <c r="S32" t="s">
        <v>36</v>
      </c>
      <c r="T32" t="s">
        <v>287</v>
      </c>
      <c r="U32" t="s">
        <v>288</v>
      </c>
      <c r="V32" t="s">
        <v>36</v>
      </c>
      <c r="W32" t="s">
        <v>289</v>
      </c>
      <c r="X32" t="s">
        <v>290</v>
      </c>
      <c r="Y32" t="s">
        <v>291</v>
      </c>
      <c r="Z32" t="s">
        <v>36</v>
      </c>
    </row>
    <row r="33">
      <c r="A33" t="s">
        <v>282</v>
      </c>
      <c r="B33" t="s">
        <v>52</v>
      </c>
      <c r="C33" t="s">
        <v>32</v>
      </c>
      <c r="D33" t="s">
        <v>41</v>
      </c>
      <c r="E33">
        <v>16229</v>
      </c>
      <c r="F33">
        <v>37733</v>
      </c>
      <c r="G33">
        <v>32675</v>
      </c>
      <c r="H33">
        <v>16446</v>
      </c>
      <c r="I33">
        <v>47052</v>
      </c>
      <c r="J33" t="str">
        <f>HYPERLINK("https://driffle.com/es/cuphead-p9879470","Abrir compra")</f>
        <v>Abrir compra</v>
      </c>
      <c r="K33" t="str">
        <f>HYPERLINK("https://store.steampowered.com/app/268910/Cuphead/?curator_clanid=4777282","Abrir Steam")</f>
        <v>Abrir Steam</v>
      </c>
      <c r="L33" t="s">
        <v>30</v>
      </c>
      <c r="M33" t="s">
        <v>31</v>
      </c>
      <c r="N33" t="s">
        <v>32</v>
      </c>
      <c r="O33" t="s">
        <v>292</v>
      </c>
      <c r="P33" t="s">
        <v>293</v>
      </c>
      <c r="Q33" t="s">
        <v>32</v>
      </c>
      <c r="R33" t="s">
        <v>294</v>
      </c>
      <c r="S33" t="s">
        <v>36</v>
      </c>
      <c r="T33" t="s">
        <v>295</v>
      </c>
      <c r="U33" t="s">
        <v>296</v>
      </c>
      <c r="V33" t="s">
        <v>36</v>
      </c>
      <c r="W33" t="s">
        <v>297</v>
      </c>
      <c r="X33" t="s">
        <v>298</v>
      </c>
      <c r="Y33" t="s">
        <v>299</v>
      </c>
      <c r="Z33" t="s">
        <v>36</v>
      </c>
    </row>
    <row r="34">
      <c r="A34" t="s">
        <v>282</v>
      </c>
      <c r="B34" t="s">
        <v>62</v>
      </c>
      <c r="C34" t="s">
        <v>28</v>
      </c>
      <c r="D34" t="s">
        <v>29</v>
      </c>
      <c r="E34">
        <v>6703</v>
      </c>
      <c r="F34">
        <v>37733</v>
      </c>
      <c r="G34">
        <v>23397</v>
      </c>
      <c r="H34">
        <v>16694</v>
      </c>
      <c r="I34">
        <v>33692</v>
      </c>
      <c r="J34" t="str">
        <f>HYPERLINK("https://driffle.com/es/cuphead-global-pc-mac-steam-account-p9943424","Abrir compra")</f>
        <v>Abrir compra</v>
      </c>
      <c r="K34" t="str">
        <f>HYPERLINK("https://store.steampowered.com/app/268910/Cuphead/?curator_clanid=4777282","Abrir Steam")</f>
        <v>Abrir Steam</v>
      </c>
      <c r="L34" t="s">
        <v>30</v>
      </c>
      <c r="M34" t="s">
        <v>31</v>
      </c>
      <c r="N34" t="s">
        <v>32</v>
      </c>
      <c r="O34" t="s">
        <v>300</v>
      </c>
      <c r="P34" t="s">
        <v>301</v>
      </c>
      <c r="Q34" t="s">
        <v>32</v>
      </c>
      <c r="R34" t="s">
        <v>302</v>
      </c>
      <c r="S34" t="s">
        <v>36</v>
      </c>
      <c r="T34" t="s">
        <v>36</v>
      </c>
      <c r="U34" t="s">
        <v>303</v>
      </c>
      <c r="V34" t="s">
        <v>36</v>
      </c>
      <c r="W34" t="s">
        <v>304</v>
      </c>
      <c r="X34" t="s">
        <v>36</v>
      </c>
      <c r="Y34" t="s">
        <v>305</v>
      </c>
      <c r="Z34" t="s">
        <v>36</v>
      </c>
    </row>
    <row r="35">
      <c r="A35" t="s">
        <v>306</v>
      </c>
      <c r="B35" t="s">
        <v>62</v>
      </c>
      <c r="C35" t="s">
        <v>28</v>
      </c>
      <c r="D35" t="s">
        <v>29</v>
      </c>
      <c r="E35">
        <v>14975</v>
      </c>
      <c r="F35">
        <v>84923</v>
      </c>
      <c r="G35">
        <v>41975</v>
      </c>
      <c r="H35">
        <v>27000</v>
      </c>
      <c r="I35">
        <v>60444</v>
      </c>
      <c r="J35" t="str">
        <f>HYPERLINK("https://driffle.com/es/cyberpunk-2077-global-pc-steam-account-p9943437","Abrir compra")</f>
        <v>Abrir compra</v>
      </c>
      <c r="K35" t="str">
        <f>HYPERLINK("https://store.steampowered.com/app/1091500/Cyberpunk_2077/","Abrir Steam")</f>
        <v>Abrir Steam</v>
      </c>
      <c r="L35" t="s">
        <v>30</v>
      </c>
      <c r="M35" t="s">
        <v>70</v>
      </c>
      <c r="N35" t="s">
        <v>32</v>
      </c>
      <c r="O35" t="s">
        <v>307</v>
      </c>
      <c r="P35" t="s">
        <v>308</v>
      </c>
      <c r="Q35" t="s">
        <v>32</v>
      </c>
      <c r="R35" t="s">
        <v>309</v>
      </c>
      <c r="S35" t="s">
        <v>36</v>
      </c>
      <c r="T35" t="s">
        <v>36</v>
      </c>
      <c r="U35" t="s">
        <v>310</v>
      </c>
      <c r="V35" t="s">
        <v>36</v>
      </c>
      <c r="W35" t="s">
        <v>311</v>
      </c>
      <c r="X35" t="s">
        <v>36</v>
      </c>
      <c r="Y35" t="s">
        <v>312</v>
      </c>
      <c r="Z35" t="s">
        <v>36</v>
      </c>
    </row>
    <row r="36">
      <c r="A36" t="s">
        <v>306</v>
      </c>
      <c r="B36" t="s">
        <v>313</v>
      </c>
      <c r="C36" t="s">
        <v>28</v>
      </c>
      <c r="D36" t="s">
        <v>29</v>
      </c>
      <c r="E36">
        <v>28430</v>
      </c>
      <c r="F36">
        <v>127375</v>
      </c>
      <c r="G36">
        <v>55430</v>
      </c>
      <c r="H36">
        <v>27000</v>
      </c>
      <c r="I36">
        <v>79819</v>
      </c>
      <c r="J36" t="str">
        <f>HYPERLINK("https://driffle.com/es/cyberpunk-2077-ultimate-edition-global-pc-steam-account-p9941467","Abrir compra")</f>
        <v>Abrir compra</v>
      </c>
      <c r="K36" t="str">
        <f>HYPERLINK("https://store.steampowered.com/app/1091500/Cyberpunk_2077/","Abrir Steam")</f>
        <v>Abrir Steam</v>
      </c>
      <c r="L36" t="s">
        <v>30</v>
      </c>
      <c r="M36" t="s">
        <v>70</v>
      </c>
      <c r="N36" t="s">
        <v>32</v>
      </c>
      <c r="O36" t="s">
        <v>314</v>
      </c>
      <c r="P36" t="s">
        <v>315</v>
      </c>
      <c r="Q36" t="s">
        <v>32</v>
      </c>
      <c r="R36" t="s">
        <v>316</v>
      </c>
      <c r="S36" t="s">
        <v>36</v>
      </c>
      <c r="T36" t="s">
        <v>36</v>
      </c>
      <c r="U36" t="s">
        <v>317</v>
      </c>
      <c r="V36" t="s">
        <v>36</v>
      </c>
      <c r="W36" t="s">
        <v>318</v>
      </c>
      <c r="X36" t="s">
        <v>36</v>
      </c>
      <c r="Y36" t="s">
        <v>319</v>
      </c>
      <c r="Z36" t="s">
        <v>36</v>
      </c>
    </row>
    <row r="37">
      <c r="A37" t="s">
        <v>320</v>
      </c>
      <c r="B37" t="s">
        <v>321</v>
      </c>
      <c r="C37" t="s">
        <v>32</v>
      </c>
      <c r="D37" t="s">
        <v>41</v>
      </c>
      <c r="E37">
        <v>110287</v>
      </c>
      <c r="F37">
        <v>132113</v>
      </c>
      <c r="G37">
        <v>125287</v>
      </c>
      <c r="H37">
        <v>15000</v>
      </c>
      <c r="I37">
        <v>180413</v>
      </c>
      <c r="J37" t="str">
        <f>HYPERLINK("https://www.eneba.com/latam/steam-dayz-cool-edition-steam-key-pc-global","Abrir compra")</f>
        <v>Abrir compra</v>
      </c>
      <c r="K37" t="str">
        <f>HYPERLINK("https://store.steampowered.com/app/221100/DayZ/","Abrir Steam")</f>
        <v>Abrir Steam</v>
      </c>
      <c r="L37" t="s">
        <v>42</v>
      </c>
      <c r="M37" t="s">
        <v>70</v>
      </c>
      <c r="N37" t="s">
        <v>32</v>
      </c>
      <c r="O37" t="s">
        <v>322</v>
      </c>
      <c r="P37" t="s">
        <v>323</v>
      </c>
      <c r="Q37" t="s">
        <v>32</v>
      </c>
      <c r="R37" t="s">
        <v>324</v>
      </c>
      <c r="S37" t="s">
        <v>36</v>
      </c>
      <c r="T37" t="s">
        <v>325</v>
      </c>
      <c r="U37" t="s">
        <v>326</v>
      </c>
      <c r="V37" t="s">
        <v>36</v>
      </c>
      <c r="W37" t="s">
        <v>36</v>
      </c>
      <c r="X37" t="s">
        <v>327</v>
      </c>
      <c r="Y37" t="s">
        <v>328</v>
      </c>
      <c r="Z37" t="s">
        <v>36</v>
      </c>
    </row>
    <row r="38">
      <c r="A38" t="s">
        <v>320</v>
      </c>
      <c r="B38" t="s">
        <v>329</v>
      </c>
      <c r="C38" t="s">
        <v>32</v>
      </c>
      <c r="D38" t="s">
        <v>41</v>
      </c>
      <c r="E38">
        <v>42398</v>
      </c>
      <c r="F38">
        <v>113237</v>
      </c>
      <c r="G38">
        <v>69398</v>
      </c>
      <c r="H38">
        <v>27000</v>
      </c>
      <c r="I38">
        <v>99933</v>
      </c>
      <c r="J38" t="str">
        <f>HYPERLINK("https://www.eneba.com/latam/steam-dayz-deluxe-edition-steam-key-pc-latam","Abrir compra")</f>
        <v>Abrir compra</v>
      </c>
      <c r="K38" t="str">
        <f>HYPERLINK("https://store.steampowered.com/app/221100/DayZ/","Abrir Steam")</f>
        <v>Abrir Steam</v>
      </c>
      <c r="L38" t="s">
        <v>42</v>
      </c>
      <c r="M38" t="s">
        <v>31</v>
      </c>
      <c r="N38" t="s">
        <v>32</v>
      </c>
      <c r="O38" t="s">
        <v>330</v>
      </c>
      <c r="P38" t="s">
        <v>331</v>
      </c>
      <c r="Q38" t="s">
        <v>32</v>
      </c>
      <c r="R38" t="s">
        <v>332</v>
      </c>
      <c r="S38" t="s">
        <v>36</v>
      </c>
      <c r="T38" t="s">
        <v>333</v>
      </c>
      <c r="U38" t="s">
        <v>334</v>
      </c>
      <c r="V38" t="s">
        <v>335</v>
      </c>
      <c r="W38" t="s">
        <v>336</v>
      </c>
      <c r="X38" t="s">
        <v>337</v>
      </c>
      <c r="Y38" t="s">
        <v>338</v>
      </c>
      <c r="Z38" t="s">
        <v>339</v>
      </c>
    </row>
    <row r="39">
      <c r="A39" t="s">
        <v>320</v>
      </c>
      <c r="B39" t="s">
        <v>52</v>
      </c>
      <c r="C39" t="s">
        <v>32</v>
      </c>
      <c r="D39" t="s">
        <v>41</v>
      </c>
      <c r="E39">
        <v>23015</v>
      </c>
      <c r="F39">
        <v>94361</v>
      </c>
      <c r="G39">
        <v>58015</v>
      </c>
      <c r="H39">
        <v>35000</v>
      </c>
      <c r="I39">
        <v>83542</v>
      </c>
      <c r="J39" t="str">
        <f>HYPERLINK("https://www.eneba.com/latam/steam-dayz-pc-steam-key-latam","Abrir compra")</f>
        <v>Abrir compra</v>
      </c>
      <c r="K39" t="str">
        <f>HYPERLINK("https://store.steampowered.com/app/221100/DayZ/","Abrir Steam")</f>
        <v>Abrir Steam</v>
      </c>
      <c r="L39" t="s">
        <v>42</v>
      </c>
      <c r="M39" t="s">
        <v>31</v>
      </c>
      <c r="N39" t="s">
        <v>32</v>
      </c>
      <c r="O39" t="s">
        <v>340</v>
      </c>
      <c r="P39" t="s">
        <v>341</v>
      </c>
      <c r="Q39" t="s">
        <v>32</v>
      </c>
      <c r="R39" t="s">
        <v>342</v>
      </c>
      <c r="S39" t="s">
        <v>36</v>
      </c>
      <c r="T39" t="s">
        <v>343</v>
      </c>
      <c r="U39" t="s">
        <v>344</v>
      </c>
      <c r="V39" t="s">
        <v>36</v>
      </c>
      <c r="W39" t="s">
        <v>345</v>
      </c>
      <c r="X39" t="s">
        <v>346</v>
      </c>
      <c r="Y39" t="s">
        <v>347</v>
      </c>
      <c r="Z39" t="s">
        <v>36</v>
      </c>
    </row>
    <row r="40">
      <c r="A40" t="s">
        <v>320</v>
      </c>
      <c r="B40" t="s">
        <v>62</v>
      </c>
      <c r="C40" t="s">
        <v>28</v>
      </c>
      <c r="D40" t="s">
        <v>29</v>
      </c>
      <c r="E40">
        <v>22041</v>
      </c>
      <c r="F40">
        <v>94361</v>
      </c>
      <c r="G40">
        <v>49041</v>
      </c>
      <c r="H40">
        <v>27000</v>
      </c>
      <c r="I40">
        <v>70619</v>
      </c>
      <c r="J40" t="str">
        <f>HYPERLINK("https://driffle.com/es/dayz-global-pc-steam-account-p9941452","Abrir compra")</f>
        <v>Abrir compra</v>
      </c>
      <c r="K40" t="str">
        <f>HYPERLINK("https://store.steampowered.com/app/221100/DayZ/","Abrir Steam")</f>
        <v>Abrir Steam</v>
      </c>
      <c r="L40" t="s">
        <v>30</v>
      </c>
      <c r="M40" t="s">
        <v>70</v>
      </c>
      <c r="N40" t="s">
        <v>32</v>
      </c>
      <c r="O40" t="s">
        <v>348</v>
      </c>
      <c r="P40" t="s">
        <v>349</v>
      </c>
      <c r="Q40" t="s">
        <v>32</v>
      </c>
      <c r="R40" t="s">
        <v>350</v>
      </c>
      <c r="S40" t="s">
        <v>36</v>
      </c>
      <c r="T40" t="s">
        <v>36</v>
      </c>
      <c r="U40" t="s">
        <v>351</v>
      </c>
      <c r="V40" t="s">
        <v>36</v>
      </c>
      <c r="W40" t="s">
        <v>352</v>
      </c>
      <c r="X40" t="s">
        <v>36</v>
      </c>
      <c r="Y40" t="s">
        <v>353</v>
      </c>
      <c r="Z40" t="s">
        <v>36</v>
      </c>
    </row>
    <row r="41">
      <c r="A41" t="s">
        <v>354</v>
      </c>
      <c r="B41" t="s">
        <v>62</v>
      </c>
      <c r="C41" t="s">
        <v>28</v>
      </c>
      <c r="D41" t="s">
        <v>29</v>
      </c>
      <c r="E41">
        <v>6852</v>
      </c>
      <c r="F41">
        <v>28295</v>
      </c>
      <c r="G41">
        <v>21852</v>
      </c>
      <c r="H41">
        <v>15000</v>
      </c>
      <c r="I41">
        <v>31467</v>
      </c>
      <c r="J41" t="str">
        <f>HYPERLINK("https://driffle.com/es/dead-by-daylight-global-pc-steam-account-p9943429","Abrir compra")</f>
        <v>Abrir compra</v>
      </c>
      <c r="K41" t="str">
        <f>HYPERLINK("https://store.steampowered.com/app/381210/Dead_by_Daylight/?curator_clanid=4777282","Abrir Steam")</f>
        <v>Abrir Steam</v>
      </c>
      <c r="L41" t="s">
        <v>30</v>
      </c>
      <c r="M41" t="s">
        <v>31</v>
      </c>
      <c r="N41" t="s">
        <v>32</v>
      </c>
      <c r="O41" t="s">
        <v>355</v>
      </c>
      <c r="P41" t="s">
        <v>356</v>
      </c>
      <c r="Q41" t="s">
        <v>32</v>
      </c>
      <c r="R41" t="s">
        <v>357</v>
      </c>
      <c r="S41" t="s">
        <v>36</v>
      </c>
      <c r="T41" t="s">
        <v>36</v>
      </c>
      <c r="U41" t="s">
        <v>358</v>
      </c>
      <c r="V41" t="s">
        <v>36</v>
      </c>
      <c r="W41" t="s">
        <v>359</v>
      </c>
      <c r="X41" t="s">
        <v>36</v>
      </c>
      <c r="Y41" t="s">
        <v>360</v>
      </c>
      <c r="Z41" t="s">
        <v>36</v>
      </c>
    </row>
    <row r="42">
      <c r="A42" t="s">
        <v>361</v>
      </c>
      <c r="B42" t="s">
        <v>52</v>
      </c>
      <c r="C42" t="s">
        <v>32</v>
      </c>
      <c r="D42" t="s">
        <v>41</v>
      </c>
      <c r="E42">
        <v>84383</v>
      </c>
      <c r="F42">
        <v>132113</v>
      </c>
      <c r="G42">
        <v>100317</v>
      </c>
      <c r="H42">
        <v>15934</v>
      </c>
      <c r="I42">
        <v>144456</v>
      </c>
      <c r="J42" t="str">
        <f>HYPERLINK("https://driffle.com/es/death-stranding-2-on-the-beach-latam-pc-steam-digital-key-p9985579","Abrir compra")</f>
        <v>Abrir compra</v>
      </c>
      <c r="K42" t="str">
        <f>HYPERLINK("https://store.steampowered.com/app/3280350/DEATH_STRANDING_2_ON_THE_BEACH/","Abrir Steam")</f>
        <v>Abrir Steam</v>
      </c>
      <c r="L42" t="s">
        <v>30</v>
      </c>
      <c r="M42" t="s">
        <v>31</v>
      </c>
      <c r="N42" t="s">
        <v>32</v>
      </c>
      <c r="O42" t="s">
        <v>362</v>
      </c>
      <c r="P42" t="s">
        <v>363</v>
      </c>
      <c r="Q42" t="s">
        <v>32</v>
      </c>
      <c r="R42" t="s">
        <v>364</v>
      </c>
      <c r="S42" t="s">
        <v>36</v>
      </c>
      <c r="T42" t="s">
        <v>365</v>
      </c>
      <c r="U42" t="s">
        <v>366</v>
      </c>
      <c r="V42" t="s">
        <v>36</v>
      </c>
      <c r="W42" t="s">
        <v>367</v>
      </c>
      <c r="X42" t="s">
        <v>368</v>
      </c>
      <c r="Y42" t="s">
        <v>369</v>
      </c>
      <c r="Z42" t="s">
        <v>36</v>
      </c>
    </row>
    <row r="43">
      <c r="A43" t="s">
        <v>361</v>
      </c>
      <c r="B43" t="s">
        <v>62</v>
      </c>
      <c r="C43" t="s">
        <v>28</v>
      </c>
      <c r="D43" t="s">
        <v>29</v>
      </c>
      <c r="E43">
        <v>62887</v>
      </c>
      <c r="F43">
        <v>132113</v>
      </c>
      <c r="G43">
        <v>82679</v>
      </c>
      <c r="H43">
        <v>19792</v>
      </c>
      <c r="I43">
        <v>119058</v>
      </c>
      <c r="J43" t="str">
        <f>HYPERLINK("https://driffle.com/es/death-stranding-2-on-the-beach-global-pc-steam-account-p9986853","Abrir compra")</f>
        <v>Abrir compra</v>
      </c>
      <c r="K43" t="str">
        <f>HYPERLINK("https://store.steampowered.com/app/3280350/DEATH_STRANDING_2_ON_THE_BEACH/","Abrir Steam")</f>
        <v>Abrir Steam</v>
      </c>
      <c r="L43" t="s">
        <v>30</v>
      </c>
      <c r="M43" t="s">
        <v>31</v>
      </c>
      <c r="N43" t="s">
        <v>32</v>
      </c>
      <c r="O43" t="s">
        <v>370</v>
      </c>
      <c r="P43" t="s">
        <v>371</v>
      </c>
      <c r="Q43" t="s">
        <v>32</v>
      </c>
      <c r="R43" t="s">
        <v>372</v>
      </c>
      <c r="S43" t="s">
        <v>36</v>
      </c>
      <c r="T43" t="s">
        <v>36</v>
      </c>
      <c r="U43" t="s">
        <v>373</v>
      </c>
      <c r="V43" t="s">
        <v>36</v>
      </c>
      <c r="W43" t="s">
        <v>36</v>
      </c>
      <c r="X43" t="s">
        <v>36</v>
      </c>
      <c r="Y43" t="s">
        <v>374</v>
      </c>
      <c r="Z43" t="s">
        <v>36</v>
      </c>
    </row>
    <row r="44">
      <c r="A44" t="s">
        <v>375</v>
      </c>
      <c r="B44" t="s">
        <v>52</v>
      </c>
      <c r="C44" t="s">
        <v>32</v>
      </c>
      <c r="D44" t="s">
        <v>41</v>
      </c>
      <c r="E44">
        <v>8007</v>
      </c>
      <c r="F44">
        <v>60384</v>
      </c>
      <c r="G44">
        <v>38682</v>
      </c>
      <c r="H44">
        <v>30675</v>
      </c>
      <c r="I44">
        <v>55702</v>
      </c>
      <c r="J44" t="str">
        <f>HYPERLINK("https://www.eneba.com/latam/steam-detroit-become-human-steam-key-latam","Abrir compra")</f>
        <v>Abrir compra</v>
      </c>
      <c r="K44" t="str">
        <f>HYPERLINK("https://store.steampowered.com/app/1222140/Detroit_Become_Human/?curator_clanid=4777282","Abrir Steam")</f>
        <v>Abrir Steam</v>
      </c>
      <c r="L44" t="s">
        <v>42</v>
      </c>
      <c r="M44" t="s">
        <v>31</v>
      </c>
      <c r="N44" t="s">
        <v>32</v>
      </c>
      <c r="O44" t="s">
        <v>376</v>
      </c>
      <c r="P44" t="s">
        <v>377</v>
      </c>
      <c r="Q44" t="s">
        <v>32</v>
      </c>
      <c r="R44" t="s">
        <v>378</v>
      </c>
      <c r="S44" t="s">
        <v>36</v>
      </c>
      <c r="T44" t="s">
        <v>379</v>
      </c>
      <c r="U44" t="s">
        <v>380</v>
      </c>
      <c r="V44" t="s">
        <v>381</v>
      </c>
      <c r="W44" t="s">
        <v>382</v>
      </c>
      <c r="X44" t="s">
        <v>383</v>
      </c>
      <c r="Y44" t="s">
        <v>384</v>
      </c>
      <c r="Z44" t="s">
        <v>385</v>
      </c>
    </row>
    <row r="45">
      <c r="A45" t="s">
        <v>375</v>
      </c>
      <c r="B45" t="s">
        <v>62</v>
      </c>
      <c r="C45" t="s">
        <v>28</v>
      </c>
      <c r="D45" t="s">
        <v>29</v>
      </c>
      <c r="E45">
        <v>3682</v>
      </c>
      <c r="F45">
        <v>60384</v>
      </c>
      <c r="G45">
        <v>30682</v>
      </c>
      <c r="H45">
        <v>27000</v>
      </c>
      <c r="I45">
        <v>44182</v>
      </c>
      <c r="J45" t="str">
        <f>HYPERLINK("https://driffle.com/es/detroit-become-human-global-pc-steam-account-p9943441","Abrir compra")</f>
        <v>Abrir compra</v>
      </c>
      <c r="K45" t="str">
        <f>HYPERLINK("https://store.steampowered.com/app/1222140/Detroit_Become_Human/?curator_clanid=4777282","Abrir Steam")</f>
        <v>Abrir Steam</v>
      </c>
      <c r="L45" t="s">
        <v>30</v>
      </c>
      <c r="M45" t="s">
        <v>31</v>
      </c>
      <c r="N45" t="s">
        <v>32</v>
      </c>
      <c r="O45" t="s">
        <v>386</v>
      </c>
      <c r="P45" t="s">
        <v>387</v>
      </c>
      <c r="Q45" t="s">
        <v>32</v>
      </c>
      <c r="R45" t="s">
        <v>388</v>
      </c>
      <c r="S45" t="s">
        <v>36</v>
      </c>
      <c r="T45" t="s">
        <v>36</v>
      </c>
      <c r="U45" t="s">
        <v>389</v>
      </c>
      <c r="V45" t="s">
        <v>36</v>
      </c>
      <c r="W45" t="s">
        <v>390</v>
      </c>
      <c r="X45" t="s">
        <v>36</v>
      </c>
      <c r="Y45" t="s">
        <v>391</v>
      </c>
      <c r="Z45" t="s">
        <v>36</v>
      </c>
    </row>
    <row r="46">
      <c r="A46" t="s">
        <v>392</v>
      </c>
      <c r="B46" t="s">
        <v>393</v>
      </c>
      <c r="C46" t="s">
        <v>28</v>
      </c>
      <c r="D46" t="s">
        <v>29</v>
      </c>
      <c r="E46">
        <v>86744</v>
      </c>
      <c r="F46">
        <v>132113</v>
      </c>
      <c r="G46">
        <v>101744</v>
      </c>
      <c r="H46">
        <v>15000</v>
      </c>
      <c r="I46">
        <v>146511</v>
      </c>
      <c r="J46" t="str">
        <f>HYPERLINK("https://driffle.com/es/diablo-iv-age-of-hatred-collection-global-pc-steam-account-p9977572","Abrir compra")</f>
        <v>Abrir compra</v>
      </c>
      <c r="K46" t="str">
        <f>HYPERLINK("https://store.steampowered.com/app/2344520/Diablo_IV/","Abrir Steam")</f>
        <v>Abrir Steam</v>
      </c>
      <c r="L46" t="s">
        <v>30</v>
      </c>
      <c r="M46" t="s">
        <v>31</v>
      </c>
      <c r="N46" t="s">
        <v>32</v>
      </c>
      <c r="O46" t="s">
        <v>394</v>
      </c>
      <c r="P46" t="s">
        <v>395</v>
      </c>
      <c r="Q46" t="s">
        <v>32</v>
      </c>
      <c r="R46" t="s">
        <v>396</v>
      </c>
      <c r="S46" t="s">
        <v>36</v>
      </c>
      <c r="T46" t="s">
        <v>36</v>
      </c>
      <c r="U46" t="s">
        <v>397</v>
      </c>
      <c r="V46" t="s">
        <v>36</v>
      </c>
      <c r="W46" t="s">
        <v>398</v>
      </c>
      <c r="X46" t="s">
        <v>36</v>
      </c>
      <c r="Y46" t="s">
        <v>399</v>
      </c>
      <c r="Z46" t="s">
        <v>36</v>
      </c>
    </row>
    <row r="47">
      <c r="A47" t="s">
        <v>392</v>
      </c>
      <c r="B47" t="s">
        <v>62</v>
      </c>
      <c r="C47" t="s">
        <v>28</v>
      </c>
      <c r="D47" t="s">
        <v>29</v>
      </c>
      <c r="E47">
        <v>34192</v>
      </c>
      <c r="F47">
        <v>94361</v>
      </c>
      <c r="G47">
        <v>56478</v>
      </c>
      <c r="H47">
        <v>22286</v>
      </c>
      <c r="I47">
        <v>81328</v>
      </c>
      <c r="J47" t="str">
        <f>HYPERLINK("https://driffle.com/es/diablo-iv-global-pc-steam-account-p9979483","Abrir compra")</f>
        <v>Abrir compra</v>
      </c>
      <c r="K47" t="str">
        <f>HYPERLINK("https://store.steampowered.com/app/2344520/Diablo_IV/","Abrir Steam")</f>
        <v>Abrir Steam</v>
      </c>
      <c r="L47" t="s">
        <v>30</v>
      </c>
      <c r="M47" t="s">
        <v>31</v>
      </c>
      <c r="N47" t="s">
        <v>32</v>
      </c>
      <c r="O47" t="s">
        <v>400</v>
      </c>
      <c r="P47" t="s">
        <v>401</v>
      </c>
      <c r="Q47" t="s">
        <v>32</v>
      </c>
      <c r="R47" t="s">
        <v>402</v>
      </c>
      <c r="S47" t="s">
        <v>36</v>
      </c>
      <c r="T47" t="s">
        <v>36</v>
      </c>
      <c r="U47" t="s">
        <v>403</v>
      </c>
      <c r="V47" t="s">
        <v>36</v>
      </c>
      <c r="W47" t="s">
        <v>404</v>
      </c>
      <c r="X47" t="s">
        <v>36</v>
      </c>
      <c r="Y47" t="s">
        <v>405</v>
      </c>
      <c r="Z47" t="s">
        <v>36</v>
      </c>
    </row>
    <row r="48">
      <c r="A48" t="s">
        <v>406</v>
      </c>
      <c r="B48" t="s">
        <v>62</v>
      </c>
      <c r="C48" t="s">
        <v>28</v>
      </c>
      <c r="D48" t="s">
        <v>29</v>
      </c>
      <c r="E48">
        <v>7628</v>
      </c>
      <c r="F48">
        <v>28295</v>
      </c>
      <c r="G48">
        <v>22628</v>
      </c>
      <c r="H48">
        <v>15000</v>
      </c>
      <c r="I48">
        <v>32584</v>
      </c>
      <c r="J48" t="str">
        <f>HYPERLINK("https://driffle.com/es/dispatch-global-pc-steam-account-p9969733","Abrir compra")</f>
        <v>Abrir compra</v>
      </c>
      <c r="K48" t="str">
        <f>HYPERLINK("https://store.steampowered.com/app/2592160/Dispatch/?curator_clanid=4777282","Abrir Steam")</f>
        <v>Abrir Steam</v>
      </c>
      <c r="L48" t="s">
        <v>30</v>
      </c>
      <c r="M48" t="s">
        <v>70</v>
      </c>
      <c r="N48" t="s">
        <v>32</v>
      </c>
      <c r="O48" t="s">
        <v>407</v>
      </c>
      <c r="P48" t="s">
        <v>408</v>
      </c>
      <c r="Q48" t="s">
        <v>32</v>
      </c>
      <c r="R48" t="s">
        <v>409</v>
      </c>
      <c r="S48" t="s">
        <v>36</v>
      </c>
      <c r="T48" t="s">
        <v>36</v>
      </c>
      <c r="U48" t="s">
        <v>410</v>
      </c>
      <c r="V48" t="s">
        <v>36</v>
      </c>
      <c r="W48" t="s">
        <v>411</v>
      </c>
      <c r="X48" t="s">
        <v>36</v>
      </c>
      <c r="Y48" t="s">
        <v>412</v>
      </c>
      <c r="Z48" t="s">
        <v>36</v>
      </c>
    </row>
    <row r="49">
      <c r="A49" t="s">
        <v>413</v>
      </c>
      <c r="B49" t="s">
        <v>62</v>
      </c>
      <c r="C49" t="s">
        <v>28</v>
      </c>
      <c r="D49" t="s">
        <v>29</v>
      </c>
      <c r="E49">
        <v>35728</v>
      </c>
      <c r="F49">
        <v>75485</v>
      </c>
      <c r="G49">
        <v>50728</v>
      </c>
      <c r="H49">
        <v>15000</v>
      </c>
      <c r="I49">
        <v>73048</v>
      </c>
      <c r="J49" t="str">
        <f>HYPERLINK("https://driffle.com/es/dragon-ball-sparking-zero-global-pc-steam-account-p9971483","Abrir compra")</f>
        <v>Abrir compra</v>
      </c>
      <c r="K49" t="str">
        <f>HYPERLINK("https://store.steampowered.com/app/1790600/DRAGON_BALL_Sparking_ZERO/","Abrir Steam")</f>
        <v>Abrir Steam</v>
      </c>
      <c r="L49" t="s">
        <v>30</v>
      </c>
      <c r="M49" t="s">
        <v>31</v>
      </c>
      <c r="N49" t="s">
        <v>32</v>
      </c>
      <c r="O49" t="s">
        <v>414</v>
      </c>
      <c r="P49" t="s">
        <v>415</v>
      </c>
      <c r="Q49" t="s">
        <v>32</v>
      </c>
      <c r="R49" t="s">
        <v>416</v>
      </c>
      <c r="S49" t="s">
        <v>36</v>
      </c>
      <c r="T49" t="s">
        <v>36</v>
      </c>
      <c r="U49" t="s">
        <v>417</v>
      </c>
      <c r="V49" t="s">
        <v>36</v>
      </c>
      <c r="W49" t="s">
        <v>418</v>
      </c>
      <c r="X49" t="s">
        <v>36</v>
      </c>
      <c r="Y49" t="s">
        <v>419</v>
      </c>
      <c r="Z49" t="s">
        <v>36</v>
      </c>
    </row>
    <row r="50">
      <c r="A50" t="s">
        <v>420</v>
      </c>
      <c r="B50" t="s">
        <v>329</v>
      </c>
      <c r="C50" t="s">
        <v>32</v>
      </c>
      <c r="D50" t="s">
        <v>41</v>
      </c>
      <c r="E50">
        <v>44594</v>
      </c>
      <c r="F50">
        <v>98136</v>
      </c>
      <c r="G50">
        <v>72469</v>
      </c>
      <c r="H50">
        <v>27875</v>
      </c>
      <c r="I50">
        <v>104355</v>
      </c>
      <c r="J50" t="str">
        <f>HYPERLINK("https://www.eneba.com/latam/steam-dying-light-the-beast-deluxe-edition-steam-pc-key-global","Abrir compra")</f>
        <v>Abrir compra</v>
      </c>
      <c r="K50" t="str">
        <f>HYPERLINK("https://store.steampowered.com/app/3008130/Dying_Light_The_Beast/","Abrir Steam")</f>
        <v>Abrir Steam</v>
      </c>
      <c r="L50" t="s">
        <v>42</v>
      </c>
      <c r="M50" t="s">
        <v>70</v>
      </c>
      <c r="N50" t="s">
        <v>32</v>
      </c>
      <c r="O50" t="s">
        <v>421</v>
      </c>
      <c r="P50" t="s">
        <v>422</v>
      </c>
      <c r="Q50" t="s">
        <v>32</v>
      </c>
      <c r="R50" t="s">
        <v>423</v>
      </c>
      <c r="S50" t="s">
        <v>36</v>
      </c>
      <c r="T50" t="s">
        <v>424</v>
      </c>
      <c r="U50" t="s">
        <v>66</v>
      </c>
      <c r="V50" t="s">
        <v>36</v>
      </c>
      <c r="W50" t="s">
        <v>425</v>
      </c>
      <c r="X50" t="s">
        <v>426</v>
      </c>
      <c r="Y50" t="s">
        <v>427</v>
      </c>
      <c r="Z50" t="s">
        <v>428</v>
      </c>
    </row>
    <row r="51">
      <c r="A51" t="s">
        <v>420</v>
      </c>
      <c r="B51" t="s">
        <v>27</v>
      </c>
      <c r="C51" t="s">
        <v>28</v>
      </c>
      <c r="D51" t="s">
        <v>29</v>
      </c>
      <c r="E51">
        <v>39013</v>
      </c>
      <c r="F51">
        <v>98136</v>
      </c>
      <c r="G51">
        <v>59878</v>
      </c>
      <c r="H51">
        <v>20865</v>
      </c>
      <c r="I51">
        <v>86224</v>
      </c>
      <c r="J51" t="str">
        <f>HYPERLINK("https://driffle.com/es/dying-light-the-beast-deluxe-edition-global-pc-steam-account-p9962273","Abrir compra")</f>
        <v>Abrir compra</v>
      </c>
      <c r="K51" t="str">
        <f>HYPERLINK("https://store.steampowered.com/app/3008130/Dying_Light_The_Beast/","Abrir Steam")</f>
        <v>Abrir Steam</v>
      </c>
      <c r="L51" t="s">
        <v>30</v>
      </c>
      <c r="M51" t="s">
        <v>31</v>
      </c>
      <c r="N51" t="s">
        <v>32</v>
      </c>
      <c r="O51" t="s">
        <v>429</v>
      </c>
      <c r="P51" t="s">
        <v>430</v>
      </c>
      <c r="Q51" t="s">
        <v>32</v>
      </c>
      <c r="R51" t="s">
        <v>431</v>
      </c>
      <c r="S51" t="s">
        <v>36</v>
      </c>
      <c r="T51" t="s">
        <v>36</v>
      </c>
      <c r="U51" t="s">
        <v>432</v>
      </c>
      <c r="V51" t="s">
        <v>36</v>
      </c>
      <c r="W51" t="s">
        <v>433</v>
      </c>
      <c r="X51" t="s">
        <v>36</v>
      </c>
      <c r="Y51" t="s">
        <v>434</v>
      </c>
      <c r="Z51" t="s">
        <v>36</v>
      </c>
    </row>
    <row r="52">
      <c r="A52" t="s">
        <v>420</v>
      </c>
      <c r="B52" t="s">
        <v>52</v>
      </c>
      <c r="C52" t="s">
        <v>32</v>
      </c>
      <c r="D52" t="s">
        <v>41</v>
      </c>
      <c r="E52">
        <v>38699</v>
      </c>
      <c r="F52">
        <v>84923</v>
      </c>
      <c r="G52">
        <v>63399</v>
      </c>
      <c r="H52">
        <v>24700</v>
      </c>
      <c r="I52">
        <v>91295</v>
      </c>
      <c r="J52" t="str">
        <f>HYPERLINK("https://driffle.com/es/dying-light-the-beast-global-pc-steam-digital-key-p9938120","Abrir compra")</f>
        <v>Abrir compra</v>
      </c>
      <c r="K52" t="str">
        <f>HYPERLINK("https://store.steampowered.com/app/3008130/Dying_Light_The_Beast/","Abrir Steam")</f>
        <v>Abrir Steam</v>
      </c>
      <c r="L52" t="s">
        <v>30</v>
      </c>
      <c r="M52" t="s">
        <v>31</v>
      </c>
      <c r="N52" t="s">
        <v>32</v>
      </c>
      <c r="O52" t="s">
        <v>435</v>
      </c>
      <c r="P52" t="s">
        <v>436</v>
      </c>
      <c r="Q52" t="s">
        <v>32</v>
      </c>
      <c r="R52" t="s">
        <v>437</v>
      </c>
      <c r="S52" t="s">
        <v>36</v>
      </c>
      <c r="T52" t="s">
        <v>438</v>
      </c>
      <c r="U52" t="s">
        <v>439</v>
      </c>
      <c r="V52" t="s">
        <v>238</v>
      </c>
      <c r="W52" t="s">
        <v>440</v>
      </c>
      <c r="X52" t="s">
        <v>441</v>
      </c>
      <c r="Y52" t="s">
        <v>442</v>
      </c>
      <c r="Z52" t="s">
        <v>443</v>
      </c>
    </row>
    <row r="53">
      <c r="A53" t="s">
        <v>420</v>
      </c>
      <c r="B53" t="s">
        <v>62</v>
      </c>
      <c r="C53" t="s">
        <v>28</v>
      </c>
      <c r="D53" t="s">
        <v>29</v>
      </c>
      <c r="E53">
        <v>27869</v>
      </c>
      <c r="F53">
        <v>84923</v>
      </c>
      <c r="G53">
        <v>50268</v>
      </c>
      <c r="H53">
        <v>22399</v>
      </c>
      <c r="I53">
        <v>72386</v>
      </c>
      <c r="J53" t="str">
        <f>HYPERLINK("https://driffle.com/es/dying-light-the-beast-global-pc-steam-account-p9961930","Abrir compra")</f>
        <v>Abrir compra</v>
      </c>
      <c r="K53" t="str">
        <f>HYPERLINK("https://store.steampowered.com/app/3008130/Dying_Light_The_Beast/","Abrir Steam")</f>
        <v>Abrir Steam</v>
      </c>
      <c r="L53" t="s">
        <v>30</v>
      </c>
      <c r="M53" t="s">
        <v>31</v>
      </c>
      <c r="N53" t="s">
        <v>32</v>
      </c>
      <c r="O53" t="s">
        <v>444</v>
      </c>
      <c r="P53" t="s">
        <v>445</v>
      </c>
      <c r="Q53" t="s">
        <v>32</v>
      </c>
      <c r="R53" t="s">
        <v>446</v>
      </c>
      <c r="S53" t="s">
        <v>36</v>
      </c>
      <c r="T53" t="s">
        <v>36</v>
      </c>
      <c r="U53" t="s">
        <v>447</v>
      </c>
      <c r="V53" t="s">
        <v>36</v>
      </c>
      <c r="W53" t="s">
        <v>448</v>
      </c>
      <c r="X53" t="s">
        <v>36</v>
      </c>
      <c r="Y53" t="s">
        <v>449</v>
      </c>
      <c r="Z53" t="s">
        <v>36</v>
      </c>
    </row>
    <row r="54">
      <c r="A54" t="s">
        <v>450</v>
      </c>
      <c r="B54" t="s">
        <v>52</v>
      </c>
      <c r="C54" t="s">
        <v>32</v>
      </c>
      <c r="D54" t="s">
        <v>41</v>
      </c>
      <c r="E54">
        <v>18161</v>
      </c>
      <c r="F54">
        <v>110028</v>
      </c>
      <c r="G54">
        <v>45161</v>
      </c>
      <c r="H54">
        <v>27000</v>
      </c>
      <c r="I54">
        <v>65032</v>
      </c>
      <c r="J54" t="str">
        <f>HYPERLINK("https://www.eneba.com/latam/steam-dynasty-warriors-origins-pc-steam-key-latam","Abrir compra")</f>
        <v>Abrir compra</v>
      </c>
      <c r="K54" t="str">
        <f>HYPERLINK("https://store.steampowered.com/app/2384580/DYNASTY_WARRIORS_ORIGINS/","Abrir Steam")</f>
        <v>Abrir Steam</v>
      </c>
      <c r="L54" t="s">
        <v>42</v>
      </c>
      <c r="M54" t="s">
        <v>31</v>
      </c>
      <c r="N54" t="s">
        <v>32</v>
      </c>
      <c r="O54" t="s">
        <v>451</v>
      </c>
      <c r="P54" t="s">
        <v>452</v>
      </c>
      <c r="Q54" t="s">
        <v>32</v>
      </c>
      <c r="R54" t="s">
        <v>453</v>
      </c>
      <c r="S54" t="s">
        <v>36</v>
      </c>
      <c r="T54" t="s">
        <v>454</v>
      </c>
      <c r="U54" t="s">
        <v>455</v>
      </c>
      <c r="V54" t="s">
        <v>36</v>
      </c>
      <c r="W54" t="s">
        <v>456</v>
      </c>
      <c r="X54" t="s">
        <v>457</v>
      </c>
      <c r="Y54" t="s">
        <v>458</v>
      </c>
      <c r="Z54" t="s">
        <v>459</v>
      </c>
    </row>
    <row r="55">
      <c r="A55" t="s">
        <v>460</v>
      </c>
      <c r="B55" t="s">
        <v>62</v>
      </c>
      <c r="C55" t="s">
        <v>28</v>
      </c>
      <c r="D55" t="s">
        <v>29</v>
      </c>
      <c r="E55">
        <v>3352</v>
      </c>
      <c r="F55">
        <v>132113</v>
      </c>
      <c r="G55">
        <v>30352</v>
      </c>
      <c r="H55">
        <v>27000</v>
      </c>
      <c r="I55">
        <v>43707</v>
      </c>
      <c r="J55" t="str">
        <f>HYPERLINK("https://driffle.com/es/ea-sports-fc-26-global-pc-steam-account-p9952463","Abrir compra")</f>
        <v>Abrir compra</v>
      </c>
      <c r="K55" t="str">
        <f>HYPERLINK("https://store.steampowered.com/app/3405690/EA_SPORTS_FC_26/","Abrir Steam")</f>
        <v>Abrir Steam</v>
      </c>
      <c r="L55" t="s">
        <v>30</v>
      </c>
      <c r="M55" t="s">
        <v>31</v>
      </c>
      <c r="N55" t="s">
        <v>32</v>
      </c>
      <c r="O55" t="s">
        <v>461</v>
      </c>
      <c r="P55" t="s">
        <v>462</v>
      </c>
      <c r="Q55" t="s">
        <v>32</v>
      </c>
      <c r="R55" t="s">
        <v>463</v>
      </c>
      <c r="S55" t="s">
        <v>36</v>
      </c>
      <c r="T55" t="s">
        <v>36</v>
      </c>
      <c r="U55" t="s">
        <v>464</v>
      </c>
      <c r="V55" t="s">
        <v>36</v>
      </c>
      <c r="W55" t="s">
        <v>465</v>
      </c>
      <c r="X55" t="s">
        <v>36</v>
      </c>
      <c r="Y55" t="s">
        <v>466</v>
      </c>
      <c r="Z55" t="s">
        <v>36</v>
      </c>
    </row>
    <row r="56">
      <c r="A56" t="s">
        <v>460</v>
      </c>
      <c r="B56" t="s">
        <v>467</v>
      </c>
      <c r="C56" t="s">
        <v>28</v>
      </c>
      <c r="D56" t="s">
        <v>29</v>
      </c>
      <c r="E56">
        <v>15008</v>
      </c>
      <c r="F56">
        <v>132113</v>
      </c>
      <c r="G56">
        <v>42008</v>
      </c>
      <c r="H56">
        <v>27000</v>
      </c>
      <c r="I56">
        <v>60492</v>
      </c>
      <c r="J56" t="str">
        <f>HYPERLINK("https://driffle.com/es/ea-sports-fc-26-the-worlds-game-edition-global-pc-steam-account-p9996215","Abrir compra")</f>
        <v>Abrir compra</v>
      </c>
      <c r="K56" t="str">
        <f>HYPERLINK("https://store.steampowered.com/app/3405690/EA_SPORTS_FC_26/","Abrir Steam")</f>
        <v>Abrir Steam</v>
      </c>
      <c r="L56" t="s">
        <v>30</v>
      </c>
      <c r="M56" t="s">
        <v>31</v>
      </c>
      <c r="N56" t="s">
        <v>32</v>
      </c>
      <c r="O56" t="s">
        <v>468</v>
      </c>
      <c r="P56" t="s">
        <v>469</v>
      </c>
      <c r="Q56" t="s">
        <v>32</v>
      </c>
      <c r="R56" t="s">
        <v>470</v>
      </c>
      <c r="S56" t="s">
        <v>36</v>
      </c>
      <c r="T56" t="s">
        <v>36</v>
      </c>
      <c r="U56" t="s">
        <v>471</v>
      </c>
      <c r="V56" t="s">
        <v>36</v>
      </c>
      <c r="W56" t="s">
        <v>472</v>
      </c>
      <c r="X56" t="s">
        <v>36</v>
      </c>
      <c r="Y56" t="s">
        <v>473</v>
      </c>
      <c r="Z56" t="s">
        <v>36</v>
      </c>
    </row>
    <row r="57">
      <c r="A57" t="s">
        <v>474</v>
      </c>
      <c r="B57" t="s">
        <v>62</v>
      </c>
      <c r="C57" t="s">
        <v>28</v>
      </c>
      <c r="D57" t="s">
        <v>29</v>
      </c>
      <c r="E57">
        <v>57042</v>
      </c>
      <c r="F57">
        <v>132113</v>
      </c>
      <c r="G57">
        <v>80341</v>
      </c>
      <c r="H57">
        <v>23299</v>
      </c>
      <c r="I57">
        <v>115691</v>
      </c>
      <c r="J57" t="str">
        <f>HYPERLINK("https://driffle.com/es/ea-sports-fc-27-global-pc-steam-account-p9998646","Abrir compra")</f>
        <v>Abrir compra</v>
      </c>
      <c r="K57" t="str">
        <f>HYPERLINK("https://store.steampowered.com/app/4080220/EA_SPORTS_FC_27/","Abrir Steam")</f>
        <v>Abrir Steam</v>
      </c>
      <c r="L57" t="s">
        <v>30</v>
      </c>
      <c r="M57" t="s">
        <v>31</v>
      </c>
      <c r="N57" t="s">
        <v>32</v>
      </c>
      <c r="O57" t="s">
        <v>475</v>
      </c>
      <c r="P57" t="s">
        <v>476</v>
      </c>
      <c r="Q57" t="s">
        <v>32</v>
      </c>
      <c r="R57" t="s">
        <v>477</v>
      </c>
      <c r="S57" t="s">
        <v>36</v>
      </c>
      <c r="T57" t="s">
        <v>36</v>
      </c>
      <c r="U57" t="s">
        <v>478</v>
      </c>
      <c r="V57" t="s">
        <v>36</v>
      </c>
      <c r="W57" t="s">
        <v>479</v>
      </c>
      <c r="X57" t="s">
        <v>36</v>
      </c>
      <c r="Y57" t="s">
        <v>480</v>
      </c>
      <c r="Z57" t="s">
        <v>36</v>
      </c>
    </row>
    <row r="58">
      <c r="A58" t="s">
        <v>481</v>
      </c>
      <c r="B58" t="s">
        <v>52</v>
      </c>
      <c r="C58" t="s">
        <v>32</v>
      </c>
      <c r="D58" t="s">
        <v>41</v>
      </c>
      <c r="E58">
        <v>87371</v>
      </c>
      <c r="F58">
        <v>90586</v>
      </c>
      <c r="G58">
        <v>102371</v>
      </c>
      <c r="H58">
        <v>15000</v>
      </c>
      <c r="I58">
        <v>147414</v>
      </c>
      <c r="J58" t="str">
        <f>HYPERLINK("https://www.eneba.com/latam/steam-elden-ring-pc-steam-key-latam","Abrir compra")</f>
        <v>Abrir compra</v>
      </c>
      <c r="K58" t="str">
        <f>HYPERLINK("https://store.steampowered.com/app/1245620/ELDEN_RING/","Abrir Steam")</f>
        <v>Abrir Steam</v>
      </c>
      <c r="L58" t="s">
        <v>42</v>
      </c>
      <c r="M58" t="s">
        <v>31</v>
      </c>
      <c r="N58" t="s">
        <v>32</v>
      </c>
      <c r="O58" t="s">
        <v>482</v>
      </c>
      <c r="P58" t="s">
        <v>483</v>
      </c>
      <c r="Q58" t="s">
        <v>32</v>
      </c>
      <c r="R58" t="s">
        <v>484</v>
      </c>
      <c r="S58" t="s">
        <v>36</v>
      </c>
      <c r="T58" t="s">
        <v>485</v>
      </c>
      <c r="U58" t="s">
        <v>36</v>
      </c>
      <c r="V58" t="s">
        <v>36</v>
      </c>
      <c r="W58" t="s">
        <v>486</v>
      </c>
      <c r="X58" t="s">
        <v>487</v>
      </c>
      <c r="Y58" t="s">
        <v>488</v>
      </c>
      <c r="Z58" t="s">
        <v>36</v>
      </c>
    </row>
    <row r="59">
      <c r="A59" t="s">
        <v>481</v>
      </c>
      <c r="B59" t="s">
        <v>62</v>
      </c>
      <c r="C59" t="s">
        <v>28</v>
      </c>
      <c r="D59" t="s">
        <v>29</v>
      </c>
      <c r="E59">
        <v>44940</v>
      </c>
      <c r="F59">
        <v>90586</v>
      </c>
      <c r="G59">
        <v>59940</v>
      </c>
      <c r="H59">
        <v>15000</v>
      </c>
      <c r="I59">
        <v>86314</v>
      </c>
      <c r="J59" t="str">
        <f>HYPERLINK("https://driffle.com/es/elden-ring-global-pc-steam-account-p9943442","Abrir compra")</f>
        <v>Abrir compra</v>
      </c>
      <c r="K59" t="str">
        <f>HYPERLINK("https://store.steampowered.com/app/1245620/ELDEN_RING/","Abrir Steam")</f>
        <v>Abrir Steam</v>
      </c>
      <c r="L59" t="s">
        <v>30</v>
      </c>
      <c r="M59" t="s">
        <v>70</v>
      </c>
      <c r="N59" t="s">
        <v>32</v>
      </c>
      <c r="O59" t="s">
        <v>489</v>
      </c>
      <c r="P59" t="s">
        <v>490</v>
      </c>
      <c r="Q59" t="s">
        <v>32</v>
      </c>
      <c r="R59" t="s">
        <v>491</v>
      </c>
      <c r="S59" t="s">
        <v>36</v>
      </c>
      <c r="T59" t="s">
        <v>36</v>
      </c>
      <c r="U59" t="s">
        <v>492</v>
      </c>
      <c r="V59" t="s">
        <v>36</v>
      </c>
      <c r="W59" t="s">
        <v>493</v>
      </c>
      <c r="X59" t="s">
        <v>36</v>
      </c>
      <c r="Y59" t="s">
        <v>494</v>
      </c>
      <c r="Z59" t="s">
        <v>36</v>
      </c>
    </row>
    <row r="60">
      <c r="A60" t="s">
        <v>481</v>
      </c>
      <c r="B60" t="s">
        <v>495</v>
      </c>
      <c r="C60" t="s">
        <v>32</v>
      </c>
      <c r="D60" t="s">
        <v>41</v>
      </c>
      <c r="E60">
        <v>156185</v>
      </c>
      <c r="F60">
        <v>150989</v>
      </c>
      <c r="G60">
        <v>171185</v>
      </c>
      <c r="H60">
        <v>15000</v>
      </c>
      <c r="I60">
        <v>246506</v>
      </c>
      <c r="J60" t="str">
        <f>HYPERLINK("https://www.eneba.com/latam/steam-elden-ring-shadow-of-the-erdtree-deluxe-edition-pc-steam-key-latam","Abrir compra")</f>
        <v>Abrir compra</v>
      </c>
      <c r="K60" t="str">
        <f>HYPERLINK("https://store.steampowered.com/app/1245620/ELDEN_RING/","Abrir Steam")</f>
        <v>Abrir Steam</v>
      </c>
      <c r="L60" t="s">
        <v>42</v>
      </c>
      <c r="M60" t="s">
        <v>31</v>
      </c>
      <c r="N60" t="s">
        <v>32</v>
      </c>
      <c r="O60" t="s">
        <v>496</v>
      </c>
      <c r="P60" t="s">
        <v>497</v>
      </c>
      <c r="Q60" t="s">
        <v>32</v>
      </c>
      <c r="R60" t="s">
        <v>498</v>
      </c>
      <c r="S60" t="s">
        <v>36</v>
      </c>
      <c r="T60" t="s">
        <v>499</v>
      </c>
      <c r="U60" t="s">
        <v>36</v>
      </c>
      <c r="V60" t="s">
        <v>36</v>
      </c>
      <c r="W60" t="s">
        <v>36</v>
      </c>
      <c r="X60" t="s">
        <v>500</v>
      </c>
      <c r="Y60" t="s">
        <v>36</v>
      </c>
      <c r="Z60" t="s">
        <v>36</v>
      </c>
    </row>
    <row r="61">
      <c r="A61" t="s">
        <v>481</v>
      </c>
      <c r="B61" t="s">
        <v>501</v>
      </c>
      <c r="C61" t="s">
        <v>28</v>
      </c>
      <c r="D61" t="s">
        <v>29</v>
      </c>
      <c r="E61">
        <v>94223</v>
      </c>
      <c r="F61">
        <v>120788</v>
      </c>
      <c r="G61">
        <v>109223</v>
      </c>
      <c r="H61">
        <v>15000</v>
      </c>
      <c r="I61">
        <v>157281</v>
      </c>
      <c r="J61" t="str">
        <f>HYPERLINK("https://driffle.com/es/elden-ring-shadow-of-the-erdtree-edition-global-pc-steam-account-p9979504","Abrir compra")</f>
        <v>Abrir compra</v>
      </c>
      <c r="K61" t="str">
        <f>HYPERLINK("https://store.steampowered.com/app/1245620/ELDEN_RING/","Abrir Steam")</f>
        <v>Abrir Steam</v>
      </c>
      <c r="L61" t="s">
        <v>30</v>
      </c>
      <c r="M61" t="s">
        <v>31</v>
      </c>
      <c r="N61" t="s">
        <v>32</v>
      </c>
      <c r="O61" t="s">
        <v>502</v>
      </c>
      <c r="P61" t="s">
        <v>503</v>
      </c>
      <c r="Q61" t="s">
        <v>32</v>
      </c>
      <c r="R61" t="s">
        <v>504</v>
      </c>
      <c r="S61" t="s">
        <v>36</v>
      </c>
      <c r="T61" t="s">
        <v>36</v>
      </c>
      <c r="U61" t="s">
        <v>505</v>
      </c>
      <c r="V61" t="s">
        <v>36</v>
      </c>
      <c r="W61" t="s">
        <v>506</v>
      </c>
      <c r="X61" t="s">
        <v>36</v>
      </c>
      <c r="Y61" t="s">
        <v>507</v>
      </c>
      <c r="Z61" t="s">
        <v>36</v>
      </c>
    </row>
    <row r="62">
      <c r="A62" t="s">
        <v>508</v>
      </c>
      <c r="B62" t="s">
        <v>329</v>
      </c>
      <c r="C62" t="s">
        <v>32</v>
      </c>
      <c r="D62" t="s">
        <v>41</v>
      </c>
      <c r="E62">
        <v>63564</v>
      </c>
      <c r="F62">
        <v>83036</v>
      </c>
      <c r="G62">
        <v>78564</v>
      </c>
      <c r="H62">
        <v>15000</v>
      </c>
      <c r="I62">
        <v>113132</v>
      </c>
      <c r="J62" t="str">
        <f>HYPERLINK("https://www.eneba.com/latam/steam-elden-ring-nightreign-deluxe-edition-steam-key-pc-latam","Abrir compra")</f>
        <v>Abrir compra</v>
      </c>
      <c r="K62" t="str">
        <f>HYPERLINK("https://store.steampowered.com/app/2622380/ELDEN_RING_NIGHTREIGN/","Abrir Steam")</f>
        <v>Abrir Steam</v>
      </c>
      <c r="L62" t="s">
        <v>42</v>
      </c>
      <c r="M62" t="s">
        <v>31</v>
      </c>
      <c r="N62" t="s">
        <v>32</v>
      </c>
      <c r="O62" t="s">
        <v>509</v>
      </c>
      <c r="P62" t="s">
        <v>510</v>
      </c>
      <c r="Q62" t="s">
        <v>32</v>
      </c>
      <c r="R62" t="s">
        <v>511</v>
      </c>
      <c r="S62" t="s">
        <v>36</v>
      </c>
      <c r="T62" t="s">
        <v>512</v>
      </c>
      <c r="U62" t="s">
        <v>513</v>
      </c>
      <c r="V62" t="s">
        <v>36</v>
      </c>
      <c r="W62" t="s">
        <v>514</v>
      </c>
      <c r="X62" t="s">
        <v>515</v>
      </c>
      <c r="Y62" t="s">
        <v>516</v>
      </c>
      <c r="Z62" t="s">
        <v>36</v>
      </c>
    </row>
    <row r="63">
      <c r="A63" t="s">
        <v>508</v>
      </c>
      <c r="B63" t="s">
        <v>52</v>
      </c>
      <c r="C63" t="s">
        <v>32</v>
      </c>
      <c r="D63" t="s">
        <v>41</v>
      </c>
      <c r="E63">
        <v>45502</v>
      </c>
      <c r="F63">
        <v>60384</v>
      </c>
      <c r="G63">
        <v>60625</v>
      </c>
      <c r="H63">
        <v>15123</v>
      </c>
      <c r="I63">
        <v>87300</v>
      </c>
      <c r="J63" t="str">
        <f>HYPERLINK("https://www.eneba.com/latam/steam-elden-ring-nightreign-steam-key-pc-latam","Abrir compra")</f>
        <v>Abrir compra</v>
      </c>
      <c r="K63" t="str">
        <f>HYPERLINK("https://store.steampowered.com/app/2622380/ELDEN_RING_NIGHTREIGN/","Abrir Steam")</f>
        <v>Abrir Steam</v>
      </c>
      <c r="L63" t="s">
        <v>42</v>
      </c>
      <c r="M63" t="s">
        <v>31</v>
      </c>
      <c r="N63" t="s">
        <v>32</v>
      </c>
      <c r="O63" t="s">
        <v>517</v>
      </c>
      <c r="P63" t="s">
        <v>518</v>
      </c>
      <c r="Q63" t="s">
        <v>32</v>
      </c>
      <c r="R63" t="s">
        <v>519</v>
      </c>
      <c r="S63" t="s">
        <v>36</v>
      </c>
      <c r="T63" t="s">
        <v>520</v>
      </c>
      <c r="U63" t="s">
        <v>521</v>
      </c>
      <c r="V63" t="s">
        <v>36</v>
      </c>
      <c r="W63" t="s">
        <v>522</v>
      </c>
      <c r="X63" t="s">
        <v>523</v>
      </c>
      <c r="Y63" t="s">
        <v>524</v>
      </c>
      <c r="Z63" t="s">
        <v>36</v>
      </c>
    </row>
    <row r="64">
      <c r="A64" t="s">
        <v>508</v>
      </c>
      <c r="B64" t="s">
        <v>62</v>
      </c>
      <c r="C64" t="s">
        <v>28</v>
      </c>
      <c r="D64" t="s">
        <v>29</v>
      </c>
      <c r="E64">
        <v>35331</v>
      </c>
      <c r="F64">
        <v>60384</v>
      </c>
      <c r="G64">
        <v>50331</v>
      </c>
      <c r="H64">
        <v>15000</v>
      </c>
      <c r="I64">
        <v>72477</v>
      </c>
      <c r="J64" t="str">
        <f>HYPERLINK("https://driffle.com/es/elden-ring-nightreign-global-pc-steam-account-p9945661","Abrir compra")</f>
        <v>Abrir compra</v>
      </c>
      <c r="K64" t="str">
        <f>HYPERLINK("https://store.steampowered.com/app/2622380/ELDEN_RING_NIGHTREIGN/","Abrir Steam")</f>
        <v>Abrir Steam</v>
      </c>
      <c r="L64" t="s">
        <v>30</v>
      </c>
      <c r="M64" t="s">
        <v>31</v>
      </c>
      <c r="N64" t="s">
        <v>32</v>
      </c>
      <c r="O64" t="s">
        <v>525</v>
      </c>
      <c r="P64" t="s">
        <v>526</v>
      </c>
      <c r="Q64" t="s">
        <v>32</v>
      </c>
      <c r="R64" t="s">
        <v>527</v>
      </c>
      <c r="S64" t="s">
        <v>36</v>
      </c>
      <c r="T64" t="s">
        <v>36</v>
      </c>
      <c r="U64" t="s">
        <v>528</v>
      </c>
      <c r="V64" t="s">
        <v>36</v>
      </c>
      <c r="W64" t="s">
        <v>529</v>
      </c>
      <c r="X64" t="s">
        <v>36</v>
      </c>
      <c r="Y64" t="s">
        <v>530</v>
      </c>
      <c r="Z64" t="s">
        <v>36</v>
      </c>
    </row>
    <row r="65">
      <c r="A65" t="s">
        <v>531</v>
      </c>
      <c r="B65" t="s">
        <v>532</v>
      </c>
      <c r="C65" t="s">
        <v>28</v>
      </c>
      <c r="D65" t="s">
        <v>29</v>
      </c>
      <c r="E65">
        <v>35909</v>
      </c>
      <c r="F65">
        <v>94361</v>
      </c>
      <c r="G65">
        <v>57165</v>
      </c>
      <c r="H65">
        <v>21256</v>
      </c>
      <c r="I65">
        <v>82318</v>
      </c>
      <c r="J65" t="str">
        <f>HYPERLINK("https://driffle.com/es/f1-25-2026-season-edition-global-pc-steam-account-p9996177","Abrir compra")</f>
        <v>Abrir compra</v>
      </c>
      <c r="K65" t="str">
        <f>HYPERLINK("https://store.steampowered.com/app/3059520/F1_25/","Abrir Steam")</f>
        <v>Abrir Steam</v>
      </c>
      <c r="L65" t="s">
        <v>30</v>
      </c>
      <c r="M65" t="s">
        <v>31</v>
      </c>
      <c r="N65" t="s">
        <v>32</v>
      </c>
      <c r="O65" t="s">
        <v>533</v>
      </c>
      <c r="P65" t="s">
        <v>534</v>
      </c>
      <c r="Q65" t="s">
        <v>32</v>
      </c>
      <c r="R65" t="s">
        <v>535</v>
      </c>
      <c r="S65" t="s">
        <v>36</v>
      </c>
      <c r="T65" t="s">
        <v>36</v>
      </c>
      <c r="U65" t="s">
        <v>536</v>
      </c>
      <c r="V65" t="s">
        <v>36</v>
      </c>
      <c r="W65" t="s">
        <v>537</v>
      </c>
      <c r="X65" t="s">
        <v>36</v>
      </c>
      <c r="Y65" t="s">
        <v>538</v>
      </c>
      <c r="Z65" t="s">
        <v>36</v>
      </c>
    </row>
    <row r="66">
      <c r="A66" t="s">
        <v>539</v>
      </c>
      <c r="B66" t="s">
        <v>52</v>
      </c>
      <c r="C66" t="s">
        <v>32</v>
      </c>
      <c r="D66" t="s">
        <v>41</v>
      </c>
      <c r="E66">
        <v>11590</v>
      </c>
      <c r="F66">
        <v>45284</v>
      </c>
      <c r="G66">
        <v>33702</v>
      </c>
      <c r="H66">
        <v>22112</v>
      </c>
      <c r="I66">
        <v>48531</v>
      </c>
      <c r="J66" t="str">
        <f>HYPERLINK("https://www.eneba.com/latam/steam-fallout-76-steam-key-pc-latam","Abrir compra")</f>
        <v>Abrir compra</v>
      </c>
      <c r="K66" t="str">
        <f>HYPERLINK("https://store.steampowered.com/app/1151340/Fallout_76/?curator_clanid=4777282","Abrir Steam")</f>
        <v>Abrir Steam</v>
      </c>
      <c r="L66" t="s">
        <v>42</v>
      </c>
      <c r="M66" t="s">
        <v>31</v>
      </c>
      <c r="N66" t="s">
        <v>32</v>
      </c>
      <c r="O66" t="s">
        <v>540</v>
      </c>
      <c r="P66" t="s">
        <v>541</v>
      </c>
      <c r="Q66" t="s">
        <v>32</v>
      </c>
      <c r="R66" t="s">
        <v>542</v>
      </c>
      <c r="S66" t="s">
        <v>36</v>
      </c>
      <c r="T66" t="s">
        <v>543</v>
      </c>
      <c r="U66" t="s">
        <v>544</v>
      </c>
      <c r="V66" t="s">
        <v>545</v>
      </c>
      <c r="W66" t="s">
        <v>546</v>
      </c>
      <c r="X66" t="s">
        <v>547</v>
      </c>
      <c r="Y66" t="s">
        <v>548</v>
      </c>
      <c r="Z66" t="s">
        <v>549</v>
      </c>
    </row>
    <row r="67">
      <c r="A67" t="s">
        <v>539</v>
      </c>
      <c r="B67" t="s">
        <v>62</v>
      </c>
      <c r="C67" t="s">
        <v>28</v>
      </c>
      <c r="D67" t="s">
        <v>29</v>
      </c>
      <c r="E67">
        <v>5102</v>
      </c>
      <c r="F67">
        <v>45284</v>
      </c>
      <c r="G67">
        <v>25702</v>
      </c>
      <c r="H67">
        <v>20600</v>
      </c>
      <c r="I67">
        <v>37011</v>
      </c>
      <c r="J67" t="str">
        <f>HYPERLINK("https://driffle.com/es/fallout-76-global-pc-steam-account-p9979508","Abrir compra")</f>
        <v>Abrir compra</v>
      </c>
      <c r="K67" t="str">
        <f>HYPERLINK("https://store.steampowered.com/app/1151340/Fallout_76/?curator_clanid=4777282","Abrir Steam")</f>
        <v>Abrir Steam</v>
      </c>
      <c r="L67" t="s">
        <v>30</v>
      </c>
      <c r="M67" t="s">
        <v>70</v>
      </c>
      <c r="N67" t="s">
        <v>32</v>
      </c>
      <c r="O67" t="s">
        <v>550</v>
      </c>
      <c r="P67" t="s">
        <v>551</v>
      </c>
      <c r="Q67" t="s">
        <v>32</v>
      </c>
      <c r="R67" t="s">
        <v>552</v>
      </c>
      <c r="S67" t="s">
        <v>36</v>
      </c>
      <c r="T67" t="s">
        <v>36</v>
      </c>
      <c r="U67" t="s">
        <v>553</v>
      </c>
      <c r="V67" t="s">
        <v>36</v>
      </c>
      <c r="W67" t="s">
        <v>554</v>
      </c>
      <c r="X67" t="s">
        <v>36</v>
      </c>
      <c r="Y67" t="s">
        <v>555</v>
      </c>
      <c r="Z67" t="s">
        <v>36</v>
      </c>
    </row>
    <row r="68">
      <c r="A68" t="s">
        <v>556</v>
      </c>
      <c r="B68" t="s">
        <v>52</v>
      </c>
      <c r="C68" t="s">
        <v>32</v>
      </c>
      <c r="D68" t="s">
        <v>41</v>
      </c>
      <c r="E68">
        <v>21546</v>
      </c>
      <c r="F68">
        <v>60384</v>
      </c>
      <c r="G68">
        <v>41791</v>
      </c>
      <c r="H68">
        <v>20245</v>
      </c>
      <c r="I68">
        <v>60179</v>
      </c>
      <c r="J68" t="str">
        <f>HYPERLINK("https://driffle.com/es/final-fantasy-vii-remake-intergrade-pc-steam-digital-code-p9907421","Abrir compra")</f>
        <v>Abrir compra</v>
      </c>
      <c r="K68" t="str">
        <f>HYPERLINK("https://store.steampowered.com/app/1462040/FINAL_FANTASY_VII_REMAKE_INTERGRADE/?curator_clanid=4777282","Abrir Steam")</f>
        <v>Abrir Steam</v>
      </c>
      <c r="L68" t="s">
        <v>30</v>
      </c>
      <c r="M68" t="s">
        <v>70</v>
      </c>
      <c r="N68" t="s">
        <v>32</v>
      </c>
      <c r="O68" t="s">
        <v>557</v>
      </c>
      <c r="P68" t="s">
        <v>558</v>
      </c>
      <c r="Q68" t="s">
        <v>32</v>
      </c>
      <c r="R68" t="s">
        <v>559</v>
      </c>
      <c r="S68" t="s">
        <v>36</v>
      </c>
      <c r="T68" t="s">
        <v>560</v>
      </c>
      <c r="U68" t="s">
        <v>561</v>
      </c>
      <c r="V68" t="s">
        <v>36</v>
      </c>
      <c r="W68" t="s">
        <v>562</v>
      </c>
      <c r="X68" t="s">
        <v>563</v>
      </c>
      <c r="Y68" t="s">
        <v>564</v>
      </c>
      <c r="Z68" t="s">
        <v>565</v>
      </c>
    </row>
    <row r="69">
      <c r="A69" t="s">
        <v>566</v>
      </c>
      <c r="B69" t="s">
        <v>27</v>
      </c>
      <c r="C69" t="s">
        <v>28</v>
      </c>
      <c r="D69" t="s">
        <v>29</v>
      </c>
      <c r="E69">
        <v>28050</v>
      </c>
      <c r="F69">
        <v>77090</v>
      </c>
      <c r="G69">
        <v>47285</v>
      </c>
      <c r="H69">
        <v>19235</v>
      </c>
      <c r="I69">
        <v>68090</v>
      </c>
      <c r="J69" t="str">
        <f>HYPERLINK("https://driffle.com/es/forza-horizon-5-deluxe-edition-global-pc-steam-account-p9962282","Abrir compra")</f>
        <v>Abrir compra</v>
      </c>
      <c r="K69" t="str">
        <f>HYPERLINK("https://store.steampowered.com/app/1551360/Forza_Horizon_5/?curator_clanid=4777282","Abrir Steam")</f>
        <v>Abrir Steam</v>
      </c>
      <c r="L69" t="s">
        <v>30</v>
      </c>
      <c r="M69" t="s">
        <v>70</v>
      </c>
      <c r="N69" t="s">
        <v>32</v>
      </c>
      <c r="O69" t="s">
        <v>567</v>
      </c>
      <c r="P69" t="s">
        <v>568</v>
      </c>
      <c r="Q69" t="s">
        <v>32</v>
      </c>
      <c r="R69" t="s">
        <v>569</v>
      </c>
      <c r="S69" t="s">
        <v>36</v>
      </c>
      <c r="T69" t="s">
        <v>36</v>
      </c>
      <c r="U69" t="s">
        <v>570</v>
      </c>
      <c r="V69" t="s">
        <v>36</v>
      </c>
      <c r="W69" t="s">
        <v>571</v>
      </c>
      <c r="X69" t="s">
        <v>36</v>
      </c>
      <c r="Y69" t="s">
        <v>572</v>
      </c>
      <c r="Z69" t="s">
        <v>36</v>
      </c>
    </row>
    <row r="70">
      <c r="A70" t="s">
        <v>566</v>
      </c>
      <c r="B70" t="s">
        <v>62</v>
      </c>
      <c r="C70" t="s">
        <v>28</v>
      </c>
      <c r="D70" t="s">
        <v>29</v>
      </c>
      <c r="E70">
        <v>20439</v>
      </c>
      <c r="F70">
        <v>61876</v>
      </c>
      <c r="G70">
        <v>38307</v>
      </c>
      <c r="H70">
        <v>17868</v>
      </c>
      <c r="I70">
        <v>55162</v>
      </c>
      <c r="J70" t="str">
        <f>HYPERLINK("https://driffle.com/es/forza-horizon-5-global-pc-steam-account-p9943443","Abrir compra")</f>
        <v>Abrir compra</v>
      </c>
      <c r="K70" t="str">
        <f>HYPERLINK("https://store.steampowered.com/app/1551360/Forza_Horizon_5/?curator_clanid=4777282","Abrir Steam")</f>
        <v>Abrir Steam</v>
      </c>
      <c r="L70" t="s">
        <v>30</v>
      </c>
      <c r="M70" t="s">
        <v>31</v>
      </c>
      <c r="N70" t="s">
        <v>32</v>
      </c>
      <c r="O70" t="s">
        <v>573</v>
      </c>
      <c r="P70" t="s">
        <v>574</v>
      </c>
      <c r="Q70" t="s">
        <v>32</v>
      </c>
      <c r="R70" t="s">
        <v>575</v>
      </c>
      <c r="S70" t="s">
        <v>36</v>
      </c>
      <c r="T70" t="s">
        <v>36</v>
      </c>
      <c r="U70" t="s">
        <v>576</v>
      </c>
      <c r="V70" t="s">
        <v>36</v>
      </c>
      <c r="W70" t="s">
        <v>577</v>
      </c>
      <c r="X70" t="s">
        <v>36</v>
      </c>
      <c r="Y70" t="s">
        <v>578</v>
      </c>
      <c r="Z70" t="s">
        <v>36</v>
      </c>
    </row>
    <row r="71">
      <c r="A71" t="s">
        <v>566</v>
      </c>
      <c r="B71" t="s">
        <v>579</v>
      </c>
      <c r="C71" t="s">
        <v>28</v>
      </c>
      <c r="D71" t="s">
        <v>29</v>
      </c>
      <c r="E71">
        <v>26317</v>
      </c>
      <c r="F71">
        <v>97042</v>
      </c>
      <c r="G71">
        <v>53317</v>
      </c>
      <c r="H71">
        <v>27000</v>
      </c>
      <c r="I71">
        <v>76776</v>
      </c>
      <c r="J71" t="str">
        <f>HYPERLINK("https://driffle.com/es/forza-horizon-5-premium-edition-global-pc-steam-account-p9945649","Abrir compra")</f>
        <v>Abrir compra</v>
      </c>
      <c r="K71" t="str">
        <f>HYPERLINK("https://store.steampowered.com/app/1551360/Forza_Horizon_5/?curator_clanid=4777282","Abrir Steam")</f>
        <v>Abrir Steam</v>
      </c>
      <c r="L71" t="s">
        <v>30</v>
      </c>
      <c r="M71" t="s">
        <v>70</v>
      </c>
      <c r="N71" t="s">
        <v>32</v>
      </c>
      <c r="O71" t="s">
        <v>580</v>
      </c>
      <c r="P71" t="s">
        <v>581</v>
      </c>
      <c r="Q71" t="s">
        <v>32</v>
      </c>
      <c r="R71" t="s">
        <v>582</v>
      </c>
      <c r="S71" t="s">
        <v>36</v>
      </c>
      <c r="T71" t="s">
        <v>36</v>
      </c>
      <c r="U71" t="s">
        <v>583</v>
      </c>
      <c r="V71" t="s">
        <v>36</v>
      </c>
      <c r="W71" t="s">
        <v>584</v>
      </c>
      <c r="X71" t="s">
        <v>36</v>
      </c>
      <c r="Y71" t="s">
        <v>585</v>
      </c>
      <c r="Z71" t="s">
        <v>36</v>
      </c>
    </row>
    <row r="72">
      <c r="A72" t="s">
        <v>586</v>
      </c>
      <c r="B72" t="s">
        <v>27</v>
      </c>
      <c r="C72" t="s">
        <v>28</v>
      </c>
      <c r="D72" t="s">
        <v>29</v>
      </c>
      <c r="E72">
        <v>83260</v>
      </c>
      <c r="F72">
        <v>132113</v>
      </c>
      <c r="G72">
        <v>98260</v>
      </c>
      <c r="H72">
        <v>15000</v>
      </c>
      <c r="I72">
        <v>141494</v>
      </c>
      <c r="J72" t="str">
        <f>HYPERLINK("https://driffle.com/es/forza-horizon-6-deluxe-edition-global-pc-steam-account-p9980950","Abrir compra")</f>
        <v>Abrir compra</v>
      </c>
      <c r="K72" t="str">
        <f>HYPERLINK("https://store.steampowered.com/app/2483190/Forza_Horizon_6/","Abrir Steam")</f>
        <v>Abrir Steam</v>
      </c>
      <c r="L72" t="s">
        <v>30</v>
      </c>
      <c r="M72" t="s">
        <v>31</v>
      </c>
      <c r="N72" t="s">
        <v>32</v>
      </c>
      <c r="O72" t="s">
        <v>587</v>
      </c>
      <c r="P72" t="s">
        <v>588</v>
      </c>
      <c r="Q72" t="s">
        <v>32</v>
      </c>
      <c r="R72" t="s">
        <v>589</v>
      </c>
      <c r="S72" t="s">
        <v>36</v>
      </c>
      <c r="T72" t="s">
        <v>36</v>
      </c>
      <c r="U72" t="s">
        <v>590</v>
      </c>
      <c r="V72" t="s">
        <v>36</v>
      </c>
      <c r="W72" t="s">
        <v>591</v>
      </c>
      <c r="X72" t="s">
        <v>36</v>
      </c>
      <c r="Y72" t="s">
        <v>592</v>
      </c>
      <c r="Z72" t="s">
        <v>36</v>
      </c>
    </row>
    <row r="73">
      <c r="A73" t="s">
        <v>586</v>
      </c>
      <c r="B73" t="s">
        <v>62</v>
      </c>
      <c r="C73" t="s">
        <v>28</v>
      </c>
      <c r="D73" t="s">
        <v>29</v>
      </c>
      <c r="E73">
        <v>58842</v>
      </c>
      <c r="F73">
        <v>92474</v>
      </c>
      <c r="G73">
        <v>73842</v>
      </c>
      <c r="H73">
        <v>15000</v>
      </c>
      <c r="I73">
        <v>106332</v>
      </c>
      <c r="J73" t="str">
        <f>HYPERLINK("https://driffle.com/es/forza-horizon-6-global-pc-steam-account-p9980945","Abrir compra")</f>
        <v>Abrir compra</v>
      </c>
      <c r="K73" t="str">
        <f>HYPERLINK("https://store.steampowered.com/app/2483190/Forza_Horizon_6/","Abrir Steam")</f>
        <v>Abrir Steam</v>
      </c>
      <c r="L73" t="s">
        <v>30</v>
      </c>
      <c r="M73" t="s">
        <v>31</v>
      </c>
      <c r="N73" t="s">
        <v>32</v>
      </c>
      <c r="O73" t="s">
        <v>593</v>
      </c>
      <c r="P73" t="s">
        <v>594</v>
      </c>
      <c r="Q73" t="s">
        <v>32</v>
      </c>
      <c r="R73" t="s">
        <v>595</v>
      </c>
      <c r="S73" t="s">
        <v>36</v>
      </c>
      <c r="T73" t="s">
        <v>36</v>
      </c>
      <c r="U73" t="s">
        <v>596</v>
      </c>
      <c r="V73" t="s">
        <v>36</v>
      </c>
      <c r="W73" t="s">
        <v>597</v>
      </c>
      <c r="X73" t="s">
        <v>36</v>
      </c>
      <c r="Y73" t="s">
        <v>598</v>
      </c>
      <c r="Z73" t="s">
        <v>36</v>
      </c>
    </row>
    <row r="74">
      <c r="A74" t="s">
        <v>586</v>
      </c>
      <c r="B74" t="s">
        <v>579</v>
      </c>
      <c r="C74" t="s">
        <v>28</v>
      </c>
      <c r="D74" t="s">
        <v>29</v>
      </c>
      <c r="E74">
        <v>99737</v>
      </c>
      <c r="F74">
        <v>158540</v>
      </c>
      <c r="G74">
        <v>114737</v>
      </c>
      <c r="H74">
        <v>15000</v>
      </c>
      <c r="I74">
        <v>165221</v>
      </c>
      <c r="J74" t="str">
        <f>HYPERLINK("https://driffle.com/es/forza-horizon-6-premium-edition-global-pc-steam-account-p9980955","Abrir compra")</f>
        <v>Abrir compra</v>
      </c>
      <c r="K74" t="str">
        <f>HYPERLINK("https://store.steampowered.com/app/2483190/Forza_Horizon_6/","Abrir Steam")</f>
        <v>Abrir Steam</v>
      </c>
      <c r="L74" t="s">
        <v>30</v>
      </c>
      <c r="M74" t="s">
        <v>31</v>
      </c>
      <c r="N74" t="s">
        <v>32</v>
      </c>
      <c r="O74" t="s">
        <v>599</v>
      </c>
      <c r="P74" t="s">
        <v>600</v>
      </c>
      <c r="Q74" t="s">
        <v>32</v>
      </c>
      <c r="R74" t="s">
        <v>601</v>
      </c>
      <c r="S74" t="s">
        <v>36</v>
      </c>
      <c r="T74" t="s">
        <v>36</v>
      </c>
      <c r="U74" t="s">
        <v>602</v>
      </c>
      <c r="V74" t="s">
        <v>36</v>
      </c>
      <c r="W74" t="s">
        <v>603</v>
      </c>
      <c r="X74" t="s">
        <v>36</v>
      </c>
      <c r="Y74" t="s">
        <v>604</v>
      </c>
      <c r="Z74" t="s">
        <v>36</v>
      </c>
    </row>
    <row r="75">
      <c r="A75" t="s">
        <v>605</v>
      </c>
      <c r="B75" t="s">
        <v>62</v>
      </c>
      <c r="C75" t="s">
        <v>28</v>
      </c>
      <c r="D75" t="s">
        <v>29</v>
      </c>
      <c r="E75">
        <v>66156</v>
      </c>
      <c r="F75">
        <v>92474</v>
      </c>
      <c r="G75">
        <v>81156</v>
      </c>
      <c r="H75">
        <v>15000</v>
      </c>
      <c r="I75">
        <v>116865</v>
      </c>
      <c r="J75" t="str">
        <f>HYPERLINK("https://driffle.com/es/gears-of-war-e-day-global-pc-steam-account-p9996357","Abrir compra")</f>
        <v>Abrir compra</v>
      </c>
      <c r="K75" t="str">
        <f>HYPERLINK("https://store.steampowered.com/app/3010850/Gears_of_War_EDay/","Abrir Steam")</f>
        <v>Abrir Steam</v>
      </c>
      <c r="L75" t="s">
        <v>30</v>
      </c>
      <c r="M75" t="s">
        <v>31</v>
      </c>
      <c r="N75" t="s">
        <v>32</v>
      </c>
      <c r="O75" t="s">
        <v>606</v>
      </c>
      <c r="P75" t="s">
        <v>607</v>
      </c>
      <c r="Q75" t="s">
        <v>32</v>
      </c>
      <c r="R75" t="s">
        <v>608</v>
      </c>
      <c r="S75" t="s">
        <v>36</v>
      </c>
      <c r="T75" t="s">
        <v>36</v>
      </c>
      <c r="U75" t="s">
        <v>609</v>
      </c>
      <c r="V75" t="s">
        <v>36</v>
      </c>
      <c r="W75" t="s">
        <v>610</v>
      </c>
      <c r="X75" t="s">
        <v>36</v>
      </c>
      <c r="Y75" t="s">
        <v>611</v>
      </c>
      <c r="Z75" t="s">
        <v>36</v>
      </c>
    </row>
    <row r="76">
      <c r="A76" t="s">
        <v>605</v>
      </c>
      <c r="B76" t="s">
        <v>579</v>
      </c>
      <c r="C76" t="s">
        <v>28</v>
      </c>
      <c r="D76" t="s">
        <v>29</v>
      </c>
      <c r="E76">
        <v>106291</v>
      </c>
      <c r="F76">
        <v>132113</v>
      </c>
      <c r="G76">
        <v>121291</v>
      </c>
      <c r="H76">
        <v>15000</v>
      </c>
      <c r="I76">
        <v>174659</v>
      </c>
      <c r="J76" t="str">
        <f>HYPERLINK("https://driffle.com/es/gears-of-war-e-day-premium-edition-global-pc-steam-account-p9996359","Abrir compra")</f>
        <v>Abrir compra</v>
      </c>
      <c r="K76" t="str">
        <f>HYPERLINK("https://store.steampowered.com/app/3010850/Gears_of_War_EDay/","Abrir Steam")</f>
        <v>Abrir Steam</v>
      </c>
      <c r="L76" t="s">
        <v>30</v>
      </c>
      <c r="M76" t="s">
        <v>31</v>
      </c>
      <c r="N76" t="s">
        <v>32</v>
      </c>
      <c r="O76" t="s">
        <v>612</v>
      </c>
      <c r="P76" t="s">
        <v>613</v>
      </c>
      <c r="Q76" t="s">
        <v>32</v>
      </c>
      <c r="R76" t="s">
        <v>614</v>
      </c>
      <c r="S76" t="s">
        <v>36</v>
      </c>
      <c r="T76" t="s">
        <v>36</v>
      </c>
      <c r="U76" t="s">
        <v>615</v>
      </c>
      <c r="V76" t="s">
        <v>36</v>
      </c>
      <c r="W76" t="s">
        <v>616</v>
      </c>
      <c r="X76" t="s">
        <v>36</v>
      </c>
      <c r="Y76" t="s">
        <v>617</v>
      </c>
      <c r="Z76" t="s">
        <v>36</v>
      </c>
    </row>
    <row r="77">
      <c r="A77" t="s">
        <v>618</v>
      </c>
      <c r="B77" t="s">
        <v>619</v>
      </c>
      <c r="C77" t="s">
        <v>32</v>
      </c>
      <c r="D77" t="s">
        <v>41</v>
      </c>
      <c r="E77">
        <v>36784</v>
      </c>
      <c r="F77">
        <v>94361</v>
      </c>
      <c r="G77">
        <v>63176</v>
      </c>
      <c r="H77">
        <v>26392</v>
      </c>
      <c r="I77">
        <v>90973</v>
      </c>
      <c r="J77" t="str">
        <f>HYPERLINK("https://driffle.com/es/ghost-of-tsushima-directors-cut-latam-pc-steam-digital-key-p9944724","Abrir compra")</f>
        <v>Abrir compra</v>
      </c>
      <c r="K77" t="str">
        <f>HYPERLINK("https://store.steampowered.com/app/2215430/Ghost_of_Tsushima_VERSIN_DEL_DIRECTOR/?l=spanish","Abrir Steam")</f>
        <v>Abrir Steam</v>
      </c>
      <c r="L77" t="s">
        <v>30</v>
      </c>
      <c r="M77" t="s">
        <v>31</v>
      </c>
      <c r="N77" t="s">
        <v>32</v>
      </c>
      <c r="O77" t="s">
        <v>620</v>
      </c>
      <c r="P77" t="s">
        <v>621</v>
      </c>
      <c r="Q77" t="s">
        <v>32</v>
      </c>
      <c r="R77" t="s">
        <v>622</v>
      </c>
      <c r="S77" t="s">
        <v>36</v>
      </c>
      <c r="T77" t="s">
        <v>623</v>
      </c>
      <c r="U77" t="s">
        <v>624</v>
      </c>
      <c r="V77" t="s">
        <v>625</v>
      </c>
      <c r="W77" t="s">
        <v>626</v>
      </c>
      <c r="X77" t="s">
        <v>627</v>
      </c>
      <c r="Y77" t="s">
        <v>628</v>
      </c>
      <c r="Z77" t="s">
        <v>629</v>
      </c>
    </row>
    <row r="78">
      <c r="A78" t="s">
        <v>630</v>
      </c>
      <c r="B78" t="s">
        <v>52</v>
      </c>
      <c r="C78" t="s">
        <v>32</v>
      </c>
      <c r="D78" t="s">
        <v>41</v>
      </c>
      <c r="E78">
        <v>21958</v>
      </c>
      <c r="F78">
        <v>94361</v>
      </c>
      <c r="G78">
        <v>56958</v>
      </c>
      <c r="H78">
        <v>35000</v>
      </c>
      <c r="I78">
        <v>82020</v>
      </c>
      <c r="J78" t="str">
        <f>HYPERLINK("https://www.eneba.com/latam/steam-god-of-war-pc-steam-key-latam","Abrir compra")</f>
        <v>Abrir compra</v>
      </c>
      <c r="K78" t="str">
        <f>HYPERLINK("https://store.steampowered.com/app/1593500/God_of_War/","Abrir Steam")</f>
        <v>Abrir Steam</v>
      </c>
      <c r="L78" t="s">
        <v>42</v>
      </c>
      <c r="M78" t="s">
        <v>31</v>
      </c>
      <c r="N78" t="s">
        <v>32</v>
      </c>
      <c r="O78" t="s">
        <v>631</v>
      </c>
      <c r="P78" t="s">
        <v>632</v>
      </c>
      <c r="Q78" t="s">
        <v>32</v>
      </c>
      <c r="R78" t="s">
        <v>633</v>
      </c>
      <c r="S78" t="s">
        <v>36</v>
      </c>
      <c r="T78" t="s">
        <v>634</v>
      </c>
      <c r="U78" t="s">
        <v>635</v>
      </c>
      <c r="V78" t="s">
        <v>36</v>
      </c>
      <c r="W78" t="s">
        <v>36</v>
      </c>
      <c r="X78" t="s">
        <v>636</v>
      </c>
      <c r="Y78" t="s">
        <v>637</v>
      </c>
      <c r="Z78" t="s">
        <v>36</v>
      </c>
    </row>
    <row r="79">
      <c r="A79" t="s">
        <v>630</v>
      </c>
      <c r="B79" t="s">
        <v>62</v>
      </c>
      <c r="C79" t="s">
        <v>28</v>
      </c>
      <c r="D79" t="s">
        <v>29</v>
      </c>
      <c r="E79">
        <v>29553</v>
      </c>
      <c r="F79">
        <v>94361</v>
      </c>
      <c r="G79">
        <v>54622</v>
      </c>
      <c r="H79">
        <v>25069</v>
      </c>
      <c r="I79">
        <v>78656</v>
      </c>
      <c r="J79" t="str">
        <f>HYPERLINK("https://driffle.com/es/god-of-war-global-pc-steam-account-p9971517","Abrir compra")</f>
        <v>Abrir compra</v>
      </c>
      <c r="K79" t="str">
        <f>HYPERLINK("https://store.steampowered.com/app/1593500/God_of_War/","Abrir Steam")</f>
        <v>Abrir Steam</v>
      </c>
      <c r="L79" t="s">
        <v>30</v>
      </c>
      <c r="M79" t="s">
        <v>31</v>
      </c>
      <c r="N79" t="s">
        <v>32</v>
      </c>
      <c r="O79" t="s">
        <v>638</v>
      </c>
      <c r="P79" t="s">
        <v>639</v>
      </c>
      <c r="Q79" t="s">
        <v>32</v>
      </c>
      <c r="R79" t="s">
        <v>640</v>
      </c>
      <c r="S79" t="s">
        <v>36</v>
      </c>
      <c r="T79" t="s">
        <v>36</v>
      </c>
      <c r="U79" t="s">
        <v>641</v>
      </c>
      <c r="V79" t="s">
        <v>36</v>
      </c>
      <c r="W79" t="s">
        <v>642</v>
      </c>
      <c r="X79" t="s">
        <v>36</v>
      </c>
      <c r="Y79" t="s">
        <v>643</v>
      </c>
      <c r="Z79" t="s">
        <v>36</v>
      </c>
    </row>
    <row r="80">
      <c r="A80" t="s">
        <v>644</v>
      </c>
      <c r="B80" t="s">
        <v>329</v>
      </c>
      <c r="C80" t="s">
        <v>32</v>
      </c>
      <c r="D80" t="s">
        <v>41</v>
      </c>
      <c r="E80">
        <v>65363</v>
      </c>
      <c r="F80">
        <v>94361</v>
      </c>
      <c r="G80">
        <v>80363</v>
      </c>
      <c r="H80">
        <v>15000</v>
      </c>
      <c r="I80">
        <v>115723</v>
      </c>
      <c r="J80" t="str">
        <f>HYPERLINK("https://driffle.com/es/god-of-war-ragnarok-deluxe-edition-pc-steam-digital-code-p9910056","Abrir compra")</f>
        <v>Abrir compra</v>
      </c>
      <c r="K80" t="str">
        <f>HYPERLINK("https://store.steampowered.com/app/2322010/God_of_War_Ragnark/?curator_clanid=4777282","Abrir Steam")</f>
        <v>Abrir Steam</v>
      </c>
      <c r="L80" t="s">
        <v>30</v>
      </c>
      <c r="M80" t="s">
        <v>31</v>
      </c>
      <c r="N80" t="s">
        <v>32</v>
      </c>
      <c r="O80" t="s">
        <v>645</v>
      </c>
      <c r="P80" t="s">
        <v>646</v>
      </c>
      <c r="Q80" t="s">
        <v>32</v>
      </c>
      <c r="R80" t="s">
        <v>647</v>
      </c>
      <c r="S80" t="s">
        <v>36</v>
      </c>
      <c r="T80" t="s">
        <v>36</v>
      </c>
      <c r="U80" t="s">
        <v>648</v>
      </c>
      <c r="V80" t="s">
        <v>36</v>
      </c>
      <c r="W80" t="s">
        <v>649</v>
      </c>
      <c r="X80" t="s">
        <v>650</v>
      </c>
      <c r="Y80" t="s">
        <v>651</v>
      </c>
      <c r="Z80" t="s">
        <v>36</v>
      </c>
    </row>
    <row r="81">
      <c r="A81" t="s">
        <v>644</v>
      </c>
      <c r="B81" t="s">
        <v>52</v>
      </c>
      <c r="C81" t="s">
        <v>32</v>
      </c>
      <c r="D81" t="s">
        <v>41</v>
      </c>
      <c r="E81">
        <v>47252</v>
      </c>
      <c r="F81">
        <v>94361</v>
      </c>
      <c r="G81">
        <v>70771</v>
      </c>
      <c r="H81">
        <v>23519</v>
      </c>
      <c r="I81">
        <v>101910</v>
      </c>
      <c r="J81" t="str">
        <f>HYPERLINK("https://www.eneba.com/latam/steam-god-of-war-ragnarok-pc-steam-key-latam","Abrir compra")</f>
        <v>Abrir compra</v>
      </c>
      <c r="K81" t="str">
        <f>HYPERLINK("https://store.steampowered.com/app/2322010/God_of_War_Ragnark/?curator_clanid=4777282","Abrir Steam")</f>
        <v>Abrir Steam</v>
      </c>
      <c r="L81" t="s">
        <v>42</v>
      </c>
      <c r="M81" t="s">
        <v>31</v>
      </c>
      <c r="N81" t="s">
        <v>32</v>
      </c>
      <c r="O81" t="s">
        <v>652</v>
      </c>
      <c r="P81" t="s">
        <v>653</v>
      </c>
      <c r="Q81" t="s">
        <v>32</v>
      </c>
      <c r="R81" t="s">
        <v>654</v>
      </c>
      <c r="S81" t="s">
        <v>36</v>
      </c>
      <c r="T81" t="s">
        <v>655</v>
      </c>
      <c r="U81" t="s">
        <v>656</v>
      </c>
      <c r="V81" t="s">
        <v>36</v>
      </c>
      <c r="W81" t="s">
        <v>657</v>
      </c>
      <c r="X81" t="s">
        <v>658</v>
      </c>
      <c r="Y81" t="s">
        <v>659</v>
      </c>
      <c r="Z81" t="s">
        <v>36</v>
      </c>
    </row>
    <row r="82">
      <c r="A82" t="s">
        <v>644</v>
      </c>
      <c r="B82" t="s">
        <v>62</v>
      </c>
      <c r="C82" t="s">
        <v>28</v>
      </c>
      <c r="D82" t="s">
        <v>29</v>
      </c>
      <c r="E82">
        <v>71257</v>
      </c>
      <c r="F82">
        <v>94361</v>
      </c>
      <c r="G82">
        <v>86257</v>
      </c>
      <c r="H82">
        <v>15000</v>
      </c>
      <c r="I82">
        <v>124210</v>
      </c>
      <c r="J82" t="str">
        <f>HYPERLINK("https://driffle.com/es/god-of-war-ragnarok-global-pc-steam-account-p9962284","Abrir compra")</f>
        <v>Abrir compra</v>
      </c>
      <c r="K82" t="str">
        <f>HYPERLINK("https://store.steampowered.com/app/2322010/God_of_War_Ragnark/?curator_clanid=4777282","Abrir Steam")</f>
        <v>Abrir Steam</v>
      </c>
      <c r="L82" t="s">
        <v>30</v>
      </c>
      <c r="M82" t="s">
        <v>31</v>
      </c>
      <c r="N82" t="s">
        <v>32</v>
      </c>
      <c r="O82" t="s">
        <v>660</v>
      </c>
      <c r="P82" t="s">
        <v>661</v>
      </c>
      <c r="Q82" t="s">
        <v>32</v>
      </c>
      <c r="R82" t="s">
        <v>662</v>
      </c>
      <c r="S82" t="s">
        <v>36</v>
      </c>
      <c r="T82" t="s">
        <v>36</v>
      </c>
      <c r="U82" t="s">
        <v>663</v>
      </c>
      <c r="V82" t="s">
        <v>36</v>
      </c>
      <c r="W82" t="s">
        <v>664</v>
      </c>
      <c r="X82" t="s">
        <v>36</v>
      </c>
      <c r="Y82" t="s">
        <v>665</v>
      </c>
      <c r="Z82" t="s">
        <v>36</v>
      </c>
    </row>
    <row r="83">
      <c r="A83" t="s">
        <v>666</v>
      </c>
      <c r="B83" t="s">
        <v>52</v>
      </c>
      <c r="C83" t="s">
        <v>32</v>
      </c>
      <c r="D83" t="s">
        <v>41</v>
      </c>
      <c r="E83">
        <v>39773</v>
      </c>
      <c r="F83">
        <v>64160</v>
      </c>
      <c r="G83">
        <v>71298</v>
      </c>
      <c r="H83">
        <v>31525</v>
      </c>
      <c r="I83">
        <v>102669</v>
      </c>
      <c r="J83" t="str">
        <f>HYPERLINK("https://www.loaded.com/es_es/gothic-1-remake-pc-steam-latam","Abrir compra")</f>
        <v>Abrir compra</v>
      </c>
      <c r="K83" t="str">
        <f>HYPERLINK("https://store.steampowered.com/app/1297900/Gothic_1_Remake/?curator_clanid=4777282","Abrir Steam")</f>
        <v>Abrir Steam</v>
      </c>
      <c r="L83" t="s">
        <v>231</v>
      </c>
      <c r="M83" t="s">
        <v>31</v>
      </c>
      <c r="N83" t="s">
        <v>32</v>
      </c>
      <c r="O83" t="s">
        <v>667</v>
      </c>
      <c r="P83" t="s">
        <v>668</v>
      </c>
      <c r="Q83" t="s">
        <v>32</v>
      </c>
      <c r="R83" t="s">
        <v>669</v>
      </c>
      <c r="S83" t="s">
        <v>36</v>
      </c>
      <c r="T83" t="s">
        <v>670</v>
      </c>
      <c r="U83" t="s">
        <v>671</v>
      </c>
      <c r="V83" t="s">
        <v>238</v>
      </c>
      <c r="W83" t="s">
        <v>672</v>
      </c>
      <c r="X83" t="s">
        <v>673</v>
      </c>
      <c r="Y83" t="s">
        <v>674</v>
      </c>
      <c r="Z83" t="s">
        <v>675</v>
      </c>
    </row>
    <row r="84">
      <c r="A84" t="s">
        <v>666</v>
      </c>
      <c r="B84" t="s">
        <v>62</v>
      </c>
      <c r="C84" t="s">
        <v>28</v>
      </c>
      <c r="D84" t="s">
        <v>29</v>
      </c>
      <c r="E84">
        <v>46905</v>
      </c>
      <c r="F84">
        <v>64160</v>
      </c>
      <c r="G84">
        <v>61905</v>
      </c>
      <c r="H84">
        <v>15000</v>
      </c>
      <c r="I84">
        <v>89143</v>
      </c>
      <c r="J84" t="str">
        <f>HYPERLINK("https://driffle.com/es/gothic-1-remake-global-pc-steam-account-p9995855","Abrir compra")</f>
        <v>Abrir compra</v>
      </c>
      <c r="K84" t="str">
        <f>HYPERLINK("https://store.steampowered.com/app/1297900/Gothic_1_Remake/?curator_clanid=4777282","Abrir Steam")</f>
        <v>Abrir Steam</v>
      </c>
      <c r="L84" t="s">
        <v>30</v>
      </c>
      <c r="M84" t="s">
        <v>70</v>
      </c>
      <c r="N84" t="s">
        <v>32</v>
      </c>
      <c r="O84" t="s">
        <v>676</v>
      </c>
      <c r="P84" t="s">
        <v>677</v>
      </c>
      <c r="Q84" t="s">
        <v>32</v>
      </c>
      <c r="R84" t="s">
        <v>678</v>
      </c>
      <c r="S84" t="s">
        <v>36</v>
      </c>
      <c r="T84" t="s">
        <v>36</v>
      </c>
      <c r="U84" t="s">
        <v>679</v>
      </c>
      <c r="V84" t="s">
        <v>36</v>
      </c>
      <c r="W84" t="s">
        <v>36</v>
      </c>
      <c r="X84" t="s">
        <v>36</v>
      </c>
      <c r="Y84" t="s">
        <v>680</v>
      </c>
      <c r="Z84" t="s">
        <v>36</v>
      </c>
    </row>
    <row r="85">
      <c r="A85" t="s">
        <v>681</v>
      </c>
      <c r="B85" t="s">
        <v>682</v>
      </c>
      <c r="C85" t="s">
        <v>28</v>
      </c>
      <c r="D85" t="s">
        <v>29</v>
      </c>
      <c r="E85">
        <v>18854</v>
      </c>
      <c r="F85">
        <v>56609</v>
      </c>
      <c r="G85">
        <v>35619</v>
      </c>
      <c r="H85">
        <v>16765</v>
      </c>
      <c r="I85">
        <v>51291</v>
      </c>
      <c r="J85" t="str">
        <f>HYPERLINK("https://driffle.com/es/grand-theft-auto-v-enhanced-global-pc-steam-account-p9962285","Abrir compra")</f>
        <v>Abrir compra</v>
      </c>
      <c r="K85" t="str">
        <f>HYPERLINK("https://store.steampowered.com/app/3240220/Grand_Theft_Auto_V_Enhanced/","Abrir Steam")</f>
        <v>Abrir Steam</v>
      </c>
      <c r="L85" t="s">
        <v>30</v>
      </c>
      <c r="M85" t="s">
        <v>31</v>
      </c>
      <c r="N85" t="s">
        <v>32</v>
      </c>
      <c r="O85" t="s">
        <v>683</v>
      </c>
      <c r="P85" t="s">
        <v>684</v>
      </c>
      <c r="Q85" t="s">
        <v>32</v>
      </c>
      <c r="R85" t="s">
        <v>685</v>
      </c>
      <c r="S85" t="s">
        <v>36</v>
      </c>
      <c r="T85" t="s">
        <v>36</v>
      </c>
      <c r="U85" t="s">
        <v>686</v>
      </c>
      <c r="V85" t="s">
        <v>36</v>
      </c>
      <c r="W85" t="s">
        <v>687</v>
      </c>
      <c r="X85" t="s">
        <v>36</v>
      </c>
      <c r="Y85" t="s">
        <v>688</v>
      </c>
      <c r="Z85" t="s">
        <v>36</v>
      </c>
    </row>
    <row r="86">
      <c r="A86" t="s">
        <v>689</v>
      </c>
      <c r="B86" t="s">
        <v>62</v>
      </c>
      <c r="C86" t="s">
        <v>28</v>
      </c>
      <c r="D86" t="s">
        <v>29</v>
      </c>
      <c r="E86">
        <v>63101</v>
      </c>
      <c r="F86">
        <v>75485</v>
      </c>
      <c r="G86">
        <v>78101</v>
      </c>
      <c r="H86">
        <v>15000</v>
      </c>
      <c r="I86">
        <v>112465</v>
      </c>
      <c r="J86" t="str">
        <f>HYPERLINK("https://driffle.com/es/halo-campaign-evolved-global-pc-steam-account-p9996349","Abrir compra")</f>
        <v>Abrir compra</v>
      </c>
      <c r="K86" t="str">
        <f>HYPERLINK("https://store.steampowered.com/app/2806050/Halo_Campaign_Evolved/","Abrir Steam")</f>
        <v>Abrir Steam</v>
      </c>
      <c r="L86" t="s">
        <v>30</v>
      </c>
      <c r="M86" t="s">
        <v>31</v>
      </c>
      <c r="N86" t="s">
        <v>32</v>
      </c>
      <c r="O86" t="s">
        <v>690</v>
      </c>
      <c r="P86" t="s">
        <v>691</v>
      </c>
      <c r="Q86" t="s">
        <v>32</v>
      </c>
      <c r="R86" t="s">
        <v>692</v>
      </c>
      <c r="S86" t="s">
        <v>36</v>
      </c>
      <c r="T86" t="s">
        <v>36</v>
      </c>
      <c r="U86" t="s">
        <v>693</v>
      </c>
      <c r="V86" t="s">
        <v>36</v>
      </c>
      <c r="W86" t="s">
        <v>694</v>
      </c>
      <c r="X86" t="s">
        <v>36</v>
      </c>
      <c r="Y86" t="s">
        <v>695</v>
      </c>
      <c r="Z86" t="s">
        <v>36</v>
      </c>
    </row>
    <row r="87">
      <c r="A87" t="s">
        <v>689</v>
      </c>
      <c r="B87" t="s">
        <v>579</v>
      </c>
      <c r="C87" t="s">
        <v>28</v>
      </c>
      <c r="D87" t="s">
        <v>29</v>
      </c>
      <c r="E87">
        <v>80437</v>
      </c>
      <c r="F87">
        <v>113237</v>
      </c>
      <c r="G87">
        <v>95437</v>
      </c>
      <c r="H87">
        <v>15000</v>
      </c>
      <c r="I87">
        <v>137429</v>
      </c>
      <c r="J87" t="str">
        <f>HYPERLINK("https://driffle.com/es/halo-campaign-evolved-premium-edition-global-pc-steam-account-p9996352","Abrir compra")</f>
        <v>Abrir compra</v>
      </c>
      <c r="K87" t="str">
        <f>HYPERLINK("https://store.steampowered.com/app/2806050/Halo_Campaign_Evolved/","Abrir Steam")</f>
        <v>Abrir Steam</v>
      </c>
      <c r="L87" t="s">
        <v>30</v>
      </c>
      <c r="M87" t="s">
        <v>31</v>
      </c>
      <c r="N87" t="s">
        <v>32</v>
      </c>
      <c r="O87" t="s">
        <v>696</v>
      </c>
      <c r="P87" t="s">
        <v>697</v>
      </c>
      <c r="Q87" t="s">
        <v>32</v>
      </c>
      <c r="R87" t="s">
        <v>698</v>
      </c>
      <c r="S87" t="s">
        <v>36</v>
      </c>
      <c r="T87" t="s">
        <v>36</v>
      </c>
      <c r="U87" t="s">
        <v>699</v>
      </c>
      <c r="V87" t="s">
        <v>36</v>
      </c>
      <c r="W87" t="s">
        <v>700</v>
      </c>
      <c r="X87" t="s">
        <v>36</v>
      </c>
      <c r="Y87" t="s">
        <v>701</v>
      </c>
      <c r="Z87" t="s">
        <v>36</v>
      </c>
    </row>
    <row r="88">
      <c r="A88" t="s">
        <v>702</v>
      </c>
      <c r="B88" t="s">
        <v>52</v>
      </c>
      <c r="C88" t="s">
        <v>32</v>
      </c>
      <c r="D88" t="s">
        <v>41</v>
      </c>
      <c r="E88">
        <v>38534</v>
      </c>
      <c r="F88">
        <v>75485</v>
      </c>
      <c r="G88">
        <v>56614</v>
      </c>
      <c r="H88">
        <v>18080</v>
      </c>
      <c r="I88">
        <v>81524</v>
      </c>
      <c r="J88" t="str">
        <f>HYPERLINK("https://www.eneba.com/latam/steam-helldivers-2-pc-steam-key-latam-10","Abrir compra")</f>
        <v>Abrir compra</v>
      </c>
      <c r="K88" t="str">
        <f>HYPERLINK("https://store.steampowered.com/app/553850/HELLDIVERS_2/","Abrir Steam")</f>
        <v>Abrir Steam</v>
      </c>
      <c r="L88" t="s">
        <v>42</v>
      </c>
      <c r="M88" t="s">
        <v>31</v>
      </c>
      <c r="N88" t="s">
        <v>32</v>
      </c>
      <c r="O88" t="s">
        <v>703</v>
      </c>
      <c r="P88" t="s">
        <v>704</v>
      </c>
      <c r="Q88" t="s">
        <v>32</v>
      </c>
      <c r="R88" t="s">
        <v>705</v>
      </c>
      <c r="S88" t="s">
        <v>36</v>
      </c>
      <c r="T88" t="s">
        <v>706</v>
      </c>
      <c r="U88" t="s">
        <v>707</v>
      </c>
      <c r="V88" t="s">
        <v>708</v>
      </c>
      <c r="W88" t="s">
        <v>709</v>
      </c>
      <c r="X88" t="s">
        <v>710</v>
      </c>
      <c r="Y88" t="s">
        <v>711</v>
      </c>
      <c r="Z88" t="s">
        <v>712</v>
      </c>
    </row>
    <row r="89">
      <c r="A89" t="s">
        <v>702</v>
      </c>
      <c r="B89" t="s">
        <v>62</v>
      </c>
      <c r="C89" t="s">
        <v>28</v>
      </c>
      <c r="D89" t="s">
        <v>29</v>
      </c>
      <c r="E89">
        <v>40648</v>
      </c>
      <c r="F89">
        <v>75485</v>
      </c>
      <c r="G89">
        <v>55648</v>
      </c>
      <c r="H89">
        <v>15000</v>
      </c>
      <c r="I89">
        <v>80133</v>
      </c>
      <c r="J89" t="str">
        <f>HYPERLINK("https://driffle.com/es/helldivers-2-global-pc-steam-account-p9952240","Abrir compra")</f>
        <v>Abrir compra</v>
      </c>
      <c r="K89" t="str">
        <f>HYPERLINK("https://store.steampowered.com/app/553850/HELLDIVERS_2/","Abrir Steam")</f>
        <v>Abrir Steam</v>
      </c>
      <c r="L89" t="s">
        <v>30</v>
      </c>
      <c r="M89" t="s">
        <v>70</v>
      </c>
      <c r="N89" t="s">
        <v>32</v>
      </c>
      <c r="O89" t="s">
        <v>713</v>
      </c>
      <c r="P89" t="s">
        <v>714</v>
      </c>
      <c r="Q89" t="s">
        <v>32</v>
      </c>
      <c r="R89" t="s">
        <v>715</v>
      </c>
      <c r="S89" t="s">
        <v>36</v>
      </c>
      <c r="T89" t="s">
        <v>36</v>
      </c>
      <c r="U89" t="s">
        <v>716</v>
      </c>
      <c r="V89" t="s">
        <v>36</v>
      </c>
      <c r="W89" t="s">
        <v>717</v>
      </c>
      <c r="X89" t="s">
        <v>36</v>
      </c>
      <c r="Y89" t="s">
        <v>718</v>
      </c>
      <c r="Z89" t="s">
        <v>36</v>
      </c>
    </row>
    <row r="90">
      <c r="A90" t="s">
        <v>702</v>
      </c>
      <c r="B90" t="s">
        <v>719</v>
      </c>
      <c r="C90" t="s">
        <v>32</v>
      </c>
      <c r="D90" t="s">
        <v>41</v>
      </c>
      <c r="E90">
        <v>55176</v>
      </c>
      <c r="F90">
        <v>75485</v>
      </c>
      <c r="G90">
        <v>70176</v>
      </c>
      <c r="H90">
        <v>15000</v>
      </c>
      <c r="I90">
        <v>101053</v>
      </c>
      <c r="J90" t="str">
        <f>HYPERLINK("https://driffle.com/es/helldivers-2-super-citizen-edition-latam-pc-steam-digital-key-p9981990","Abrir compra")</f>
        <v>Abrir compra</v>
      </c>
      <c r="K90" t="str">
        <f>HYPERLINK("https://store.steampowered.com/app/553850/HELLDIVERS_2/","Abrir Steam")</f>
        <v>Abrir Steam</v>
      </c>
      <c r="L90" t="s">
        <v>30</v>
      </c>
      <c r="M90" t="s">
        <v>31</v>
      </c>
      <c r="N90" t="s">
        <v>32</v>
      </c>
      <c r="O90" t="s">
        <v>720</v>
      </c>
      <c r="P90" t="s">
        <v>721</v>
      </c>
      <c r="Q90" t="s">
        <v>32</v>
      </c>
      <c r="R90" t="s">
        <v>722</v>
      </c>
      <c r="S90" t="s">
        <v>36</v>
      </c>
      <c r="T90" t="s">
        <v>723</v>
      </c>
      <c r="U90" t="s">
        <v>724</v>
      </c>
      <c r="V90" t="s">
        <v>36</v>
      </c>
      <c r="W90" t="s">
        <v>725</v>
      </c>
      <c r="X90" t="s">
        <v>726</v>
      </c>
      <c r="Y90" t="s">
        <v>727</v>
      </c>
      <c r="Z90" t="s">
        <v>728</v>
      </c>
    </row>
    <row r="91">
      <c r="A91" t="s">
        <v>729</v>
      </c>
      <c r="B91" t="s">
        <v>27</v>
      </c>
      <c r="C91" t="s">
        <v>28</v>
      </c>
      <c r="D91" t="s">
        <v>29</v>
      </c>
      <c r="E91">
        <v>29470</v>
      </c>
      <c r="F91">
        <v>86811</v>
      </c>
      <c r="G91">
        <v>51644</v>
      </c>
      <c r="H91">
        <v>22174</v>
      </c>
      <c r="I91">
        <v>74367</v>
      </c>
      <c r="J91" t="str">
        <f>HYPERLINK("https://driffle.com/es/hitman-world-of-assassination-deluxe-edition-global-pc-steam-account-p9979540","Abrir compra")</f>
        <v>Abrir compra</v>
      </c>
      <c r="K91" t="str">
        <f>HYPERLINK("https://store.steampowered.com/app/1659040/HITMAN_World_of_Assassination/?curator_clanid=4777282","Abrir Steam")</f>
        <v>Abrir Steam</v>
      </c>
      <c r="L91" t="s">
        <v>30</v>
      </c>
      <c r="M91" t="s">
        <v>70</v>
      </c>
      <c r="N91" t="s">
        <v>32</v>
      </c>
      <c r="O91" t="s">
        <v>730</v>
      </c>
      <c r="P91" t="s">
        <v>731</v>
      </c>
      <c r="Q91" t="s">
        <v>32</v>
      </c>
      <c r="R91" t="s">
        <v>732</v>
      </c>
      <c r="S91" t="s">
        <v>36</v>
      </c>
      <c r="T91" t="s">
        <v>36</v>
      </c>
      <c r="U91" t="s">
        <v>733</v>
      </c>
      <c r="V91" t="s">
        <v>36</v>
      </c>
      <c r="W91" t="s">
        <v>734</v>
      </c>
      <c r="X91" t="s">
        <v>36</v>
      </c>
      <c r="Y91" t="s">
        <v>735</v>
      </c>
      <c r="Z91" t="s">
        <v>36</v>
      </c>
    </row>
    <row r="92">
      <c r="A92" t="s">
        <v>729</v>
      </c>
      <c r="B92" t="s">
        <v>62</v>
      </c>
      <c r="C92" t="s">
        <v>28</v>
      </c>
      <c r="D92" t="s">
        <v>29</v>
      </c>
      <c r="E92">
        <v>12267</v>
      </c>
      <c r="F92">
        <v>28295</v>
      </c>
      <c r="G92">
        <v>27267</v>
      </c>
      <c r="H92">
        <v>15000</v>
      </c>
      <c r="I92">
        <v>39264</v>
      </c>
      <c r="J92" t="str">
        <f>HYPERLINK("https://driffle.com/es/hitman-world-of-assassination-global-pc-steam-account-p9945630","Abrir compra")</f>
        <v>Abrir compra</v>
      </c>
      <c r="K92" t="str">
        <f>HYPERLINK("https://store.steampowered.com/app/1659040/HITMAN_World_of_Assassination/?curator_clanid=4777282","Abrir Steam")</f>
        <v>Abrir Steam</v>
      </c>
      <c r="L92" t="s">
        <v>30</v>
      </c>
      <c r="M92" t="s">
        <v>70</v>
      </c>
      <c r="N92" t="s">
        <v>32</v>
      </c>
      <c r="O92" t="s">
        <v>736</v>
      </c>
      <c r="P92" t="s">
        <v>737</v>
      </c>
      <c r="Q92" t="s">
        <v>32</v>
      </c>
      <c r="R92" t="s">
        <v>738</v>
      </c>
      <c r="S92" t="s">
        <v>36</v>
      </c>
      <c r="T92" t="s">
        <v>36</v>
      </c>
      <c r="U92" t="s">
        <v>739</v>
      </c>
      <c r="V92" t="s">
        <v>36</v>
      </c>
      <c r="W92" t="s">
        <v>36</v>
      </c>
      <c r="X92" t="s">
        <v>36</v>
      </c>
      <c r="Y92" t="s">
        <v>740</v>
      </c>
      <c r="Z92" t="s">
        <v>36</v>
      </c>
    </row>
    <row r="93">
      <c r="A93" t="s">
        <v>741</v>
      </c>
      <c r="B93" t="s">
        <v>329</v>
      </c>
      <c r="C93" t="s">
        <v>32</v>
      </c>
      <c r="D93" t="s">
        <v>41</v>
      </c>
      <c r="E93">
        <v>11871</v>
      </c>
      <c r="F93">
        <v>75485</v>
      </c>
      <c r="G93">
        <v>43635</v>
      </c>
      <c r="H93">
        <v>31764</v>
      </c>
      <c r="I93">
        <v>62834</v>
      </c>
      <c r="J93" t="str">
        <f>HYPERLINK("https://www.eneba.com/latam/steam-hogwarts-legacy-deluxe-edition-pc-steam-key-latam","Abrir compra")</f>
        <v>Abrir compra</v>
      </c>
      <c r="K93" t="str">
        <f>HYPERLINK("https://store.steampowered.com/app/990080/Hogwarts_Legacy/?curator_clanid=4777282","Abrir Steam")</f>
        <v>Abrir Steam</v>
      </c>
      <c r="L93" t="s">
        <v>42</v>
      </c>
      <c r="M93" t="s">
        <v>31</v>
      </c>
      <c r="N93" t="s">
        <v>32</v>
      </c>
      <c r="O93" t="s">
        <v>742</v>
      </c>
      <c r="P93" t="s">
        <v>743</v>
      </c>
      <c r="Q93" t="s">
        <v>32</v>
      </c>
      <c r="R93" t="s">
        <v>744</v>
      </c>
      <c r="S93" t="s">
        <v>36</v>
      </c>
      <c r="T93" t="s">
        <v>745</v>
      </c>
      <c r="U93" t="s">
        <v>746</v>
      </c>
      <c r="V93" t="s">
        <v>747</v>
      </c>
      <c r="W93" t="s">
        <v>748</v>
      </c>
      <c r="X93" t="s">
        <v>749</v>
      </c>
      <c r="Y93" t="s">
        <v>750</v>
      </c>
      <c r="Z93" t="s">
        <v>751</v>
      </c>
    </row>
    <row r="94">
      <c r="A94" t="s">
        <v>741</v>
      </c>
      <c r="B94" t="s">
        <v>27</v>
      </c>
      <c r="C94" t="s">
        <v>28</v>
      </c>
      <c r="D94" t="s">
        <v>29</v>
      </c>
      <c r="E94">
        <v>8635</v>
      </c>
      <c r="F94">
        <v>75485</v>
      </c>
      <c r="G94">
        <v>35635</v>
      </c>
      <c r="H94">
        <v>27000</v>
      </c>
      <c r="I94">
        <v>51314</v>
      </c>
      <c r="J94" t="str">
        <f>HYPERLINK("https://driffle.com/es/hogwarts-legacy-deluxe-edition-pc-steam-digital-code-p9962290","Abrir compra")</f>
        <v>Abrir compra</v>
      </c>
      <c r="K94" t="str">
        <f>HYPERLINK("https://store.steampowered.com/app/990080/Hogwarts_Legacy/?curator_clanid=4777282","Abrir Steam")</f>
        <v>Abrir Steam</v>
      </c>
      <c r="L94" t="s">
        <v>30</v>
      </c>
      <c r="M94" t="s">
        <v>70</v>
      </c>
      <c r="N94" t="s">
        <v>32</v>
      </c>
      <c r="O94" t="s">
        <v>752</v>
      </c>
      <c r="P94" t="s">
        <v>753</v>
      </c>
      <c r="Q94" t="s">
        <v>32</v>
      </c>
      <c r="R94" t="s">
        <v>754</v>
      </c>
      <c r="S94" t="s">
        <v>36</v>
      </c>
      <c r="T94" t="s">
        <v>36</v>
      </c>
      <c r="U94" t="s">
        <v>755</v>
      </c>
      <c r="V94" t="s">
        <v>36</v>
      </c>
      <c r="W94" t="s">
        <v>756</v>
      </c>
      <c r="X94" t="s">
        <v>36</v>
      </c>
      <c r="Y94" t="s">
        <v>757</v>
      </c>
      <c r="Z94" t="s">
        <v>36</v>
      </c>
    </row>
    <row r="95">
      <c r="A95" t="s">
        <v>741</v>
      </c>
      <c r="B95" t="s">
        <v>52</v>
      </c>
      <c r="C95" t="s">
        <v>32</v>
      </c>
      <c r="D95" t="s">
        <v>41</v>
      </c>
      <c r="E95">
        <v>6951</v>
      </c>
      <c r="F95">
        <v>56628</v>
      </c>
      <c r="G95">
        <v>37386</v>
      </c>
      <c r="H95">
        <v>30435</v>
      </c>
      <c r="I95">
        <v>53836</v>
      </c>
      <c r="J95" t="str">
        <f>HYPERLINK("https://driffle.com/es/hogwarts-legacy-latam-pc-steam-digital-key-p9994172","Abrir compra")</f>
        <v>Abrir compra</v>
      </c>
      <c r="K95" t="str">
        <f>HYPERLINK("https://store.steampowered.com/app/990080/Hogwarts_Legacy/?curator_clanid=4777282","Abrir Steam")</f>
        <v>Abrir Steam</v>
      </c>
      <c r="L95" t="s">
        <v>30</v>
      </c>
      <c r="M95" t="s">
        <v>31</v>
      </c>
      <c r="N95" t="s">
        <v>32</v>
      </c>
      <c r="O95" t="s">
        <v>758</v>
      </c>
      <c r="P95" t="s">
        <v>759</v>
      </c>
      <c r="Q95" t="s">
        <v>32</v>
      </c>
      <c r="R95" t="s">
        <v>760</v>
      </c>
      <c r="S95" t="s">
        <v>36</v>
      </c>
      <c r="T95" t="s">
        <v>761</v>
      </c>
      <c r="U95" t="s">
        <v>762</v>
      </c>
      <c r="V95" t="s">
        <v>763</v>
      </c>
      <c r="W95" t="s">
        <v>764</v>
      </c>
      <c r="X95" t="s">
        <v>765</v>
      </c>
      <c r="Y95" t="s">
        <v>766</v>
      </c>
      <c r="Z95" t="s">
        <v>767</v>
      </c>
    </row>
    <row r="96">
      <c r="A96" t="s">
        <v>741</v>
      </c>
      <c r="B96" t="s">
        <v>62</v>
      </c>
      <c r="C96" t="s">
        <v>28</v>
      </c>
      <c r="D96" t="s">
        <v>29</v>
      </c>
      <c r="E96">
        <v>3252</v>
      </c>
      <c r="F96">
        <v>56628</v>
      </c>
      <c r="G96">
        <v>29386</v>
      </c>
      <c r="H96">
        <v>26134</v>
      </c>
      <c r="I96">
        <v>42316</v>
      </c>
      <c r="J96" t="str">
        <f>HYPERLINK("https://driffle.com/es/hogwarts-legacy-global-pc-steam-account-p9971523","Abrir compra")</f>
        <v>Abrir compra</v>
      </c>
      <c r="K96" t="str">
        <f>HYPERLINK("https://store.steampowered.com/app/990080/Hogwarts_Legacy/?curator_clanid=4777282","Abrir Steam")</f>
        <v>Abrir Steam</v>
      </c>
      <c r="L96" t="s">
        <v>30</v>
      </c>
      <c r="M96" t="s">
        <v>70</v>
      </c>
      <c r="N96" t="s">
        <v>32</v>
      </c>
      <c r="O96" t="s">
        <v>768</v>
      </c>
      <c r="P96" t="s">
        <v>769</v>
      </c>
      <c r="Q96" t="s">
        <v>32</v>
      </c>
      <c r="R96" t="s">
        <v>770</v>
      </c>
      <c r="S96" t="s">
        <v>36</v>
      </c>
      <c r="T96" t="s">
        <v>36</v>
      </c>
      <c r="U96" t="s">
        <v>771</v>
      </c>
      <c r="V96" t="s">
        <v>36</v>
      </c>
      <c r="W96" t="s">
        <v>772</v>
      </c>
      <c r="X96" t="s">
        <v>36</v>
      </c>
      <c r="Y96" t="s">
        <v>773</v>
      </c>
      <c r="Z96" t="s">
        <v>36</v>
      </c>
    </row>
    <row r="97">
      <c r="A97" t="s">
        <v>774</v>
      </c>
      <c r="B97" t="s">
        <v>27</v>
      </c>
      <c r="C97" t="s">
        <v>28</v>
      </c>
      <c r="D97" t="s">
        <v>29</v>
      </c>
      <c r="E97">
        <v>28661</v>
      </c>
      <c r="F97">
        <v>106649</v>
      </c>
      <c r="G97">
        <v>55661</v>
      </c>
      <c r="H97">
        <v>27000</v>
      </c>
      <c r="I97">
        <v>80152</v>
      </c>
      <c r="J97" t="str">
        <f>HYPERLINK("https://driffle.com/es/invincible-vs-deluxe-edition-global-pc-steam-account-p9994203","Abrir compra")</f>
        <v>Abrir compra</v>
      </c>
      <c r="K97" t="str">
        <f>HYPERLINK("https://store.steampowered.com/app/2353060/Invincible_VS/","Abrir Steam")</f>
        <v>Abrir Steam</v>
      </c>
      <c r="L97" t="s">
        <v>30</v>
      </c>
      <c r="M97" t="s">
        <v>70</v>
      </c>
      <c r="N97" t="s">
        <v>32</v>
      </c>
      <c r="O97" t="s">
        <v>775</v>
      </c>
      <c r="P97" t="s">
        <v>776</v>
      </c>
      <c r="Q97" t="s">
        <v>32</v>
      </c>
      <c r="R97" t="s">
        <v>777</v>
      </c>
      <c r="S97" t="s">
        <v>36</v>
      </c>
      <c r="T97" t="s">
        <v>36</v>
      </c>
      <c r="U97" t="s">
        <v>778</v>
      </c>
      <c r="V97" t="s">
        <v>36</v>
      </c>
      <c r="W97" t="s">
        <v>779</v>
      </c>
      <c r="X97" t="s">
        <v>36</v>
      </c>
      <c r="Y97" t="s">
        <v>780</v>
      </c>
      <c r="Z97" t="s">
        <v>36</v>
      </c>
    </row>
    <row r="98">
      <c r="A98" t="s">
        <v>774</v>
      </c>
      <c r="B98" t="s">
        <v>62</v>
      </c>
      <c r="C98" t="s">
        <v>28</v>
      </c>
      <c r="D98" t="s">
        <v>29</v>
      </c>
      <c r="E98">
        <v>20159</v>
      </c>
      <c r="F98">
        <v>70785</v>
      </c>
      <c r="G98">
        <v>41670</v>
      </c>
      <c r="H98">
        <v>21511</v>
      </c>
      <c r="I98">
        <v>60005</v>
      </c>
      <c r="J98" t="str">
        <f>HYPERLINK("https://driffle.com/es/invincible-vs-global-pc-steam-account-p9994202","Abrir compra")</f>
        <v>Abrir compra</v>
      </c>
      <c r="K98" t="str">
        <f>HYPERLINK("https://store.steampowered.com/app/2353060/Invincible_VS/","Abrir Steam")</f>
        <v>Abrir Steam</v>
      </c>
      <c r="L98" t="s">
        <v>30</v>
      </c>
      <c r="M98" t="s">
        <v>70</v>
      </c>
      <c r="N98" t="s">
        <v>32</v>
      </c>
      <c r="O98" t="s">
        <v>781</v>
      </c>
      <c r="P98" t="s">
        <v>782</v>
      </c>
      <c r="Q98" t="s">
        <v>32</v>
      </c>
      <c r="R98" t="s">
        <v>783</v>
      </c>
      <c r="S98" t="s">
        <v>36</v>
      </c>
      <c r="T98" t="s">
        <v>36</v>
      </c>
      <c r="U98" t="s">
        <v>784</v>
      </c>
      <c r="V98" t="s">
        <v>36</v>
      </c>
      <c r="W98" t="s">
        <v>785</v>
      </c>
      <c r="X98" t="s">
        <v>36</v>
      </c>
      <c r="Y98" t="s">
        <v>786</v>
      </c>
      <c r="Z98" t="s">
        <v>36</v>
      </c>
    </row>
    <row r="99">
      <c r="A99" t="s">
        <v>787</v>
      </c>
      <c r="B99" t="s">
        <v>52</v>
      </c>
      <c r="C99" t="s">
        <v>32</v>
      </c>
      <c r="D99" t="s">
        <v>41</v>
      </c>
      <c r="E99">
        <v>64108</v>
      </c>
      <c r="F99">
        <v>75485</v>
      </c>
      <c r="G99">
        <v>87121</v>
      </c>
      <c r="H99">
        <v>23013</v>
      </c>
      <c r="I99">
        <v>125454</v>
      </c>
      <c r="J99" t="str">
        <f>HYPERLINK("https://www.eneba.com/latam/steam-it-takes-two-steam-key-global","Abrir compra")</f>
        <v>Abrir compra</v>
      </c>
      <c r="K99" t="str">
        <f>HYPERLINK("https://store.steampowered.com/app/1426210/It_Takes_Two/?curator_clanid=4777282","Abrir Steam")</f>
        <v>Abrir Steam</v>
      </c>
      <c r="L99" t="s">
        <v>42</v>
      </c>
      <c r="M99" t="s">
        <v>70</v>
      </c>
      <c r="N99" t="s">
        <v>32</v>
      </c>
      <c r="O99" t="s">
        <v>788</v>
      </c>
      <c r="P99" t="s">
        <v>789</v>
      </c>
      <c r="Q99" t="s">
        <v>32</v>
      </c>
      <c r="R99" t="s">
        <v>790</v>
      </c>
      <c r="S99" t="s">
        <v>36</v>
      </c>
      <c r="T99" t="s">
        <v>791</v>
      </c>
      <c r="U99" t="s">
        <v>792</v>
      </c>
      <c r="V99" t="s">
        <v>36</v>
      </c>
      <c r="W99" t="s">
        <v>793</v>
      </c>
      <c r="X99" t="s">
        <v>794</v>
      </c>
      <c r="Y99" t="s">
        <v>795</v>
      </c>
      <c r="Z99" t="s">
        <v>36</v>
      </c>
    </row>
    <row r="100">
      <c r="A100" t="s">
        <v>787</v>
      </c>
      <c r="B100" t="s">
        <v>62</v>
      </c>
      <c r="C100" t="s">
        <v>28</v>
      </c>
      <c r="D100" t="s">
        <v>29</v>
      </c>
      <c r="E100">
        <v>10732</v>
      </c>
      <c r="F100">
        <v>75485</v>
      </c>
      <c r="G100">
        <v>37732</v>
      </c>
      <c r="H100">
        <v>27000</v>
      </c>
      <c r="I100">
        <v>54334</v>
      </c>
      <c r="J100" t="str">
        <f>HYPERLINK("https://driffle.com/es/it-takes-two-global-pc-steam-account-p9945671","Abrir compra")</f>
        <v>Abrir compra</v>
      </c>
      <c r="K100" t="str">
        <f>HYPERLINK("https://store.steampowered.com/app/1426210/It_Takes_Two/?curator_clanid=4777282","Abrir Steam")</f>
        <v>Abrir Steam</v>
      </c>
      <c r="L100" t="s">
        <v>30</v>
      </c>
      <c r="M100" t="s">
        <v>70</v>
      </c>
      <c r="N100" t="s">
        <v>32</v>
      </c>
      <c r="O100" t="s">
        <v>796</v>
      </c>
      <c r="P100" t="s">
        <v>797</v>
      </c>
      <c r="Q100" t="s">
        <v>32</v>
      </c>
      <c r="R100" t="s">
        <v>798</v>
      </c>
      <c r="S100" t="s">
        <v>36</v>
      </c>
      <c r="T100" t="s">
        <v>36</v>
      </c>
      <c r="U100" t="s">
        <v>799</v>
      </c>
      <c r="V100" t="s">
        <v>36</v>
      </c>
      <c r="W100" t="s">
        <v>800</v>
      </c>
      <c r="X100" t="s">
        <v>36</v>
      </c>
      <c r="Y100" t="s">
        <v>801</v>
      </c>
      <c r="Z100" t="s">
        <v>36</v>
      </c>
    </row>
    <row r="101">
      <c r="A101" t="s">
        <v>802</v>
      </c>
      <c r="B101" t="s">
        <v>329</v>
      </c>
      <c r="C101" t="s">
        <v>32</v>
      </c>
      <c r="D101" t="s">
        <v>41</v>
      </c>
      <c r="E101">
        <v>86611</v>
      </c>
      <c r="F101">
        <v>150989</v>
      </c>
      <c r="G101">
        <v>108590</v>
      </c>
      <c r="H101">
        <v>21979</v>
      </c>
      <c r="I101">
        <v>156370</v>
      </c>
      <c r="J101" t="str">
        <f>HYPERLINK("https://www.eneba.com/latam/steam-lego-r-batmantm-legacy-of-the-dark-knight-deluxe-edition-steam-key-pc-latam","Abrir compra")</f>
        <v>Abrir compra</v>
      </c>
      <c r="K101" t="str">
        <f>HYPERLINK("https://store.steampowered.com/app/2215200/LEGO_Batman_El_Legado_del_Caballero_Oscuro/","Abrir Steam")</f>
        <v>Abrir Steam</v>
      </c>
      <c r="L101" t="s">
        <v>42</v>
      </c>
      <c r="M101" t="s">
        <v>31</v>
      </c>
      <c r="N101" t="s">
        <v>32</v>
      </c>
      <c r="O101" t="s">
        <v>803</v>
      </c>
      <c r="P101" t="s">
        <v>804</v>
      </c>
      <c r="Q101" t="s">
        <v>32</v>
      </c>
      <c r="R101" t="s">
        <v>805</v>
      </c>
      <c r="S101" t="s">
        <v>36</v>
      </c>
      <c r="T101" t="s">
        <v>806</v>
      </c>
      <c r="U101" t="s">
        <v>807</v>
      </c>
      <c r="V101" t="s">
        <v>36</v>
      </c>
      <c r="W101" t="s">
        <v>808</v>
      </c>
      <c r="X101" t="s">
        <v>809</v>
      </c>
      <c r="Y101" t="s">
        <v>810</v>
      </c>
      <c r="Z101" t="s">
        <v>811</v>
      </c>
    </row>
    <row r="102">
      <c r="A102" t="s">
        <v>802</v>
      </c>
      <c r="B102" t="s">
        <v>52</v>
      </c>
      <c r="C102" t="s">
        <v>32</v>
      </c>
      <c r="D102" t="s">
        <v>41</v>
      </c>
      <c r="E102">
        <v>55292</v>
      </c>
      <c r="F102">
        <v>113237</v>
      </c>
      <c r="G102">
        <v>79074</v>
      </c>
      <c r="H102">
        <v>23782</v>
      </c>
      <c r="I102">
        <v>113867</v>
      </c>
      <c r="J102" t="str">
        <f>HYPERLINK("https://www.loaded.com/es_es/lego-batman-legacy-of-the-dark-knight-pc-latam-steam","Abrir compra")</f>
        <v>Abrir compra</v>
      </c>
      <c r="K102" t="str">
        <f>HYPERLINK("https://store.steampowered.com/app/2215200/LEGO_Batman_El_Legado_del_Caballero_Oscuro/","Abrir Steam")</f>
        <v>Abrir Steam</v>
      </c>
      <c r="L102" t="s">
        <v>231</v>
      </c>
      <c r="M102" t="s">
        <v>31</v>
      </c>
      <c r="N102" t="s">
        <v>32</v>
      </c>
      <c r="O102" t="s">
        <v>812</v>
      </c>
      <c r="P102" t="s">
        <v>813</v>
      </c>
      <c r="Q102" t="s">
        <v>32</v>
      </c>
      <c r="R102" t="s">
        <v>814</v>
      </c>
      <c r="S102" t="s">
        <v>36</v>
      </c>
      <c r="T102" t="s">
        <v>815</v>
      </c>
      <c r="U102" t="s">
        <v>816</v>
      </c>
      <c r="V102" t="s">
        <v>817</v>
      </c>
      <c r="W102" t="s">
        <v>818</v>
      </c>
      <c r="X102" t="s">
        <v>819</v>
      </c>
      <c r="Y102" t="s">
        <v>820</v>
      </c>
      <c r="Z102" t="s">
        <v>821</v>
      </c>
    </row>
    <row r="103">
      <c r="A103" t="s">
        <v>822</v>
      </c>
      <c r="B103" t="s">
        <v>329</v>
      </c>
      <c r="C103" t="s">
        <v>32</v>
      </c>
      <c r="D103" t="s">
        <v>41</v>
      </c>
      <c r="E103">
        <v>14265</v>
      </c>
      <c r="F103">
        <v>84942</v>
      </c>
      <c r="G103">
        <v>41265</v>
      </c>
      <c r="H103">
        <v>27000</v>
      </c>
      <c r="I103">
        <v>59422</v>
      </c>
      <c r="J103" t="str">
        <f>HYPERLINK("https://driffle.com/es/marvel-vs-capcom-infinite-deluxe-edition-pc-steam-digital-code-p9879561","Abrir compra")</f>
        <v>Abrir compra</v>
      </c>
      <c r="K103" t="str">
        <f>HYPERLINK("https://store.steampowered.com/app/493840/Marvel_vs_Capcom_Infinite/","Abrir Steam")</f>
        <v>Abrir Steam</v>
      </c>
      <c r="L103" t="s">
        <v>30</v>
      </c>
      <c r="M103" t="s">
        <v>70</v>
      </c>
      <c r="N103" t="s">
        <v>32</v>
      </c>
      <c r="O103" t="s">
        <v>823</v>
      </c>
      <c r="P103" t="s">
        <v>824</v>
      </c>
      <c r="Q103" t="s">
        <v>32</v>
      </c>
      <c r="R103" t="s">
        <v>825</v>
      </c>
      <c r="S103" t="s">
        <v>36</v>
      </c>
      <c r="T103" t="s">
        <v>826</v>
      </c>
      <c r="U103" t="s">
        <v>827</v>
      </c>
      <c r="V103" t="s">
        <v>36</v>
      </c>
      <c r="W103" t="s">
        <v>828</v>
      </c>
      <c r="X103" t="s">
        <v>829</v>
      </c>
      <c r="Y103" t="s">
        <v>830</v>
      </c>
      <c r="Z103" t="s">
        <v>831</v>
      </c>
    </row>
    <row r="104">
      <c r="A104" t="s">
        <v>822</v>
      </c>
      <c r="B104" t="s">
        <v>52</v>
      </c>
      <c r="C104" t="s">
        <v>32</v>
      </c>
      <c r="D104" t="s">
        <v>41</v>
      </c>
      <c r="E104">
        <v>7644</v>
      </c>
      <c r="F104">
        <v>54740</v>
      </c>
      <c r="G104">
        <v>35000</v>
      </c>
      <c r="H104">
        <v>27356</v>
      </c>
      <c r="I104">
        <v>50400</v>
      </c>
      <c r="J104" t="str">
        <f>HYPERLINK("https://www.eneba.com/latam/steam-marvel-vs-capcom-infinite-steam-key-latam","Abrir compra")</f>
        <v>Abrir compra</v>
      </c>
      <c r="K104" t="str">
        <f>HYPERLINK("https://store.steampowered.com/app/493840/Marvel_vs_Capcom_Infinite/","Abrir Steam")</f>
        <v>Abrir Steam</v>
      </c>
      <c r="L104" t="s">
        <v>42</v>
      </c>
      <c r="M104" t="s">
        <v>31</v>
      </c>
      <c r="N104" t="s">
        <v>32</v>
      </c>
      <c r="O104" t="s">
        <v>832</v>
      </c>
      <c r="P104" t="s">
        <v>833</v>
      </c>
      <c r="Q104" t="s">
        <v>32</v>
      </c>
      <c r="R104" t="s">
        <v>834</v>
      </c>
      <c r="S104" t="s">
        <v>36</v>
      </c>
      <c r="T104" t="s">
        <v>835</v>
      </c>
      <c r="U104" t="s">
        <v>836</v>
      </c>
      <c r="V104" t="s">
        <v>36</v>
      </c>
      <c r="W104" t="s">
        <v>837</v>
      </c>
      <c r="X104" t="s">
        <v>838</v>
      </c>
      <c r="Y104" t="s">
        <v>839</v>
      </c>
      <c r="Z104" t="s">
        <v>36</v>
      </c>
    </row>
    <row r="105">
      <c r="A105" t="s">
        <v>840</v>
      </c>
      <c r="B105" t="s">
        <v>329</v>
      </c>
      <c r="C105" t="s">
        <v>32</v>
      </c>
      <c r="D105" t="s">
        <v>41</v>
      </c>
      <c r="E105">
        <v>48110</v>
      </c>
      <c r="F105">
        <v>94361</v>
      </c>
      <c r="G105">
        <v>67707</v>
      </c>
      <c r="H105">
        <v>19597</v>
      </c>
      <c r="I105">
        <v>97498</v>
      </c>
      <c r="J105" t="str">
        <f>HYPERLINK("https://driffle.com/es/marvels-spider-man-2-deluxe-edition-latam-pc-steam-digital-key-p9930164","Abrir compra")</f>
        <v>Abrir compra</v>
      </c>
      <c r="K105" t="str">
        <f>HYPERLINK("https://store.steampowered.com/app/2651280/Marvels_SpiderMan_2/","Abrir Steam")</f>
        <v>Abrir Steam</v>
      </c>
      <c r="L105" t="s">
        <v>30</v>
      </c>
      <c r="M105" t="s">
        <v>31</v>
      </c>
      <c r="N105" t="s">
        <v>32</v>
      </c>
      <c r="O105" t="s">
        <v>841</v>
      </c>
      <c r="P105" t="s">
        <v>842</v>
      </c>
      <c r="Q105" t="s">
        <v>32</v>
      </c>
      <c r="R105" t="s">
        <v>843</v>
      </c>
      <c r="S105" t="s">
        <v>36</v>
      </c>
      <c r="T105" t="s">
        <v>36</v>
      </c>
      <c r="U105" t="s">
        <v>844</v>
      </c>
      <c r="V105" t="s">
        <v>36</v>
      </c>
      <c r="W105" t="s">
        <v>845</v>
      </c>
      <c r="X105" t="s">
        <v>846</v>
      </c>
      <c r="Y105" t="s">
        <v>847</v>
      </c>
      <c r="Z105" t="s">
        <v>36</v>
      </c>
    </row>
    <row r="106">
      <c r="A106" t="s">
        <v>840</v>
      </c>
      <c r="B106" t="s">
        <v>52</v>
      </c>
      <c r="C106" t="s">
        <v>32</v>
      </c>
      <c r="D106" t="s">
        <v>41</v>
      </c>
      <c r="E106">
        <v>41440</v>
      </c>
      <c r="F106">
        <v>94361</v>
      </c>
      <c r="G106">
        <v>68756</v>
      </c>
      <c r="H106">
        <v>27316</v>
      </c>
      <c r="I106">
        <v>99009</v>
      </c>
      <c r="J106" t="str">
        <f>HYPERLINK("https://driffle.com/es/marvels-spider-man-2-latam-pc-steam-digital-key-p9930167","Abrir compra")</f>
        <v>Abrir compra</v>
      </c>
      <c r="K106" t="str">
        <f>HYPERLINK("https://store.steampowered.com/app/2651280/Marvels_SpiderMan_2/","Abrir Steam")</f>
        <v>Abrir Steam</v>
      </c>
      <c r="L106" t="s">
        <v>30</v>
      </c>
      <c r="M106" t="s">
        <v>31</v>
      </c>
      <c r="N106" t="s">
        <v>32</v>
      </c>
      <c r="O106" t="s">
        <v>848</v>
      </c>
      <c r="P106" t="s">
        <v>849</v>
      </c>
      <c r="Q106" t="s">
        <v>32</v>
      </c>
      <c r="R106" t="s">
        <v>850</v>
      </c>
      <c r="S106" t="s">
        <v>36</v>
      </c>
      <c r="T106" t="s">
        <v>851</v>
      </c>
      <c r="U106" t="s">
        <v>852</v>
      </c>
      <c r="V106" t="s">
        <v>36</v>
      </c>
      <c r="W106" t="s">
        <v>853</v>
      </c>
      <c r="X106" t="s">
        <v>854</v>
      </c>
      <c r="Y106" t="s">
        <v>855</v>
      </c>
      <c r="Z106" t="s">
        <v>36</v>
      </c>
    </row>
    <row r="107">
      <c r="A107" t="s">
        <v>840</v>
      </c>
      <c r="B107" t="s">
        <v>62</v>
      </c>
      <c r="C107" t="s">
        <v>28</v>
      </c>
      <c r="D107" t="s">
        <v>29</v>
      </c>
      <c r="E107">
        <v>42183</v>
      </c>
      <c r="F107">
        <v>94361</v>
      </c>
      <c r="G107">
        <v>59674</v>
      </c>
      <c r="H107">
        <v>17491</v>
      </c>
      <c r="I107">
        <v>85931</v>
      </c>
      <c r="J107" t="str">
        <f>HYPERLINK("https://driffle.com/es/marvels-spider-man-2-global-pc-steam-account-p9979525","Abrir compra")</f>
        <v>Abrir compra</v>
      </c>
      <c r="K107" t="str">
        <f>HYPERLINK("https://store.steampowered.com/app/2651280/Marvels_SpiderMan_2/","Abrir Steam")</f>
        <v>Abrir Steam</v>
      </c>
      <c r="L107" t="s">
        <v>30</v>
      </c>
      <c r="M107" t="s">
        <v>31</v>
      </c>
      <c r="N107" t="s">
        <v>32</v>
      </c>
      <c r="O107" t="s">
        <v>856</v>
      </c>
      <c r="P107" t="s">
        <v>857</v>
      </c>
      <c r="Q107" t="s">
        <v>32</v>
      </c>
      <c r="R107" t="s">
        <v>858</v>
      </c>
      <c r="S107" t="s">
        <v>36</v>
      </c>
      <c r="T107" t="s">
        <v>36</v>
      </c>
      <c r="U107" t="s">
        <v>859</v>
      </c>
      <c r="V107" t="s">
        <v>36</v>
      </c>
      <c r="W107" t="s">
        <v>860</v>
      </c>
      <c r="X107" t="s">
        <v>36</v>
      </c>
      <c r="Y107" t="s">
        <v>861</v>
      </c>
      <c r="Z107" t="s">
        <v>36</v>
      </c>
    </row>
    <row r="108">
      <c r="A108" t="s">
        <v>862</v>
      </c>
      <c r="B108" t="s">
        <v>52</v>
      </c>
      <c r="C108" t="s">
        <v>32</v>
      </c>
      <c r="D108" t="s">
        <v>41</v>
      </c>
      <c r="E108">
        <v>25838</v>
      </c>
      <c r="F108">
        <v>113237</v>
      </c>
      <c r="G108">
        <v>52838</v>
      </c>
      <c r="H108">
        <v>27000</v>
      </c>
      <c r="I108">
        <v>76087</v>
      </c>
      <c r="J108" t="str">
        <f>HYPERLINK("https://driffle.com/es/marvels-spider-man-remastered-latam-pc-steam-digital-key-p9973449","Abrir compra")</f>
        <v>Abrir compra</v>
      </c>
      <c r="K108" t="str">
        <f>HYPERLINK("https://store.steampowered.com/app/1817070/Marvels_SpiderMan_Remastered/","Abrir Steam")</f>
        <v>Abrir Steam</v>
      </c>
      <c r="L108" t="s">
        <v>30</v>
      </c>
      <c r="M108" t="s">
        <v>31</v>
      </c>
      <c r="N108" t="s">
        <v>32</v>
      </c>
      <c r="O108" t="s">
        <v>863</v>
      </c>
      <c r="P108" t="s">
        <v>864</v>
      </c>
      <c r="Q108" t="s">
        <v>32</v>
      </c>
      <c r="R108" t="s">
        <v>865</v>
      </c>
      <c r="S108" t="s">
        <v>36</v>
      </c>
      <c r="T108" t="s">
        <v>36</v>
      </c>
      <c r="U108" t="s">
        <v>866</v>
      </c>
      <c r="V108" t="s">
        <v>36</v>
      </c>
      <c r="W108" t="s">
        <v>867</v>
      </c>
      <c r="X108" t="s">
        <v>868</v>
      </c>
      <c r="Y108" t="s">
        <v>869</v>
      </c>
      <c r="Z108" t="s">
        <v>870</v>
      </c>
    </row>
    <row r="109">
      <c r="A109" t="s">
        <v>871</v>
      </c>
      <c r="B109" t="s">
        <v>52</v>
      </c>
      <c r="C109" t="s">
        <v>32</v>
      </c>
      <c r="D109" t="s">
        <v>41</v>
      </c>
      <c r="E109">
        <v>23791</v>
      </c>
      <c r="F109">
        <v>94361</v>
      </c>
      <c r="G109">
        <v>50791</v>
      </c>
      <c r="H109">
        <v>27000</v>
      </c>
      <c r="I109">
        <v>73139</v>
      </c>
      <c r="J109" t="str">
        <f>HYPERLINK("https://www.eneba.com/latam/steam-marvels-spider-man-miles-morales-pc-steam-key-latam","Abrir compra")</f>
        <v>Abrir compra</v>
      </c>
      <c r="K109" t="str">
        <f>HYPERLINK("https://store.steampowered.com/app/1817190/Marvels_SpiderMan_Miles_Morales/","Abrir Steam")</f>
        <v>Abrir Steam</v>
      </c>
      <c r="L109" t="s">
        <v>42</v>
      </c>
      <c r="M109" t="s">
        <v>31</v>
      </c>
      <c r="N109" t="s">
        <v>32</v>
      </c>
      <c r="O109" t="s">
        <v>872</v>
      </c>
      <c r="P109" t="s">
        <v>873</v>
      </c>
      <c r="Q109" t="s">
        <v>32</v>
      </c>
      <c r="R109" t="s">
        <v>874</v>
      </c>
      <c r="S109" t="s">
        <v>36</v>
      </c>
      <c r="T109" t="s">
        <v>875</v>
      </c>
      <c r="U109" t="s">
        <v>876</v>
      </c>
      <c r="V109" t="s">
        <v>36</v>
      </c>
      <c r="W109" t="s">
        <v>877</v>
      </c>
      <c r="X109" t="s">
        <v>878</v>
      </c>
      <c r="Y109" t="s">
        <v>879</v>
      </c>
      <c r="Z109" t="s">
        <v>880</v>
      </c>
    </row>
    <row r="110">
      <c r="A110" t="s">
        <v>881</v>
      </c>
      <c r="B110" t="s">
        <v>882</v>
      </c>
      <c r="C110" t="s">
        <v>32</v>
      </c>
      <c r="D110" t="s">
        <v>41</v>
      </c>
      <c r="E110">
        <v>300465</v>
      </c>
      <c r="F110">
        <v>377501</v>
      </c>
      <c r="G110">
        <v>315465</v>
      </c>
      <c r="H110">
        <v>15000</v>
      </c>
      <c r="I110">
        <v>454270</v>
      </c>
      <c r="J110" t="str">
        <f>HYPERLINK("https://www.loaded.com/es_es/microsoft-flight-simulator-2024-aviator-edition-pc-steam","Abrir compra")</f>
        <v>Abrir compra</v>
      </c>
      <c r="K110" t="str">
        <f>HYPERLINK("https://store.steampowered.com/app/2537590/Microsoft_Flight_Simulator_2024/","Abrir Steam")</f>
        <v>Abrir Steam</v>
      </c>
      <c r="L110" t="s">
        <v>231</v>
      </c>
      <c r="M110" t="s">
        <v>70</v>
      </c>
      <c r="N110" t="s">
        <v>32</v>
      </c>
      <c r="O110" t="s">
        <v>883</v>
      </c>
      <c r="P110" t="s">
        <v>884</v>
      </c>
      <c r="Q110" t="s">
        <v>32</v>
      </c>
      <c r="R110" t="s">
        <v>885</v>
      </c>
      <c r="S110" t="s">
        <v>36</v>
      </c>
      <c r="T110" t="s">
        <v>36</v>
      </c>
      <c r="U110" t="s">
        <v>36</v>
      </c>
      <c r="V110" t="s">
        <v>886</v>
      </c>
      <c r="W110" t="s">
        <v>36</v>
      </c>
      <c r="X110" t="s">
        <v>36</v>
      </c>
      <c r="Y110" t="s">
        <v>36</v>
      </c>
      <c r="Z110" t="s">
        <v>887</v>
      </c>
    </row>
    <row r="111">
      <c r="A111" t="s">
        <v>881</v>
      </c>
      <c r="B111" t="s">
        <v>888</v>
      </c>
      <c r="C111" t="s">
        <v>32</v>
      </c>
      <c r="D111" t="s">
        <v>41</v>
      </c>
      <c r="E111">
        <v>151875</v>
      </c>
      <c r="F111">
        <v>188741</v>
      </c>
      <c r="G111">
        <v>186875</v>
      </c>
      <c r="H111">
        <v>35000</v>
      </c>
      <c r="I111">
        <v>269100</v>
      </c>
      <c r="J111" t="str">
        <f>HYPERLINK("https://www.loaded.com/es_es/microsoft-flight-simulator-2024-deluxe-edition-pc-steam","Abrir compra")</f>
        <v>Abrir compra</v>
      </c>
      <c r="K111" t="str">
        <f>HYPERLINK("https://store.steampowered.com/app/2537590/Microsoft_Flight_Simulator_2024/","Abrir Steam")</f>
        <v>Abrir Steam</v>
      </c>
      <c r="L111" t="s">
        <v>231</v>
      </c>
      <c r="M111" t="s">
        <v>70</v>
      </c>
      <c r="N111" t="s">
        <v>32</v>
      </c>
      <c r="O111" t="s">
        <v>889</v>
      </c>
      <c r="P111" t="s">
        <v>890</v>
      </c>
      <c r="Q111" t="s">
        <v>32</v>
      </c>
      <c r="R111" t="s">
        <v>891</v>
      </c>
      <c r="S111" t="s">
        <v>36</v>
      </c>
      <c r="T111" t="s">
        <v>36</v>
      </c>
      <c r="U111" t="s">
        <v>36</v>
      </c>
      <c r="V111" t="s">
        <v>892</v>
      </c>
      <c r="W111" t="s">
        <v>36</v>
      </c>
      <c r="X111" t="s">
        <v>36</v>
      </c>
      <c r="Y111" t="s">
        <v>36</v>
      </c>
      <c r="Z111" t="s">
        <v>893</v>
      </c>
    </row>
    <row r="112">
      <c r="A112" t="s">
        <v>881</v>
      </c>
      <c r="B112" t="s">
        <v>27</v>
      </c>
      <c r="C112" t="s">
        <v>28</v>
      </c>
      <c r="D112" t="s">
        <v>29</v>
      </c>
      <c r="E112">
        <v>149746</v>
      </c>
      <c r="F112">
        <v>188741</v>
      </c>
      <c r="G112">
        <v>164746</v>
      </c>
      <c r="H112">
        <v>15000</v>
      </c>
      <c r="I112">
        <v>237234</v>
      </c>
      <c r="J112" t="str">
        <f>HYPERLINK("https://driffle.com/es/microsoft-flight-simulator-2024-deluxe-edition-global-pc-steam-account-p9971541","Abrir compra")</f>
        <v>Abrir compra</v>
      </c>
      <c r="K112" t="str">
        <f>HYPERLINK("https://store.steampowered.com/app/2537590/Microsoft_Flight_Simulator_2024/","Abrir Steam")</f>
        <v>Abrir Steam</v>
      </c>
      <c r="L112" t="s">
        <v>30</v>
      </c>
      <c r="M112" t="s">
        <v>31</v>
      </c>
      <c r="N112" t="s">
        <v>32</v>
      </c>
      <c r="O112" t="s">
        <v>894</v>
      </c>
      <c r="P112" t="s">
        <v>895</v>
      </c>
      <c r="Q112" t="s">
        <v>32</v>
      </c>
      <c r="R112" t="s">
        <v>896</v>
      </c>
      <c r="S112" t="s">
        <v>36</v>
      </c>
      <c r="T112" t="s">
        <v>36</v>
      </c>
      <c r="U112" t="s">
        <v>897</v>
      </c>
      <c r="V112" t="s">
        <v>36</v>
      </c>
      <c r="W112" t="s">
        <v>898</v>
      </c>
      <c r="X112" t="s">
        <v>36</v>
      </c>
      <c r="Y112" t="s">
        <v>899</v>
      </c>
      <c r="Z112" t="s">
        <v>36</v>
      </c>
    </row>
    <row r="113">
      <c r="A113" t="s">
        <v>881</v>
      </c>
      <c r="B113" t="s">
        <v>27</v>
      </c>
      <c r="C113" t="s">
        <v>28</v>
      </c>
      <c r="D113" t="s">
        <v>29</v>
      </c>
      <c r="E113">
        <v>192853</v>
      </c>
      <c r="F113">
        <v>188741</v>
      </c>
      <c r="G113">
        <v>207853</v>
      </c>
      <c r="H113">
        <v>15000</v>
      </c>
      <c r="I113">
        <v>299308</v>
      </c>
      <c r="J113" t="str">
        <f>HYPERLINK("https://driffle.com/es/microsoft-flight-simulator-2024-premium-deluxe-edition-global-pc-steam-account-p9971543","Abrir compra")</f>
        <v>Abrir compra</v>
      </c>
      <c r="K113" t="str">
        <f>HYPERLINK("https://store.steampowered.com/app/2537590/Microsoft_Flight_Simulator_2024/","Abrir Steam")</f>
        <v>Abrir Steam</v>
      </c>
      <c r="L113" t="s">
        <v>30</v>
      </c>
      <c r="M113" t="s">
        <v>31</v>
      </c>
      <c r="N113" t="s">
        <v>32</v>
      </c>
      <c r="O113" t="s">
        <v>900</v>
      </c>
      <c r="P113" t="s">
        <v>901</v>
      </c>
      <c r="Q113" t="s">
        <v>32</v>
      </c>
      <c r="R113" t="s">
        <v>902</v>
      </c>
      <c r="S113" t="s">
        <v>36</v>
      </c>
      <c r="T113" t="s">
        <v>36</v>
      </c>
      <c r="U113" t="s">
        <v>903</v>
      </c>
      <c r="V113" t="s">
        <v>36</v>
      </c>
      <c r="W113" t="s">
        <v>904</v>
      </c>
      <c r="X113" t="s">
        <v>36</v>
      </c>
      <c r="Y113" t="s">
        <v>905</v>
      </c>
      <c r="Z113" t="s">
        <v>36</v>
      </c>
    </row>
    <row r="114">
      <c r="A114" t="s">
        <v>881</v>
      </c>
      <c r="B114" t="s">
        <v>906</v>
      </c>
      <c r="C114" t="s">
        <v>32</v>
      </c>
      <c r="D114" t="s">
        <v>41</v>
      </c>
      <c r="E114">
        <v>107298</v>
      </c>
      <c r="F114">
        <v>132113</v>
      </c>
      <c r="G114">
        <v>122298</v>
      </c>
      <c r="H114">
        <v>15000</v>
      </c>
      <c r="I114">
        <v>176109</v>
      </c>
      <c r="J114" t="str">
        <f>HYPERLINK("https://www.loaded.com/es_es/microsoft-flight-simulator-2024-pc-steam","Abrir compra")</f>
        <v>Abrir compra</v>
      </c>
      <c r="K114" t="str">
        <f>HYPERLINK("https://store.steampowered.com/app/2537590/Microsoft_Flight_Simulator_2024/","Abrir Steam")</f>
        <v>Abrir Steam</v>
      </c>
      <c r="L114" t="s">
        <v>231</v>
      </c>
      <c r="M114" t="s">
        <v>70</v>
      </c>
      <c r="N114" t="s">
        <v>32</v>
      </c>
      <c r="O114" t="s">
        <v>907</v>
      </c>
      <c r="P114" t="s">
        <v>908</v>
      </c>
      <c r="Q114" t="s">
        <v>32</v>
      </c>
      <c r="R114" t="s">
        <v>909</v>
      </c>
      <c r="S114" t="s">
        <v>36</v>
      </c>
      <c r="T114" t="s">
        <v>36</v>
      </c>
      <c r="U114" t="s">
        <v>36</v>
      </c>
      <c r="V114" t="s">
        <v>910</v>
      </c>
      <c r="W114" t="s">
        <v>36</v>
      </c>
      <c r="X114" t="s">
        <v>36</v>
      </c>
      <c r="Y114" t="s">
        <v>36</v>
      </c>
      <c r="Z114" t="s">
        <v>911</v>
      </c>
    </row>
    <row r="115">
      <c r="A115" t="s">
        <v>881</v>
      </c>
      <c r="B115" t="s">
        <v>62</v>
      </c>
      <c r="C115" t="s">
        <v>28</v>
      </c>
      <c r="D115" t="s">
        <v>29</v>
      </c>
      <c r="E115">
        <v>59981</v>
      </c>
      <c r="F115">
        <v>132113</v>
      </c>
      <c r="G115">
        <v>81516</v>
      </c>
      <c r="H115">
        <v>21535</v>
      </c>
      <c r="I115">
        <v>117383</v>
      </c>
      <c r="J115" t="str">
        <f>HYPERLINK("https://driffle.com/es/microsoft-flight-simulator-2024-global-pc-steam-account-p9971540","Abrir compra")</f>
        <v>Abrir compra</v>
      </c>
      <c r="K115" t="str">
        <f>HYPERLINK("https://store.steampowered.com/app/2537590/Microsoft_Flight_Simulator_2024/","Abrir Steam")</f>
        <v>Abrir Steam</v>
      </c>
      <c r="L115" t="s">
        <v>30</v>
      </c>
      <c r="M115" t="s">
        <v>31</v>
      </c>
      <c r="N115" t="s">
        <v>32</v>
      </c>
      <c r="O115" t="s">
        <v>912</v>
      </c>
      <c r="P115" t="s">
        <v>913</v>
      </c>
      <c r="Q115" t="s">
        <v>32</v>
      </c>
      <c r="R115" t="s">
        <v>914</v>
      </c>
      <c r="S115" t="s">
        <v>36</v>
      </c>
      <c r="T115" t="s">
        <v>36</v>
      </c>
      <c r="U115" t="s">
        <v>915</v>
      </c>
      <c r="V115" t="s">
        <v>36</v>
      </c>
      <c r="W115" t="s">
        <v>916</v>
      </c>
      <c r="X115" t="s">
        <v>36</v>
      </c>
      <c r="Y115" t="s">
        <v>917</v>
      </c>
      <c r="Z115" t="s">
        <v>36</v>
      </c>
    </row>
    <row r="116">
      <c r="A116" t="s">
        <v>881</v>
      </c>
      <c r="B116" t="s">
        <v>918</v>
      </c>
      <c r="C116" t="s">
        <v>32</v>
      </c>
      <c r="D116" t="s">
        <v>41</v>
      </c>
      <c r="E116">
        <v>196452</v>
      </c>
      <c r="F116">
        <v>245369</v>
      </c>
      <c r="G116">
        <v>211452</v>
      </c>
      <c r="H116">
        <v>15000</v>
      </c>
      <c r="I116">
        <v>304491</v>
      </c>
      <c r="J116" t="str">
        <f>HYPERLINK("https://www.loaded.com/es_es/microsoft-flight-simulator-2024-premium-deluxe-edition-pc-steam","Abrir compra")</f>
        <v>Abrir compra</v>
      </c>
      <c r="K116" t="str">
        <f>HYPERLINK("https://store.steampowered.com/app/2537590/Microsoft_Flight_Simulator_2024/","Abrir Steam")</f>
        <v>Abrir Steam</v>
      </c>
      <c r="L116" t="s">
        <v>231</v>
      </c>
      <c r="M116" t="s">
        <v>70</v>
      </c>
      <c r="N116" t="s">
        <v>32</v>
      </c>
      <c r="O116" t="s">
        <v>919</v>
      </c>
      <c r="P116" t="s">
        <v>920</v>
      </c>
      <c r="Q116" t="s">
        <v>32</v>
      </c>
      <c r="R116" t="s">
        <v>921</v>
      </c>
      <c r="S116" t="s">
        <v>36</v>
      </c>
      <c r="T116" t="s">
        <v>36</v>
      </c>
      <c r="U116" t="s">
        <v>36</v>
      </c>
      <c r="V116" t="s">
        <v>922</v>
      </c>
      <c r="W116" t="s">
        <v>36</v>
      </c>
      <c r="X116" t="s">
        <v>36</v>
      </c>
      <c r="Y116" t="s">
        <v>36</v>
      </c>
      <c r="Z116" t="s">
        <v>923</v>
      </c>
    </row>
    <row r="117">
      <c r="A117" t="s">
        <v>924</v>
      </c>
      <c r="B117" t="s">
        <v>52</v>
      </c>
      <c r="C117" t="s">
        <v>32</v>
      </c>
      <c r="D117" t="s">
        <v>41</v>
      </c>
      <c r="E117">
        <v>41836</v>
      </c>
      <c r="F117">
        <v>54740</v>
      </c>
      <c r="G117">
        <v>59206</v>
      </c>
      <c r="H117">
        <v>17370</v>
      </c>
      <c r="I117">
        <v>85257</v>
      </c>
      <c r="J117" t="str">
        <f>HYPERLINK("https://www.eneba.com/latam/steam-monster-hunter-wilds-pc-steam-key-latam","Abrir compra")</f>
        <v>Abrir compra</v>
      </c>
      <c r="K117" t="str">
        <f>HYPERLINK("https://store.steampowered.com/app/2246340/Monster_Hunter_Wilds/?curator_clanid=4777282","Abrir Steam")</f>
        <v>Abrir Steam</v>
      </c>
      <c r="L117" t="s">
        <v>42</v>
      </c>
      <c r="M117" t="s">
        <v>31</v>
      </c>
      <c r="N117" t="s">
        <v>32</v>
      </c>
      <c r="O117" t="s">
        <v>925</v>
      </c>
      <c r="P117" t="s">
        <v>926</v>
      </c>
      <c r="Q117" t="s">
        <v>32</v>
      </c>
      <c r="R117" t="s">
        <v>927</v>
      </c>
      <c r="S117" t="s">
        <v>36</v>
      </c>
      <c r="T117" t="s">
        <v>928</v>
      </c>
      <c r="U117" t="s">
        <v>36</v>
      </c>
      <c r="V117" t="s">
        <v>36</v>
      </c>
      <c r="W117" t="s">
        <v>929</v>
      </c>
      <c r="X117" t="s">
        <v>930</v>
      </c>
      <c r="Y117" t="s">
        <v>931</v>
      </c>
      <c r="Z117" t="s">
        <v>36</v>
      </c>
    </row>
    <row r="118">
      <c r="A118" t="s">
        <v>924</v>
      </c>
      <c r="B118" t="s">
        <v>62</v>
      </c>
      <c r="C118" t="s">
        <v>28</v>
      </c>
      <c r="D118" t="s">
        <v>29</v>
      </c>
      <c r="E118">
        <v>36206</v>
      </c>
      <c r="F118">
        <v>54740</v>
      </c>
      <c r="G118">
        <v>51206</v>
      </c>
      <c r="H118">
        <v>15000</v>
      </c>
      <c r="I118">
        <v>73737</v>
      </c>
      <c r="J118" t="str">
        <f>HYPERLINK("https://driffle.com/es/monster-hunter-wilds-global-pc-steam-account-p9979523","Abrir compra")</f>
        <v>Abrir compra</v>
      </c>
      <c r="K118" t="str">
        <f>HYPERLINK("https://store.steampowered.com/app/2246340/Monster_Hunter_Wilds/?curator_clanid=4777282","Abrir Steam")</f>
        <v>Abrir Steam</v>
      </c>
      <c r="L118" t="s">
        <v>30</v>
      </c>
      <c r="M118" t="s">
        <v>31</v>
      </c>
      <c r="N118" t="s">
        <v>32</v>
      </c>
      <c r="O118" t="s">
        <v>932</v>
      </c>
      <c r="P118" t="s">
        <v>933</v>
      </c>
      <c r="Q118" t="s">
        <v>32</v>
      </c>
      <c r="R118" t="s">
        <v>167</v>
      </c>
      <c r="S118" t="s">
        <v>36</v>
      </c>
      <c r="T118" t="s">
        <v>36</v>
      </c>
      <c r="U118" t="s">
        <v>168</v>
      </c>
      <c r="V118" t="s">
        <v>36</v>
      </c>
      <c r="W118" t="s">
        <v>934</v>
      </c>
      <c r="X118" t="s">
        <v>36</v>
      </c>
      <c r="Y118" t="s">
        <v>935</v>
      </c>
      <c r="Z118" t="s">
        <v>36</v>
      </c>
    </row>
    <row r="119">
      <c r="A119" t="s">
        <v>936</v>
      </c>
      <c r="B119" t="s">
        <v>937</v>
      </c>
      <c r="C119" t="s">
        <v>32</v>
      </c>
      <c r="D119" t="s">
        <v>41</v>
      </c>
      <c r="E119">
        <v>21232</v>
      </c>
      <c r="F119">
        <v>113237</v>
      </c>
      <c r="G119">
        <v>48232</v>
      </c>
      <c r="H119">
        <v>27000</v>
      </c>
      <c r="I119">
        <v>69454</v>
      </c>
      <c r="J119" t="str">
        <f>HYPERLINK("https://www.eneba.com/latam/steam-mortal-kombat-1-definitive-edition-steam-key-pc-latam","Abrir compra")</f>
        <v>Abrir compra</v>
      </c>
      <c r="K119" t="str">
        <f>HYPERLINK("https://store.steampowered.com/app/1971870/Mortal_Kombat_1/?curator_clanid=4777282","Abrir Steam")</f>
        <v>Abrir Steam</v>
      </c>
      <c r="L119" t="s">
        <v>42</v>
      </c>
      <c r="M119" t="s">
        <v>31</v>
      </c>
      <c r="N119" t="s">
        <v>32</v>
      </c>
      <c r="O119" t="s">
        <v>938</v>
      </c>
      <c r="P119" t="s">
        <v>939</v>
      </c>
      <c r="Q119" t="s">
        <v>32</v>
      </c>
      <c r="R119" t="s">
        <v>940</v>
      </c>
      <c r="S119" t="s">
        <v>36</v>
      </c>
      <c r="T119" t="s">
        <v>941</v>
      </c>
      <c r="U119" t="s">
        <v>942</v>
      </c>
      <c r="V119" t="s">
        <v>943</v>
      </c>
      <c r="W119" t="s">
        <v>944</v>
      </c>
      <c r="X119" t="s">
        <v>945</v>
      </c>
      <c r="Y119" t="s">
        <v>946</v>
      </c>
      <c r="Z119" t="s">
        <v>947</v>
      </c>
    </row>
    <row r="120">
      <c r="A120" t="s">
        <v>936</v>
      </c>
      <c r="B120" t="s">
        <v>52</v>
      </c>
      <c r="C120" t="s">
        <v>32</v>
      </c>
      <c r="D120" t="s">
        <v>41</v>
      </c>
      <c r="E120">
        <v>12812</v>
      </c>
      <c r="F120">
        <v>75485</v>
      </c>
      <c r="G120">
        <v>39812</v>
      </c>
      <c r="H120">
        <v>27000</v>
      </c>
      <c r="I120">
        <v>57329</v>
      </c>
      <c r="J120" t="str">
        <f>HYPERLINK("https://www.eneba.com/latam/steam-mortal-kombat-1-pc-steam-key-latam","Abrir compra")</f>
        <v>Abrir compra</v>
      </c>
      <c r="K120" t="str">
        <f>HYPERLINK("https://store.steampowered.com/app/1971870/Mortal_Kombat_1/?curator_clanid=4777282","Abrir Steam")</f>
        <v>Abrir Steam</v>
      </c>
      <c r="L120" t="s">
        <v>42</v>
      </c>
      <c r="M120" t="s">
        <v>31</v>
      </c>
      <c r="N120" t="s">
        <v>32</v>
      </c>
      <c r="O120" t="s">
        <v>948</v>
      </c>
      <c r="P120" t="s">
        <v>949</v>
      </c>
      <c r="Q120" t="s">
        <v>32</v>
      </c>
      <c r="R120" t="s">
        <v>950</v>
      </c>
      <c r="S120" t="s">
        <v>36</v>
      </c>
      <c r="T120" t="s">
        <v>951</v>
      </c>
      <c r="U120" t="s">
        <v>952</v>
      </c>
      <c r="V120" t="s">
        <v>36</v>
      </c>
      <c r="W120" t="s">
        <v>953</v>
      </c>
      <c r="X120" t="s">
        <v>954</v>
      </c>
      <c r="Y120" t="s">
        <v>955</v>
      </c>
      <c r="Z120" t="s">
        <v>956</v>
      </c>
    </row>
    <row r="121">
      <c r="A121" t="s">
        <v>957</v>
      </c>
      <c r="B121" t="s">
        <v>52</v>
      </c>
      <c r="C121" t="s">
        <v>32</v>
      </c>
      <c r="D121" t="s">
        <v>41</v>
      </c>
      <c r="E121">
        <v>21546</v>
      </c>
      <c r="F121">
        <v>132113</v>
      </c>
      <c r="G121">
        <v>56516</v>
      </c>
      <c r="H121">
        <v>34970</v>
      </c>
      <c r="I121">
        <v>81383</v>
      </c>
      <c r="J121" t="str">
        <f>HYPERLINK("https://driffle.com/es/nba-2k26-global-pc-steam-digital-key-p9949948","Abrir compra")</f>
        <v>Abrir compra</v>
      </c>
      <c r="K121" t="str">
        <f>HYPERLINK("https://store.steampowered.com/app/3472040/NBA_2K26/","Abrir Steam")</f>
        <v>Abrir Steam</v>
      </c>
      <c r="L121" t="s">
        <v>30</v>
      </c>
      <c r="M121" t="s">
        <v>70</v>
      </c>
      <c r="N121" t="s">
        <v>32</v>
      </c>
      <c r="O121" t="s">
        <v>958</v>
      </c>
      <c r="P121" t="s">
        <v>959</v>
      </c>
      <c r="Q121" t="s">
        <v>32</v>
      </c>
      <c r="R121" t="s">
        <v>960</v>
      </c>
      <c r="S121" t="s">
        <v>36</v>
      </c>
      <c r="T121" t="s">
        <v>961</v>
      </c>
      <c r="U121" t="s">
        <v>561</v>
      </c>
      <c r="V121" t="s">
        <v>962</v>
      </c>
      <c r="W121" t="s">
        <v>963</v>
      </c>
      <c r="X121" t="s">
        <v>964</v>
      </c>
      <c r="Y121" t="s">
        <v>965</v>
      </c>
      <c r="Z121" t="s">
        <v>966</v>
      </c>
    </row>
    <row r="122">
      <c r="A122" t="s">
        <v>957</v>
      </c>
      <c r="B122" t="s">
        <v>62</v>
      </c>
      <c r="C122" t="s">
        <v>28</v>
      </c>
      <c r="D122" t="s">
        <v>29</v>
      </c>
      <c r="E122">
        <v>21166</v>
      </c>
      <c r="F122">
        <v>132113</v>
      </c>
      <c r="G122">
        <v>48166</v>
      </c>
      <c r="H122">
        <v>27000</v>
      </c>
      <c r="I122">
        <v>69359</v>
      </c>
      <c r="J122" t="str">
        <f>HYPERLINK("https://driffle.com/es/nba-2k26-global-pc-steam-account-p9979521","Abrir compra")</f>
        <v>Abrir compra</v>
      </c>
      <c r="K122" t="str">
        <f>HYPERLINK("https://store.steampowered.com/app/3472040/NBA_2K26/","Abrir Steam")</f>
        <v>Abrir Steam</v>
      </c>
      <c r="L122" t="s">
        <v>30</v>
      </c>
      <c r="M122" t="s">
        <v>70</v>
      </c>
      <c r="N122" t="s">
        <v>32</v>
      </c>
      <c r="O122" t="s">
        <v>967</v>
      </c>
      <c r="P122" t="s">
        <v>968</v>
      </c>
      <c r="Q122" t="s">
        <v>32</v>
      </c>
      <c r="R122" t="s">
        <v>969</v>
      </c>
      <c r="S122" t="s">
        <v>36</v>
      </c>
      <c r="T122" t="s">
        <v>36</v>
      </c>
      <c r="U122" t="s">
        <v>970</v>
      </c>
      <c r="V122" t="s">
        <v>36</v>
      </c>
      <c r="W122" t="s">
        <v>971</v>
      </c>
      <c r="X122" t="s">
        <v>36</v>
      </c>
      <c r="Y122" t="s">
        <v>972</v>
      </c>
      <c r="Z122" t="s">
        <v>36</v>
      </c>
    </row>
    <row r="123">
      <c r="A123" t="s">
        <v>957</v>
      </c>
      <c r="B123" t="s">
        <v>973</v>
      </c>
      <c r="C123" t="s">
        <v>32</v>
      </c>
      <c r="D123" t="s">
        <v>41</v>
      </c>
      <c r="E123">
        <v>33614</v>
      </c>
      <c r="F123">
        <v>150989</v>
      </c>
      <c r="G123">
        <v>65542</v>
      </c>
      <c r="H123">
        <v>31928</v>
      </c>
      <c r="I123">
        <v>94380</v>
      </c>
      <c r="J123" t="str">
        <f>HYPERLINK("https://www.eneba.com/latam/steam-nba-2k26-slam-edition-steam-key-pc-global","Abrir compra")</f>
        <v>Abrir compra</v>
      </c>
      <c r="K123" t="str">
        <f>HYPERLINK("https://store.steampowered.com/app/3472040/NBA_2K26/","Abrir Steam")</f>
        <v>Abrir Steam</v>
      </c>
      <c r="L123" t="s">
        <v>42</v>
      </c>
      <c r="M123" t="s">
        <v>70</v>
      </c>
      <c r="N123" t="s">
        <v>32</v>
      </c>
      <c r="O123" t="s">
        <v>974</v>
      </c>
      <c r="P123" t="s">
        <v>975</v>
      </c>
      <c r="Q123" t="s">
        <v>32</v>
      </c>
      <c r="R123" t="s">
        <v>976</v>
      </c>
      <c r="S123" t="s">
        <v>36</v>
      </c>
      <c r="T123" t="s">
        <v>977</v>
      </c>
      <c r="U123" t="s">
        <v>978</v>
      </c>
      <c r="V123" t="s">
        <v>979</v>
      </c>
      <c r="W123" t="s">
        <v>980</v>
      </c>
      <c r="X123" t="s">
        <v>981</v>
      </c>
      <c r="Y123" t="s">
        <v>982</v>
      </c>
      <c r="Z123" t="s">
        <v>983</v>
      </c>
    </row>
    <row r="124">
      <c r="A124" t="s">
        <v>957</v>
      </c>
      <c r="B124" t="s">
        <v>984</v>
      </c>
      <c r="C124" t="s">
        <v>28</v>
      </c>
      <c r="D124" t="s">
        <v>29</v>
      </c>
      <c r="E124">
        <v>29933</v>
      </c>
      <c r="F124">
        <v>150989</v>
      </c>
      <c r="G124">
        <v>56933</v>
      </c>
      <c r="H124">
        <v>27000</v>
      </c>
      <c r="I124">
        <v>81984</v>
      </c>
      <c r="J124" t="str">
        <f>HYPERLINK("https://driffle.com/es/nba-2k26-slam-edition-global-pc-steam-account-p9977089","Abrir compra")</f>
        <v>Abrir compra</v>
      </c>
      <c r="K124" t="str">
        <f>HYPERLINK("https://store.steampowered.com/app/3472040/NBA_2K26/","Abrir Steam")</f>
        <v>Abrir Steam</v>
      </c>
      <c r="L124" t="s">
        <v>30</v>
      </c>
      <c r="M124" t="s">
        <v>70</v>
      </c>
      <c r="N124" t="s">
        <v>32</v>
      </c>
      <c r="O124" t="s">
        <v>985</v>
      </c>
      <c r="P124" t="s">
        <v>986</v>
      </c>
      <c r="Q124" t="s">
        <v>32</v>
      </c>
      <c r="R124" t="s">
        <v>987</v>
      </c>
      <c r="S124" t="s">
        <v>36</v>
      </c>
      <c r="T124" t="s">
        <v>36</v>
      </c>
      <c r="U124" t="s">
        <v>988</v>
      </c>
      <c r="V124" t="s">
        <v>36</v>
      </c>
      <c r="W124" t="s">
        <v>989</v>
      </c>
      <c r="X124" t="s">
        <v>36</v>
      </c>
      <c r="Y124" t="s">
        <v>990</v>
      </c>
      <c r="Z124" t="s">
        <v>36</v>
      </c>
    </row>
    <row r="125">
      <c r="A125" t="s">
        <v>957</v>
      </c>
      <c r="B125" t="s">
        <v>991</v>
      </c>
      <c r="C125" t="s">
        <v>32</v>
      </c>
      <c r="D125" t="s">
        <v>41</v>
      </c>
      <c r="E125">
        <v>47400</v>
      </c>
      <c r="F125">
        <v>188741</v>
      </c>
      <c r="G125">
        <v>74400</v>
      </c>
      <c r="H125">
        <v>27000</v>
      </c>
      <c r="I125">
        <v>107136</v>
      </c>
      <c r="J125" t="str">
        <f>HYPERLINK("https://driffle.com/es/nba-2k26-superstar-edition-global-pc-steam-digital-key-p9949949","Abrir compra")</f>
        <v>Abrir compra</v>
      </c>
      <c r="K125" t="str">
        <f>HYPERLINK("https://store.steampowered.com/app/3472040/NBA_2K26/","Abrir Steam")</f>
        <v>Abrir Steam</v>
      </c>
      <c r="L125" t="s">
        <v>30</v>
      </c>
      <c r="M125" t="s">
        <v>70</v>
      </c>
      <c r="N125" t="s">
        <v>32</v>
      </c>
      <c r="O125" t="s">
        <v>992</v>
      </c>
      <c r="P125" t="s">
        <v>993</v>
      </c>
      <c r="Q125" t="s">
        <v>32</v>
      </c>
      <c r="R125" t="s">
        <v>994</v>
      </c>
      <c r="S125" t="s">
        <v>36</v>
      </c>
      <c r="T125" t="s">
        <v>995</v>
      </c>
      <c r="U125" t="s">
        <v>996</v>
      </c>
      <c r="V125" t="s">
        <v>997</v>
      </c>
      <c r="W125" t="s">
        <v>998</v>
      </c>
      <c r="X125" t="s">
        <v>999</v>
      </c>
      <c r="Y125" t="s">
        <v>1000</v>
      </c>
      <c r="Z125" t="s">
        <v>1001</v>
      </c>
    </row>
    <row r="126">
      <c r="A126" t="s">
        <v>1002</v>
      </c>
      <c r="B126" t="s">
        <v>1003</v>
      </c>
      <c r="C126" t="s">
        <v>32</v>
      </c>
      <c r="D126" t="s">
        <v>41</v>
      </c>
      <c r="E126">
        <v>18722</v>
      </c>
      <c r="F126">
        <v>60384</v>
      </c>
      <c r="G126">
        <v>42497</v>
      </c>
      <c r="H126">
        <v>23775</v>
      </c>
      <c r="I126">
        <v>61196</v>
      </c>
      <c r="J126" t="str">
        <f>HYPERLINK("https://www.eneba.com/latam/steam-nier-automata-game-of-the-yorha-edition-steam-key-pc-latam","Abrir compra")</f>
        <v>Abrir compra</v>
      </c>
      <c r="K126" t="str">
        <f>HYPERLINK("https://store.steampowered.com/app/524220/NieRAutomata/?curator_clanid=4777282","Abrir Steam")</f>
        <v>Abrir Steam</v>
      </c>
      <c r="L126" t="s">
        <v>42</v>
      </c>
      <c r="M126" t="s">
        <v>31</v>
      </c>
      <c r="N126" t="s">
        <v>32</v>
      </c>
      <c r="O126" t="s">
        <v>1004</v>
      </c>
      <c r="P126" t="s">
        <v>1005</v>
      </c>
      <c r="Q126" t="s">
        <v>32</v>
      </c>
      <c r="R126" t="s">
        <v>1006</v>
      </c>
      <c r="S126" t="s">
        <v>36</v>
      </c>
      <c r="T126" t="s">
        <v>1007</v>
      </c>
      <c r="U126" t="s">
        <v>1008</v>
      </c>
      <c r="V126" t="s">
        <v>943</v>
      </c>
      <c r="W126" t="s">
        <v>1009</v>
      </c>
      <c r="X126" t="s">
        <v>1010</v>
      </c>
      <c r="Y126" t="s">
        <v>1011</v>
      </c>
      <c r="Z126" t="s">
        <v>1012</v>
      </c>
    </row>
    <row r="127">
      <c r="A127" t="s">
        <v>1002</v>
      </c>
      <c r="B127" t="s">
        <v>1013</v>
      </c>
      <c r="C127" t="s">
        <v>28</v>
      </c>
      <c r="D127" t="s">
        <v>29</v>
      </c>
      <c r="E127">
        <v>7842</v>
      </c>
      <c r="F127">
        <v>60384</v>
      </c>
      <c r="G127">
        <v>32687</v>
      </c>
      <c r="H127">
        <v>24845</v>
      </c>
      <c r="I127">
        <v>47069</v>
      </c>
      <c r="J127" t="str">
        <f>HYPERLINK("https://driffle.com/es/nier-automata-game-of-the-yorha-edition-global-pc-steam-account-p9979549","Abrir compra")</f>
        <v>Abrir compra</v>
      </c>
      <c r="K127" t="str">
        <f>HYPERLINK("https://store.steampowered.com/app/524220/NieRAutomata/?curator_clanid=4777282","Abrir Steam")</f>
        <v>Abrir Steam</v>
      </c>
      <c r="L127" t="s">
        <v>30</v>
      </c>
      <c r="M127" t="s">
        <v>70</v>
      </c>
      <c r="N127" t="s">
        <v>32</v>
      </c>
      <c r="O127" t="s">
        <v>1014</v>
      </c>
      <c r="P127" t="s">
        <v>1015</v>
      </c>
      <c r="Q127" t="s">
        <v>32</v>
      </c>
      <c r="R127" t="s">
        <v>1016</v>
      </c>
      <c r="S127" t="s">
        <v>36</v>
      </c>
      <c r="T127" t="s">
        <v>36</v>
      </c>
      <c r="U127" t="s">
        <v>1017</v>
      </c>
      <c r="V127" t="s">
        <v>36</v>
      </c>
      <c r="W127" t="s">
        <v>1018</v>
      </c>
      <c r="X127" t="s">
        <v>36</v>
      </c>
      <c r="Y127" t="s">
        <v>1019</v>
      </c>
      <c r="Z127" t="s">
        <v>36</v>
      </c>
    </row>
    <row r="128">
      <c r="A128" t="s">
        <v>1020</v>
      </c>
      <c r="B128" t="s">
        <v>329</v>
      </c>
      <c r="C128" t="s">
        <v>32</v>
      </c>
      <c r="D128" t="s">
        <v>41</v>
      </c>
      <c r="E128">
        <v>46839</v>
      </c>
      <c r="F128">
        <v>105687</v>
      </c>
      <c r="G128">
        <v>72295</v>
      </c>
      <c r="H128">
        <v>25456</v>
      </c>
      <c r="I128">
        <v>104105</v>
      </c>
      <c r="J128" t="str">
        <f>HYPERLINK("https://driffle.com/es/persona-3-reload-deluxe-edition-pc-steam-digital-code-p9889103","Abrir compra")</f>
        <v>Abrir compra</v>
      </c>
      <c r="K128" t="str">
        <f>HYPERLINK("https://store.steampowered.com/app/2161700/Persona_3_Reload/","Abrir Steam")</f>
        <v>Abrir Steam</v>
      </c>
      <c r="L128" t="s">
        <v>30</v>
      </c>
      <c r="M128" t="s">
        <v>70</v>
      </c>
      <c r="N128" t="s">
        <v>32</v>
      </c>
      <c r="O128" t="s">
        <v>1021</v>
      </c>
      <c r="P128" t="s">
        <v>1022</v>
      </c>
      <c r="Q128" t="s">
        <v>32</v>
      </c>
      <c r="R128" t="s">
        <v>1023</v>
      </c>
      <c r="S128" t="s">
        <v>36</v>
      </c>
      <c r="T128" t="s">
        <v>36</v>
      </c>
      <c r="U128" t="s">
        <v>1024</v>
      </c>
      <c r="V128" t="s">
        <v>36</v>
      </c>
      <c r="W128" t="s">
        <v>1025</v>
      </c>
      <c r="X128" t="s">
        <v>1026</v>
      </c>
      <c r="Y128" t="s">
        <v>1027</v>
      </c>
      <c r="Z128" t="s">
        <v>1028</v>
      </c>
    </row>
    <row r="129">
      <c r="A129" t="s">
        <v>1020</v>
      </c>
      <c r="B129" t="s">
        <v>52</v>
      </c>
      <c r="C129" t="s">
        <v>32</v>
      </c>
      <c r="D129" t="s">
        <v>41</v>
      </c>
      <c r="E129">
        <v>22982</v>
      </c>
      <c r="F129">
        <v>90586</v>
      </c>
      <c r="G129">
        <v>49982</v>
      </c>
      <c r="H129">
        <v>27000</v>
      </c>
      <c r="I129">
        <v>71974</v>
      </c>
      <c r="J129" t="str">
        <f>HYPERLINK("https://www.eneba.com/latam/steam-persona-3-reload-pc-steam-key-global","Abrir compra")</f>
        <v>Abrir compra</v>
      </c>
      <c r="K129" t="str">
        <f>HYPERLINK("https://store.steampowered.com/app/2161700/Persona_3_Reload/","Abrir Steam")</f>
        <v>Abrir Steam</v>
      </c>
      <c r="L129" t="s">
        <v>42</v>
      </c>
      <c r="M129" t="s">
        <v>70</v>
      </c>
      <c r="N129" t="s">
        <v>32</v>
      </c>
      <c r="O129" t="s">
        <v>1029</v>
      </c>
      <c r="P129" t="s">
        <v>1030</v>
      </c>
      <c r="Q129" t="s">
        <v>32</v>
      </c>
      <c r="R129" t="s">
        <v>1031</v>
      </c>
      <c r="S129" t="s">
        <v>36</v>
      </c>
      <c r="T129" t="s">
        <v>1032</v>
      </c>
      <c r="U129" t="s">
        <v>1033</v>
      </c>
      <c r="V129" t="s">
        <v>943</v>
      </c>
      <c r="W129" t="s">
        <v>1034</v>
      </c>
      <c r="X129" t="s">
        <v>1035</v>
      </c>
      <c r="Y129" t="s">
        <v>1036</v>
      </c>
      <c r="Z129" t="s">
        <v>1037</v>
      </c>
    </row>
    <row r="130">
      <c r="A130" t="s">
        <v>1038</v>
      </c>
      <c r="B130" t="s">
        <v>329</v>
      </c>
      <c r="C130" t="s">
        <v>32</v>
      </c>
      <c r="D130" t="s">
        <v>41</v>
      </c>
      <c r="E130">
        <v>67262</v>
      </c>
      <c r="F130">
        <v>100043</v>
      </c>
      <c r="G130">
        <v>82262</v>
      </c>
      <c r="H130">
        <v>15000</v>
      </c>
      <c r="I130">
        <v>118457</v>
      </c>
      <c r="J130" t="str">
        <f>HYPERLINK("https://driffle.com/es/pragmata-deluxe-edition-latam-pc-steam-digital-key-p9987966","Abrir compra")</f>
        <v>Abrir compra</v>
      </c>
      <c r="K130" t="str">
        <f>HYPERLINK("https://store.steampowered.com/app/3357650/PRAGMATA/","Abrir Steam")</f>
        <v>Abrir Steam</v>
      </c>
      <c r="L130" t="s">
        <v>30</v>
      </c>
      <c r="M130" t="s">
        <v>31</v>
      </c>
      <c r="N130" t="s">
        <v>32</v>
      </c>
      <c r="O130" t="s">
        <v>1039</v>
      </c>
      <c r="P130" t="s">
        <v>1040</v>
      </c>
      <c r="Q130" t="s">
        <v>32</v>
      </c>
      <c r="R130" t="s">
        <v>1041</v>
      </c>
      <c r="S130" t="s">
        <v>36</v>
      </c>
      <c r="T130" t="s">
        <v>1042</v>
      </c>
      <c r="U130" t="s">
        <v>82</v>
      </c>
      <c r="V130" t="s">
        <v>1043</v>
      </c>
      <c r="W130" t="s">
        <v>1044</v>
      </c>
      <c r="X130" t="s">
        <v>1045</v>
      </c>
      <c r="Y130" t="s">
        <v>1046</v>
      </c>
      <c r="Z130" t="s">
        <v>1047</v>
      </c>
    </row>
    <row r="131">
      <c r="A131" t="s">
        <v>1038</v>
      </c>
      <c r="B131" t="s">
        <v>52</v>
      </c>
      <c r="C131" t="s">
        <v>32</v>
      </c>
      <c r="D131" t="s">
        <v>41</v>
      </c>
      <c r="E131">
        <v>54466</v>
      </c>
      <c r="F131">
        <v>84942</v>
      </c>
      <c r="G131">
        <v>69466</v>
      </c>
      <c r="H131">
        <v>15000</v>
      </c>
      <c r="I131">
        <v>100031</v>
      </c>
      <c r="J131" t="str">
        <f>HYPERLINK("https://www.eneba.com/latam/steam-pragmata-steam-key-pc-latam","Abrir compra")</f>
        <v>Abrir compra</v>
      </c>
      <c r="K131" t="str">
        <f>HYPERLINK("https://store.steampowered.com/app/3357650/PRAGMATA/","Abrir Steam")</f>
        <v>Abrir Steam</v>
      </c>
      <c r="L131" t="s">
        <v>42</v>
      </c>
      <c r="M131" t="s">
        <v>31</v>
      </c>
      <c r="N131" t="s">
        <v>32</v>
      </c>
      <c r="O131" t="s">
        <v>1048</v>
      </c>
      <c r="P131" t="s">
        <v>1049</v>
      </c>
      <c r="Q131" t="s">
        <v>32</v>
      </c>
      <c r="R131" t="s">
        <v>1050</v>
      </c>
      <c r="S131" t="s">
        <v>36</v>
      </c>
      <c r="T131" t="s">
        <v>1051</v>
      </c>
      <c r="U131" t="s">
        <v>1052</v>
      </c>
      <c r="V131" t="s">
        <v>1053</v>
      </c>
      <c r="W131" t="s">
        <v>1054</v>
      </c>
      <c r="X131" t="s">
        <v>1055</v>
      </c>
      <c r="Y131" t="s">
        <v>1056</v>
      </c>
      <c r="Z131" t="s">
        <v>1057</v>
      </c>
    </row>
    <row r="132">
      <c r="A132" t="s">
        <v>1058</v>
      </c>
      <c r="B132" t="s">
        <v>52</v>
      </c>
      <c r="C132" t="s">
        <v>32</v>
      </c>
      <c r="D132" t="s">
        <v>41</v>
      </c>
      <c r="E132">
        <v>16906</v>
      </c>
      <c r="F132">
        <v>62272</v>
      </c>
      <c r="G132">
        <v>42830</v>
      </c>
      <c r="H132">
        <v>25924</v>
      </c>
      <c r="I132">
        <v>61675</v>
      </c>
      <c r="J132" t="str">
        <f>HYPERLINK("https://driffle.com/es/ready-or-not-latam-pc-steam-digital-code-p9895584","Abrir compra")</f>
        <v>Abrir compra</v>
      </c>
      <c r="K132" t="str">
        <f>HYPERLINK("https://store.steampowered.com/app/1144200/Ready_or_Not/","Abrir Steam")</f>
        <v>Abrir Steam</v>
      </c>
      <c r="L132" t="s">
        <v>30</v>
      </c>
      <c r="M132" t="s">
        <v>31</v>
      </c>
      <c r="N132" t="s">
        <v>32</v>
      </c>
      <c r="O132" t="s">
        <v>1059</v>
      </c>
      <c r="P132" t="s">
        <v>1060</v>
      </c>
      <c r="Q132" t="s">
        <v>32</v>
      </c>
      <c r="R132" t="s">
        <v>1061</v>
      </c>
      <c r="S132" t="s">
        <v>36</v>
      </c>
      <c r="T132" t="s">
        <v>1062</v>
      </c>
      <c r="U132" t="s">
        <v>1063</v>
      </c>
      <c r="V132" t="s">
        <v>1064</v>
      </c>
      <c r="W132" t="s">
        <v>1065</v>
      </c>
      <c r="X132" t="s">
        <v>1066</v>
      </c>
      <c r="Y132" t="s">
        <v>1067</v>
      </c>
      <c r="Z132" t="s">
        <v>1068</v>
      </c>
    </row>
    <row r="133">
      <c r="A133" t="s">
        <v>1058</v>
      </c>
      <c r="B133" t="s">
        <v>62</v>
      </c>
      <c r="C133" t="s">
        <v>28</v>
      </c>
      <c r="D133" t="s">
        <v>29</v>
      </c>
      <c r="E133">
        <v>11359</v>
      </c>
      <c r="F133">
        <v>62272</v>
      </c>
      <c r="G133">
        <v>34830</v>
      </c>
      <c r="H133">
        <v>23471</v>
      </c>
      <c r="I133">
        <v>50155</v>
      </c>
      <c r="J133" t="str">
        <f>HYPERLINK("https://driffle.com/es/ready-or-not-global-pc-steam-account-p9943438","Abrir compra")</f>
        <v>Abrir compra</v>
      </c>
      <c r="K133" t="str">
        <f>HYPERLINK("https://store.steampowered.com/app/1144200/Ready_or_Not/","Abrir Steam")</f>
        <v>Abrir Steam</v>
      </c>
      <c r="L133" t="s">
        <v>30</v>
      </c>
      <c r="M133" t="s">
        <v>70</v>
      </c>
      <c r="N133" t="s">
        <v>32</v>
      </c>
      <c r="O133" t="s">
        <v>1069</v>
      </c>
      <c r="P133" t="s">
        <v>1070</v>
      </c>
      <c r="Q133" t="s">
        <v>32</v>
      </c>
      <c r="R133" t="s">
        <v>1071</v>
      </c>
      <c r="S133" t="s">
        <v>36</v>
      </c>
      <c r="T133" t="s">
        <v>36</v>
      </c>
      <c r="U133" t="s">
        <v>1072</v>
      </c>
      <c r="V133" t="s">
        <v>36</v>
      </c>
      <c r="W133" t="s">
        <v>1073</v>
      </c>
      <c r="X133" t="s">
        <v>36</v>
      </c>
      <c r="Y133" t="s">
        <v>1074</v>
      </c>
      <c r="Z133" t="s">
        <v>36</v>
      </c>
    </row>
    <row r="134">
      <c r="A134" t="s">
        <v>1075</v>
      </c>
      <c r="B134" t="s">
        <v>329</v>
      </c>
      <c r="C134" t="s">
        <v>32</v>
      </c>
      <c r="D134" t="s">
        <v>41</v>
      </c>
      <c r="E134">
        <v>14116</v>
      </c>
      <c r="F134">
        <v>73616</v>
      </c>
      <c r="G134">
        <v>41116</v>
      </c>
      <c r="H134">
        <v>27000</v>
      </c>
      <c r="I134">
        <v>59207</v>
      </c>
      <c r="J134" t="str">
        <f>HYPERLINK("https://www.eneba.com/latam/steam-resident-evil-2-biohazard-re-2-deluxe-edition-steam-key-latam","Abrir compra")</f>
        <v>Abrir compra</v>
      </c>
      <c r="K134" t="str">
        <f>HYPERLINK("https://store.steampowered.com/app/883710/Resident_Evil_2/?curator_clanid=4777282","Abrir Steam")</f>
        <v>Abrir Steam</v>
      </c>
      <c r="L134" t="s">
        <v>42</v>
      </c>
      <c r="M134" t="s">
        <v>31</v>
      </c>
      <c r="N134" t="s">
        <v>32</v>
      </c>
      <c r="O134" t="s">
        <v>1076</v>
      </c>
      <c r="P134" t="s">
        <v>1077</v>
      </c>
      <c r="Q134" t="s">
        <v>32</v>
      </c>
      <c r="R134" t="s">
        <v>1078</v>
      </c>
      <c r="S134" t="s">
        <v>36</v>
      </c>
      <c r="T134" t="s">
        <v>1079</v>
      </c>
      <c r="U134" t="s">
        <v>1080</v>
      </c>
      <c r="V134" t="s">
        <v>36</v>
      </c>
      <c r="W134" t="s">
        <v>1081</v>
      </c>
      <c r="X134" t="s">
        <v>1082</v>
      </c>
      <c r="Y134" t="s">
        <v>1083</v>
      </c>
      <c r="Z134" t="s">
        <v>36</v>
      </c>
    </row>
    <row r="135">
      <c r="A135" t="s">
        <v>1075</v>
      </c>
      <c r="B135" t="s">
        <v>52</v>
      </c>
      <c r="C135" t="s">
        <v>32</v>
      </c>
      <c r="D135" t="s">
        <v>41</v>
      </c>
      <c r="E135">
        <v>11458</v>
      </c>
      <c r="F135">
        <v>54740</v>
      </c>
      <c r="G135">
        <v>35216</v>
      </c>
      <c r="H135">
        <v>23758</v>
      </c>
      <c r="I135">
        <v>50711</v>
      </c>
      <c r="J135" t="str">
        <f>HYPERLINK("https://www.eneba.com/latam/steam-resident-evil-2-biohazard-re-2-steam-key-latam","Abrir compra")</f>
        <v>Abrir compra</v>
      </c>
      <c r="K135" t="str">
        <f>HYPERLINK("https://store.steampowered.com/app/883710/Resident_Evil_2/?curator_clanid=4777282","Abrir Steam")</f>
        <v>Abrir Steam</v>
      </c>
      <c r="L135" t="s">
        <v>42</v>
      </c>
      <c r="M135" t="s">
        <v>31</v>
      </c>
      <c r="N135" t="s">
        <v>32</v>
      </c>
      <c r="O135" t="s">
        <v>1084</v>
      </c>
      <c r="P135" t="s">
        <v>1085</v>
      </c>
      <c r="Q135" t="s">
        <v>32</v>
      </c>
      <c r="R135" t="s">
        <v>1086</v>
      </c>
      <c r="S135" t="s">
        <v>36</v>
      </c>
      <c r="T135" t="s">
        <v>1087</v>
      </c>
      <c r="U135" t="s">
        <v>1088</v>
      </c>
      <c r="V135" t="s">
        <v>36</v>
      </c>
      <c r="W135" t="s">
        <v>1089</v>
      </c>
      <c r="X135" t="s">
        <v>1090</v>
      </c>
      <c r="Y135" t="s">
        <v>1091</v>
      </c>
      <c r="Z135" t="s">
        <v>36</v>
      </c>
    </row>
    <row r="136">
      <c r="A136" t="s">
        <v>1092</v>
      </c>
      <c r="B136" t="s">
        <v>52</v>
      </c>
      <c r="C136" t="s">
        <v>32</v>
      </c>
      <c r="D136" t="s">
        <v>41</v>
      </c>
      <c r="E136">
        <v>10665</v>
      </c>
      <c r="F136">
        <v>54740</v>
      </c>
      <c r="G136">
        <v>39912</v>
      </c>
      <c r="H136">
        <v>29247</v>
      </c>
      <c r="I136">
        <v>57473</v>
      </c>
      <c r="J136" t="str">
        <f>HYPERLINK("https://www.eneba.com/latam/steam-resident-evil-3-steam-key-latam","Abrir compra")</f>
        <v>Abrir compra</v>
      </c>
      <c r="K136" t="str">
        <f>HYPERLINK("https://store.steampowered.com/app/952060/Resident_Evil_3/?curator_clanid=4777282","Abrir Steam")</f>
        <v>Abrir Steam</v>
      </c>
      <c r="L136" t="s">
        <v>42</v>
      </c>
      <c r="M136" t="s">
        <v>31</v>
      </c>
      <c r="N136" t="s">
        <v>32</v>
      </c>
      <c r="O136" t="s">
        <v>1093</v>
      </c>
      <c r="P136" t="s">
        <v>1094</v>
      </c>
      <c r="Q136" t="s">
        <v>32</v>
      </c>
      <c r="R136" t="s">
        <v>1095</v>
      </c>
      <c r="S136" t="s">
        <v>36</v>
      </c>
      <c r="T136" t="s">
        <v>1096</v>
      </c>
      <c r="U136" t="s">
        <v>1097</v>
      </c>
      <c r="V136" t="s">
        <v>36</v>
      </c>
      <c r="W136" t="s">
        <v>1098</v>
      </c>
      <c r="X136" t="s">
        <v>1099</v>
      </c>
      <c r="Y136" t="s">
        <v>1100</v>
      </c>
      <c r="Z136" t="s">
        <v>36</v>
      </c>
    </row>
    <row r="137">
      <c r="A137" t="s">
        <v>1092</v>
      </c>
      <c r="B137" t="s">
        <v>62</v>
      </c>
      <c r="C137" t="s">
        <v>28</v>
      </c>
      <c r="D137" t="s">
        <v>29</v>
      </c>
      <c r="E137">
        <v>11408</v>
      </c>
      <c r="F137">
        <v>54740</v>
      </c>
      <c r="G137">
        <v>31912</v>
      </c>
      <c r="H137">
        <v>20504</v>
      </c>
      <c r="I137">
        <v>45953</v>
      </c>
      <c r="J137" t="str">
        <f>HYPERLINK("https://driffle.com/es/resident-evil-3-global-pc-steam-account-p9997169","Abrir compra")</f>
        <v>Abrir compra</v>
      </c>
      <c r="K137" t="str">
        <f>HYPERLINK("https://store.steampowered.com/app/952060/Resident_Evil_3/?curator_clanid=4777282","Abrir Steam")</f>
        <v>Abrir Steam</v>
      </c>
      <c r="L137" t="s">
        <v>30</v>
      </c>
      <c r="M137" t="s">
        <v>70</v>
      </c>
      <c r="N137" t="s">
        <v>32</v>
      </c>
      <c r="O137" t="s">
        <v>1101</v>
      </c>
      <c r="P137" t="s">
        <v>1102</v>
      </c>
      <c r="Q137" t="s">
        <v>32</v>
      </c>
      <c r="R137" t="s">
        <v>1103</v>
      </c>
      <c r="S137" t="s">
        <v>36</v>
      </c>
      <c r="T137" t="s">
        <v>36</v>
      </c>
      <c r="U137" t="s">
        <v>1104</v>
      </c>
      <c r="V137" t="s">
        <v>36</v>
      </c>
      <c r="W137" t="s">
        <v>1105</v>
      </c>
      <c r="X137" t="s">
        <v>36</v>
      </c>
      <c r="Y137" t="s">
        <v>1106</v>
      </c>
      <c r="Z137" t="s">
        <v>36</v>
      </c>
    </row>
    <row r="138">
      <c r="A138" t="s">
        <v>1107</v>
      </c>
      <c r="B138" t="s">
        <v>52</v>
      </c>
      <c r="C138" t="s">
        <v>32</v>
      </c>
      <c r="D138" t="s">
        <v>41</v>
      </c>
      <c r="E138">
        <v>19201</v>
      </c>
      <c r="F138">
        <v>54740</v>
      </c>
      <c r="G138">
        <v>38313</v>
      </c>
      <c r="H138">
        <v>19112</v>
      </c>
      <c r="I138">
        <v>55171</v>
      </c>
      <c r="J138" t="str">
        <f>HYPERLINK("https://driffle.com/es/resident-evil-4-remake-pc-steam-digital-code-p9883809","Abrir compra")</f>
        <v>Abrir compra</v>
      </c>
      <c r="K138" t="str">
        <f>HYPERLINK("https://store.steampowered.com/app/2050650/Resident_Evil_4/","Abrir Steam")</f>
        <v>Abrir Steam</v>
      </c>
      <c r="L138" t="s">
        <v>30</v>
      </c>
      <c r="M138" t="s">
        <v>70</v>
      </c>
      <c r="N138" t="s">
        <v>32</v>
      </c>
      <c r="O138" t="s">
        <v>1108</v>
      </c>
      <c r="P138" t="s">
        <v>1109</v>
      </c>
      <c r="Q138" t="s">
        <v>32</v>
      </c>
      <c r="R138" t="s">
        <v>1110</v>
      </c>
      <c r="S138" t="s">
        <v>36</v>
      </c>
      <c r="T138" t="s">
        <v>36</v>
      </c>
      <c r="U138" t="s">
        <v>1111</v>
      </c>
      <c r="V138" t="s">
        <v>36</v>
      </c>
      <c r="W138" t="s">
        <v>1112</v>
      </c>
      <c r="X138" t="s">
        <v>1113</v>
      </c>
      <c r="Y138" t="s">
        <v>1114</v>
      </c>
      <c r="Z138" t="s">
        <v>36</v>
      </c>
    </row>
    <row r="139">
      <c r="A139" t="s">
        <v>1107</v>
      </c>
      <c r="B139" t="s">
        <v>1115</v>
      </c>
      <c r="C139" t="s">
        <v>32</v>
      </c>
      <c r="D139" t="s">
        <v>41</v>
      </c>
      <c r="E139">
        <v>24402</v>
      </c>
      <c r="F139">
        <v>73616</v>
      </c>
      <c r="G139">
        <v>48888</v>
      </c>
      <c r="H139">
        <v>24486</v>
      </c>
      <c r="I139">
        <v>70399</v>
      </c>
      <c r="J139" t="str">
        <f>HYPERLINK("https://www.eneba.com/latam/steam-resident-evil-4-gold-edition-pc-steam-key-latam","Abrir compra")</f>
        <v>Abrir compra</v>
      </c>
      <c r="K139" t="str">
        <f>HYPERLINK("https://store.steampowered.com/app/2050650/Resident_Evil_4/","Abrir Steam")</f>
        <v>Abrir Steam</v>
      </c>
      <c r="L139" t="s">
        <v>42</v>
      </c>
      <c r="M139" t="s">
        <v>31</v>
      </c>
      <c r="N139" t="s">
        <v>32</v>
      </c>
      <c r="O139" t="s">
        <v>1116</v>
      </c>
      <c r="P139" t="s">
        <v>1117</v>
      </c>
      <c r="Q139" t="s">
        <v>32</v>
      </c>
      <c r="R139" t="s">
        <v>1118</v>
      </c>
      <c r="S139" t="s">
        <v>36</v>
      </c>
      <c r="T139" t="s">
        <v>1119</v>
      </c>
      <c r="U139" t="s">
        <v>36</v>
      </c>
      <c r="V139" t="s">
        <v>36</v>
      </c>
      <c r="W139" t="s">
        <v>1120</v>
      </c>
      <c r="X139" t="s">
        <v>1121</v>
      </c>
      <c r="Y139" t="s">
        <v>36</v>
      </c>
      <c r="Z139" t="s">
        <v>36</v>
      </c>
    </row>
    <row r="140">
      <c r="A140" t="s">
        <v>1122</v>
      </c>
      <c r="B140" t="s">
        <v>1123</v>
      </c>
      <c r="C140" t="s">
        <v>32</v>
      </c>
      <c r="D140" t="s">
        <v>41</v>
      </c>
      <c r="E140">
        <v>29982</v>
      </c>
      <c r="F140">
        <v>73616</v>
      </c>
      <c r="G140">
        <v>51120</v>
      </c>
      <c r="H140">
        <v>21138</v>
      </c>
      <c r="I140">
        <v>73613</v>
      </c>
      <c r="J140" t="str">
        <f>HYPERLINK("https://www.eneba.com/latam/steam-resident-evil-7-gold-edition-village-gold-edition-pc-steam-key-latam","Abrir compra")</f>
        <v>Abrir compra</v>
      </c>
      <c r="K140" t="str">
        <f>HYPERLINK("https://store.steampowered.com/app/1196590/Resident_Evil_Village/?l=spanish","Abrir Steam")</f>
        <v>Abrir Steam</v>
      </c>
      <c r="L140" t="s">
        <v>42</v>
      </c>
      <c r="M140" t="s">
        <v>31</v>
      </c>
      <c r="N140" t="s">
        <v>32</v>
      </c>
      <c r="O140" t="s">
        <v>1124</v>
      </c>
      <c r="P140" t="s">
        <v>1125</v>
      </c>
      <c r="Q140" t="s">
        <v>32</v>
      </c>
      <c r="R140" t="s">
        <v>1126</v>
      </c>
      <c r="S140" t="s">
        <v>36</v>
      </c>
      <c r="T140" t="s">
        <v>1127</v>
      </c>
      <c r="U140" t="s">
        <v>36</v>
      </c>
      <c r="V140" t="s">
        <v>36</v>
      </c>
      <c r="W140" t="s">
        <v>1128</v>
      </c>
      <c r="X140" t="s">
        <v>1129</v>
      </c>
      <c r="Y140" t="s">
        <v>1130</v>
      </c>
      <c r="Z140" t="s">
        <v>36</v>
      </c>
    </row>
    <row r="141">
      <c r="A141" t="s">
        <v>1131</v>
      </c>
      <c r="B141" t="s">
        <v>52</v>
      </c>
      <c r="C141" t="s">
        <v>32</v>
      </c>
      <c r="D141" t="s">
        <v>41</v>
      </c>
      <c r="E141">
        <v>10005</v>
      </c>
      <c r="F141">
        <v>28314</v>
      </c>
      <c r="G141">
        <v>25042</v>
      </c>
      <c r="H141">
        <v>15037</v>
      </c>
      <c r="I141">
        <v>36060</v>
      </c>
      <c r="J141" t="str">
        <f>HYPERLINK("https://driffle.com/es/resident-evil-7-biohazard-steam-cd-key-p935891","Abrir compra")</f>
        <v>Abrir compra</v>
      </c>
      <c r="K141" t="str">
        <f>HYPERLINK("https://store.steampowered.com/app/418370/Resident_Evil_7_Biohazard/","Abrir Steam")</f>
        <v>Abrir Steam</v>
      </c>
      <c r="L141" t="s">
        <v>30</v>
      </c>
      <c r="M141" t="s">
        <v>70</v>
      </c>
      <c r="N141" t="s">
        <v>32</v>
      </c>
      <c r="O141" t="s">
        <v>1132</v>
      </c>
      <c r="P141" t="s">
        <v>1133</v>
      </c>
      <c r="Q141" t="s">
        <v>32</v>
      </c>
      <c r="R141" t="s">
        <v>1134</v>
      </c>
      <c r="S141" t="s">
        <v>36</v>
      </c>
      <c r="T141" t="s">
        <v>1135</v>
      </c>
      <c r="U141" t="s">
        <v>1136</v>
      </c>
      <c r="V141" t="s">
        <v>36</v>
      </c>
      <c r="W141" t="s">
        <v>1137</v>
      </c>
      <c r="X141" t="s">
        <v>1138</v>
      </c>
      <c r="Y141" t="s">
        <v>1139</v>
      </c>
      <c r="Z141" t="s">
        <v>36</v>
      </c>
    </row>
    <row r="142">
      <c r="A142" t="s">
        <v>1131</v>
      </c>
      <c r="B142" t="s">
        <v>1115</v>
      </c>
      <c r="C142" t="s">
        <v>32</v>
      </c>
      <c r="D142" t="s">
        <v>41</v>
      </c>
      <c r="E142">
        <v>15123</v>
      </c>
      <c r="F142">
        <v>84942</v>
      </c>
      <c r="G142">
        <v>42123</v>
      </c>
      <c r="H142">
        <v>27000</v>
      </c>
      <c r="I142">
        <v>60657</v>
      </c>
      <c r="J142" t="str">
        <f>HYPERLINK("https://driffle.com/es/resident-evil-7-biohazard-gold-edition-pc-steam-digital-code-p9879852","Abrir compra")</f>
        <v>Abrir compra</v>
      </c>
      <c r="K142" t="str">
        <f>HYPERLINK("https://store.steampowered.com/app/418370/Resident_Evil_7_Biohazard/","Abrir Steam")</f>
        <v>Abrir Steam</v>
      </c>
      <c r="L142" t="s">
        <v>30</v>
      </c>
      <c r="M142" t="s">
        <v>70</v>
      </c>
      <c r="N142" t="s">
        <v>32</v>
      </c>
      <c r="O142" t="s">
        <v>1140</v>
      </c>
      <c r="P142" t="s">
        <v>1141</v>
      </c>
      <c r="Q142" t="s">
        <v>32</v>
      </c>
      <c r="R142" t="s">
        <v>1142</v>
      </c>
      <c r="S142" t="s">
        <v>36</v>
      </c>
      <c r="T142" t="s">
        <v>1143</v>
      </c>
      <c r="U142" t="s">
        <v>1144</v>
      </c>
      <c r="V142" t="s">
        <v>36</v>
      </c>
      <c r="W142" t="s">
        <v>1145</v>
      </c>
      <c r="X142" t="s">
        <v>1146</v>
      </c>
      <c r="Y142" t="s">
        <v>1147</v>
      </c>
      <c r="Z142" t="s">
        <v>36</v>
      </c>
    </row>
    <row r="143">
      <c r="A143" t="s">
        <v>1148</v>
      </c>
      <c r="B143" t="s">
        <v>329</v>
      </c>
      <c r="C143" t="s">
        <v>32</v>
      </c>
      <c r="D143" t="s">
        <v>41</v>
      </c>
      <c r="E143">
        <v>66618</v>
      </c>
      <c r="F143">
        <v>113237</v>
      </c>
      <c r="G143">
        <v>83604</v>
      </c>
      <c r="H143">
        <v>16986</v>
      </c>
      <c r="I143">
        <v>120390</v>
      </c>
      <c r="J143" t="str">
        <f>HYPERLINK("https://www.eneba.com/latam/steam-resident-evil-requiem-deluxe-edition-steam-key-pc-latam","Abrir compra")</f>
        <v>Abrir compra</v>
      </c>
      <c r="K143" t="str">
        <f>HYPERLINK("https://store.steampowered.com/app/3764200/Resident_Evil_Requiem/","Abrir Steam")</f>
        <v>Abrir Steam</v>
      </c>
      <c r="L143" t="s">
        <v>42</v>
      </c>
      <c r="M143" t="s">
        <v>31</v>
      </c>
      <c r="N143" t="s">
        <v>32</v>
      </c>
      <c r="O143" t="s">
        <v>1149</v>
      </c>
      <c r="P143" t="s">
        <v>1150</v>
      </c>
      <c r="Q143" t="s">
        <v>32</v>
      </c>
      <c r="R143" t="s">
        <v>1151</v>
      </c>
      <c r="S143" t="s">
        <v>36</v>
      </c>
      <c r="T143" t="s">
        <v>81</v>
      </c>
      <c r="U143" t="s">
        <v>1152</v>
      </c>
      <c r="V143" t="s">
        <v>36</v>
      </c>
      <c r="W143" t="s">
        <v>1153</v>
      </c>
      <c r="X143" t="s">
        <v>1154</v>
      </c>
      <c r="Y143" t="s">
        <v>1155</v>
      </c>
      <c r="Z143" t="s">
        <v>1156</v>
      </c>
    </row>
    <row r="144">
      <c r="A144" t="s">
        <v>1148</v>
      </c>
      <c r="B144" t="s">
        <v>52</v>
      </c>
      <c r="C144" t="s">
        <v>32</v>
      </c>
      <c r="D144" t="s">
        <v>41</v>
      </c>
      <c r="E144">
        <v>58792</v>
      </c>
      <c r="F144">
        <v>100043</v>
      </c>
      <c r="G144">
        <v>74536</v>
      </c>
      <c r="H144">
        <v>15744</v>
      </c>
      <c r="I144">
        <v>107332</v>
      </c>
      <c r="J144" t="str">
        <f>HYPERLINK("https://www.eneba.com/latam/steam-resident-evil-requiem-steam-key-pc-latam","Abrir compra")</f>
        <v>Abrir compra</v>
      </c>
      <c r="K144" t="str">
        <f>HYPERLINK("https://store.steampowered.com/app/3764200/Resident_Evil_Requiem/","Abrir Steam")</f>
        <v>Abrir Steam</v>
      </c>
      <c r="L144" t="s">
        <v>42</v>
      </c>
      <c r="M144" t="s">
        <v>31</v>
      </c>
      <c r="N144" t="s">
        <v>32</v>
      </c>
      <c r="O144" t="s">
        <v>1157</v>
      </c>
      <c r="P144" t="s">
        <v>1158</v>
      </c>
      <c r="Q144" t="s">
        <v>32</v>
      </c>
      <c r="R144" t="s">
        <v>1159</v>
      </c>
      <c r="S144" t="s">
        <v>36</v>
      </c>
      <c r="T144" t="s">
        <v>1160</v>
      </c>
      <c r="U144" t="s">
        <v>1161</v>
      </c>
      <c r="V144" t="s">
        <v>36</v>
      </c>
      <c r="W144" t="s">
        <v>1162</v>
      </c>
      <c r="X144" t="s">
        <v>1163</v>
      </c>
      <c r="Y144" t="s">
        <v>1164</v>
      </c>
      <c r="Z144" t="s">
        <v>1165</v>
      </c>
    </row>
    <row r="145">
      <c r="A145" t="s">
        <v>1166</v>
      </c>
      <c r="B145" t="s">
        <v>52</v>
      </c>
      <c r="C145" t="s">
        <v>32</v>
      </c>
      <c r="D145" t="s">
        <v>41</v>
      </c>
      <c r="E145">
        <v>15338</v>
      </c>
      <c r="F145">
        <v>54740</v>
      </c>
      <c r="G145">
        <v>36768</v>
      </c>
      <c r="H145">
        <v>21430</v>
      </c>
      <c r="I145">
        <v>52946</v>
      </c>
      <c r="J145" t="str">
        <f>HYPERLINK("https://www.eneba.com/latam/steam-resident-evil-village-resident-evil-8-steam-key-latam","Abrir compra")</f>
        <v>Abrir compra</v>
      </c>
      <c r="K145" t="str">
        <f>HYPERLINK("https://store.steampowered.com/app/1196590/Resident_Evil_Village/?l=spanish","Abrir Steam")</f>
        <v>Abrir Steam</v>
      </c>
      <c r="L145" t="s">
        <v>42</v>
      </c>
      <c r="M145" t="s">
        <v>31</v>
      </c>
      <c r="N145" t="s">
        <v>32</v>
      </c>
      <c r="O145" t="s">
        <v>1167</v>
      </c>
      <c r="P145" t="s">
        <v>1168</v>
      </c>
      <c r="Q145" t="s">
        <v>32</v>
      </c>
      <c r="R145" t="s">
        <v>1169</v>
      </c>
      <c r="S145" t="s">
        <v>36</v>
      </c>
      <c r="T145" t="s">
        <v>1170</v>
      </c>
      <c r="U145" t="s">
        <v>1171</v>
      </c>
      <c r="V145" t="s">
        <v>36</v>
      </c>
      <c r="W145" t="s">
        <v>1172</v>
      </c>
      <c r="X145" t="s">
        <v>1173</v>
      </c>
      <c r="Y145" t="s">
        <v>1174</v>
      </c>
      <c r="Z145" t="s">
        <v>1175</v>
      </c>
    </row>
    <row r="146">
      <c r="A146" t="s">
        <v>1166</v>
      </c>
      <c r="B146" t="s">
        <v>1115</v>
      </c>
      <c r="C146" t="s">
        <v>32</v>
      </c>
      <c r="D146" t="s">
        <v>41</v>
      </c>
      <c r="E146">
        <v>21480</v>
      </c>
      <c r="F146">
        <v>73616</v>
      </c>
      <c r="G146">
        <v>47719</v>
      </c>
      <c r="H146">
        <v>26239</v>
      </c>
      <c r="I146">
        <v>68715</v>
      </c>
      <c r="J146" t="str">
        <f>HYPERLINK("https://www.eneba.com/latam/steam-resident-evil-village-resident-evil-8-gold-edition-pc-steam-key-latam","Abrir compra")</f>
        <v>Abrir compra</v>
      </c>
      <c r="K146" t="str">
        <f>HYPERLINK("https://store.steampowered.com/app/1196590/Resident_Evil_Village/?l=spanish","Abrir Steam")</f>
        <v>Abrir Steam</v>
      </c>
      <c r="L146" t="s">
        <v>42</v>
      </c>
      <c r="M146" t="s">
        <v>31</v>
      </c>
      <c r="N146" t="s">
        <v>32</v>
      </c>
      <c r="O146" t="s">
        <v>1176</v>
      </c>
      <c r="P146" t="s">
        <v>1177</v>
      </c>
      <c r="Q146" t="s">
        <v>32</v>
      </c>
      <c r="R146" t="s">
        <v>1178</v>
      </c>
      <c r="S146" t="s">
        <v>36</v>
      </c>
      <c r="T146" t="s">
        <v>1179</v>
      </c>
      <c r="U146" t="s">
        <v>1180</v>
      </c>
      <c r="V146" t="s">
        <v>36</v>
      </c>
      <c r="W146" t="s">
        <v>1181</v>
      </c>
      <c r="X146" t="s">
        <v>1182</v>
      </c>
      <c r="Y146" t="s">
        <v>1183</v>
      </c>
      <c r="Z146" t="s">
        <v>1184</v>
      </c>
    </row>
    <row r="147">
      <c r="A147" t="s">
        <v>1185</v>
      </c>
      <c r="B147" t="s">
        <v>52</v>
      </c>
      <c r="C147" t="s">
        <v>32</v>
      </c>
      <c r="D147" t="s">
        <v>41</v>
      </c>
      <c r="E147">
        <v>13274</v>
      </c>
      <c r="F147">
        <v>54740</v>
      </c>
      <c r="G147">
        <v>35943</v>
      </c>
      <c r="H147">
        <v>22669</v>
      </c>
      <c r="I147">
        <v>51758</v>
      </c>
      <c r="J147" t="str">
        <f>HYPERLINK("https://www.eneba.com/latam/steam-resident-evil-raccoon-city-edition-pc-steam-key-global","Abrir compra")</f>
        <v>Abrir compra</v>
      </c>
      <c r="K147" t="str">
        <f>HYPERLINK("https://store.steampowered.com/app/883710/Resident_Evil_2/?curator_clanid=4777282","Abrir Steam")</f>
        <v>Abrir Steam</v>
      </c>
      <c r="L147" t="s">
        <v>42</v>
      </c>
      <c r="M147" t="s">
        <v>70</v>
      </c>
      <c r="N147" t="s">
        <v>32</v>
      </c>
      <c r="O147" t="s">
        <v>1186</v>
      </c>
      <c r="P147" t="s">
        <v>1187</v>
      </c>
      <c r="Q147" t="s">
        <v>32</v>
      </c>
      <c r="R147" t="s">
        <v>1188</v>
      </c>
      <c r="S147" t="s">
        <v>36</v>
      </c>
      <c r="T147" t="s">
        <v>1189</v>
      </c>
      <c r="U147" t="s">
        <v>1190</v>
      </c>
      <c r="V147" t="s">
        <v>36</v>
      </c>
      <c r="W147" t="s">
        <v>1191</v>
      </c>
      <c r="X147" t="s">
        <v>1192</v>
      </c>
      <c r="Y147" t="s">
        <v>1193</v>
      </c>
      <c r="Z147" t="s">
        <v>36</v>
      </c>
    </row>
    <row r="148">
      <c r="A148" t="s">
        <v>1194</v>
      </c>
      <c r="B148" t="s">
        <v>1195</v>
      </c>
      <c r="C148" t="s">
        <v>28</v>
      </c>
      <c r="D148" t="s">
        <v>29</v>
      </c>
      <c r="E148">
        <v>13258</v>
      </c>
      <c r="F148">
        <v>45284</v>
      </c>
      <c r="G148">
        <v>28964</v>
      </c>
      <c r="H148">
        <v>15706</v>
      </c>
      <c r="I148">
        <v>41708</v>
      </c>
      <c r="J148" t="str">
        <f>HYPERLINK("https://driffle.com/es/sea-of-thieves-2026-edition-global-pc-steam-account-p9992474","Abrir compra")</f>
        <v>Abrir compra</v>
      </c>
      <c r="K148" t="str">
        <f>HYPERLINK("https://store.steampowered.com/app/1172620/Sea_of_Thieves_2026_Edition/","Abrir Steam")</f>
        <v>Abrir Steam</v>
      </c>
      <c r="L148" t="s">
        <v>30</v>
      </c>
      <c r="M148" t="s">
        <v>31</v>
      </c>
      <c r="N148" t="s">
        <v>32</v>
      </c>
      <c r="O148" t="s">
        <v>1196</v>
      </c>
      <c r="P148" t="s">
        <v>1197</v>
      </c>
      <c r="Q148" t="s">
        <v>32</v>
      </c>
      <c r="R148" t="s">
        <v>1198</v>
      </c>
      <c r="S148" t="s">
        <v>36</v>
      </c>
      <c r="T148" t="s">
        <v>36</v>
      </c>
      <c r="U148" t="s">
        <v>1199</v>
      </c>
      <c r="V148" t="s">
        <v>36</v>
      </c>
      <c r="W148" t="s">
        <v>1200</v>
      </c>
      <c r="X148" t="s">
        <v>36</v>
      </c>
      <c r="Y148" t="s">
        <v>1201</v>
      </c>
      <c r="Z148" t="s">
        <v>36</v>
      </c>
    </row>
    <row r="149">
      <c r="A149" t="s">
        <v>1194</v>
      </c>
      <c r="B149" t="s">
        <v>27</v>
      </c>
      <c r="C149" t="s">
        <v>28</v>
      </c>
      <c r="D149" t="s">
        <v>29</v>
      </c>
      <c r="E149">
        <v>51775</v>
      </c>
      <c r="F149">
        <v>56609</v>
      </c>
      <c r="G149">
        <v>66775</v>
      </c>
      <c r="H149">
        <v>15000</v>
      </c>
      <c r="I149">
        <v>96156</v>
      </c>
      <c r="J149" t="str">
        <f>HYPERLINK("https://driffle.com/es/sea-of-thieves-2026-deluxe-edition-global-pc-steam-account-p9992475","Abrir compra")</f>
        <v>Abrir compra</v>
      </c>
      <c r="K149" t="str">
        <f>HYPERLINK("https://store.steampowered.com/app/1172620/Sea_of_Thieves_2026_Edition/","Abrir Steam")</f>
        <v>Abrir Steam</v>
      </c>
      <c r="L149" t="s">
        <v>30</v>
      </c>
      <c r="M149" t="s">
        <v>31</v>
      </c>
      <c r="N149" t="s">
        <v>32</v>
      </c>
      <c r="O149" t="s">
        <v>1202</v>
      </c>
      <c r="P149" t="s">
        <v>1203</v>
      </c>
      <c r="Q149" t="s">
        <v>32</v>
      </c>
      <c r="R149" t="s">
        <v>1204</v>
      </c>
      <c r="S149" t="s">
        <v>36</v>
      </c>
      <c r="T149" t="s">
        <v>36</v>
      </c>
      <c r="U149" t="s">
        <v>1205</v>
      </c>
      <c r="V149" t="s">
        <v>36</v>
      </c>
      <c r="W149" t="s">
        <v>1206</v>
      </c>
      <c r="X149" t="s">
        <v>36</v>
      </c>
      <c r="Y149" t="s">
        <v>1207</v>
      </c>
      <c r="Z149" t="s">
        <v>36</v>
      </c>
    </row>
    <row r="150">
      <c r="A150" t="s">
        <v>1194</v>
      </c>
      <c r="B150" t="s">
        <v>579</v>
      </c>
      <c r="C150" t="s">
        <v>28</v>
      </c>
      <c r="D150" t="s">
        <v>29</v>
      </c>
      <c r="E150">
        <v>60905</v>
      </c>
      <c r="F150">
        <v>67935</v>
      </c>
      <c r="G150">
        <v>75905</v>
      </c>
      <c r="H150">
        <v>15000</v>
      </c>
      <c r="I150">
        <v>109303</v>
      </c>
      <c r="J150" t="str">
        <f>HYPERLINK("https://driffle.com/es/sea-of-thieves-2026-premium-edition-global-pc-steam-account-p9992476","Abrir compra")</f>
        <v>Abrir compra</v>
      </c>
      <c r="K150" t="str">
        <f>HYPERLINK("https://store.steampowered.com/app/1172620/Sea_of_Thieves_2026_Edition/","Abrir Steam")</f>
        <v>Abrir Steam</v>
      </c>
      <c r="L150" t="s">
        <v>30</v>
      </c>
      <c r="M150" t="s">
        <v>31</v>
      </c>
      <c r="N150" t="s">
        <v>32</v>
      </c>
      <c r="O150" t="s">
        <v>1208</v>
      </c>
      <c r="P150" t="s">
        <v>1209</v>
      </c>
      <c r="Q150" t="s">
        <v>32</v>
      </c>
      <c r="R150" t="s">
        <v>1210</v>
      </c>
      <c r="S150" t="s">
        <v>36</v>
      </c>
      <c r="T150" t="s">
        <v>36</v>
      </c>
      <c r="U150" t="s">
        <v>1211</v>
      </c>
      <c r="V150" t="s">
        <v>36</v>
      </c>
      <c r="W150" t="s">
        <v>1212</v>
      </c>
      <c r="X150" t="s">
        <v>36</v>
      </c>
      <c r="Y150" t="s">
        <v>1213</v>
      </c>
      <c r="Z150" t="s">
        <v>36</v>
      </c>
    </row>
    <row r="151">
      <c r="A151" t="s">
        <v>1214</v>
      </c>
      <c r="B151" t="s">
        <v>52</v>
      </c>
      <c r="C151" t="s">
        <v>32</v>
      </c>
      <c r="D151" t="s">
        <v>41</v>
      </c>
      <c r="E151">
        <v>33169</v>
      </c>
      <c r="F151">
        <v>62272</v>
      </c>
      <c r="G151">
        <v>48950</v>
      </c>
      <c r="H151">
        <v>15781</v>
      </c>
      <c r="I151">
        <v>70488</v>
      </c>
      <c r="J151" t="str">
        <f>HYPERLINK("https://www.loaded.com/es_es/silent-hill-2-pc-steam","Abrir compra")</f>
        <v>Abrir compra</v>
      </c>
      <c r="K151" t="str">
        <f>HYPERLINK("https://store.steampowered.com/app/2124490/SILENT_HILL_2/","Abrir Steam")</f>
        <v>Abrir Steam</v>
      </c>
      <c r="L151" t="s">
        <v>231</v>
      </c>
      <c r="M151" t="s">
        <v>232</v>
      </c>
      <c r="N151" t="s">
        <v>32</v>
      </c>
      <c r="O151" t="s">
        <v>1215</v>
      </c>
      <c r="P151" t="s">
        <v>1216</v>
      </c>
      <c r="Q151" t="s">
        <v>32</v>
      </c>
      <c r="R151" t="s">
        <v>1217</v>
      </c>
      <c r="S151" t="s">
        <v>36</v>
      </c>
      <c r="T151" t="s">
        <v>1218</v>
      </c>
      <c r="U151" t="s">
        <v>1219</v>
      </c>
      <c r="V151" t="s">
        <v>1220</v>
      </c>
      <c r="W151" t="s">
        <v>1221</v>
      </c>
      <c r="X151" t="s">
        <v>1222</v>
      </c>
      <c r="Y151" t="s">
        <v>1223</v>
      </c>
      <c r="Z151" t="s">
        <v>1224</v>
      </c>
    </row>
    <row r="152">
      <c r="A152" t="s">
        <v>1214</v>
      </c>
      <c r="B152" t="s">
        <v>62</v>
      </c>
      <c r="C152" t="s">
        <v>28</v>
      </c>
      <c r="D152" t="s">
        <v>29</v>
      </c>
      <c r="E152">
        <v>21645</v>
      </c>
      <c r="F152">
        <v>62272</v>
      </c>
      <c r="G152">
        <v>38944</v>
      </c>
      <c r="H152">
        <v>17299</v>
      </c>
      <c r="I152">
        <v>56079</v>
      </c>
      <c r="J152" t="str">
        <f>HYPERLINK("https://driffle.com/es/silent-hill-2-global-pc-steam-account-p9962323","Abrir compra")</f>
        <v>Abrir compra</v>
      </c>
      <c r="K152" t="str">
        <f>HYPERLINK("https://store.steampowered.com/app/2124490/SILENT_HILL_2/","Abrir Steam")</f>
        <v>Abrir Steam</v>
      </c>
      <c r="L152" t="s">
        <v>30</v>
      </c>
      <c r="M152" t="s">
        <v>31</v>
      </c>
      <c r="N152" t="s">
        <v>32</v>
      </c>
      <c r="O152" t="s">
        <v>1225</v>
      </c>
      <c r="P152" t="s">
        <v>1226</v>
      </c>
      <c r="Q152" t="s">
        <v>32</v>
      </c>
      <c r="R152" t="s">
        <v>1227</v>
      </c>
      <c r="S152" t="s">
        <v>36</v>
      </c>
      <c r="T152" t="s">
        <v>36</v>
      </c>
      <c r="U152" t="s">
        <v>1228</v>
      </c>
      <c r="V152" t="s">
        <v>36</v>
      </c>
      <c r="W152" t="s">
        <v>1229</v>
      </c>
      <c r="X152" t="s">
        <v>36</v>
      </c>
      <c r="Y152" t="s">
        <v>1230</v>
      </c>
      <c r="Z152" t="s">
        <v>36</v>
      </c>
    </row>
    <row r="153">
      <c r="A153" t="s">
        <v>1231</v>
      </c>
      <c r="B153" t="s">
        <v>52</v>
      </c>
      <c r="C153" t="s">
        <v>32</v>
      </c>
      <c r="D153" t="s">
        <v>41</v>
      </c>
      <c r="E153">
        <v>42926</v>
      </c>
      <c r="F153">
        <v>62272</v>
      </c>
      <c r="G153">
        <v>67411</v>
      </c>
      <c r="H153">
        <v>24485</v>
      </c>
      <c r="I153">
        <v>97072</v>
      </c>
      <c r="J153" t="str">
        <f>HYPERLINK("https://www.eneba.com/latam/steam-silent-hill-f-steam-key-pc-latam","Abrir compra")</f>
        <v>Abrir compra</v>
      </c>
      <c r="K153" t="str">
        <f>HYPERLINK("https://store.steampowered.com/app/2947440/SILENT_HILL_f/","Abrir Steam")</f>
        <v>Abrir Steam</v>
      </c>
      <c r="L153" t="s">
        <v>42</v>
      </c>
      <c r="M153" t="s">
        <v>31</v>
      </c>
      <c r="N153" t="s">
        <v>32</v>
      </c>
      <c r="O153" t="s">
        <v>1232</v>
      </c>
      <c r="P153" t="s">
        <v>1233</v>
      </c>
      <c r="Q153" t="s">
        <v>32</v>
      </c>
      <c r="R153" t="s">
        <v>1234</v>
      </c>
      <c r="S153" t="s">
        <v>36</v>
      </c>
      <c r="T153" t="s">
        <v>1235</v>
      </c>
      <c r="U153" t="s">
        <v>237</v>
      </c>
      <c r="V153" t="s">
        <v>36</v>
      </c>
      <c r="W153" t="s">
        <v>1236</v>
      </c>
      <c r="X153" t="s">
        <v>1237</v>
      </c>
      <c r="Y153" t="s">
        <v>1238</v>
      </c>
      <c r="Z153" t="s">
        <v>36</v>
      </c>
    </row>
    <row r="154">
      <c r="A154" t="s">
        <v>1231</v>
      </c>
      <c r="B154" t="s">
        <v>62</v>
      </c>
      <c r="C154" t="s">
        <v>28</v>
      </c>
      <c r="D154" t="s">
        <v>29</v>
      </c>
      <c r="E154">
        <v>20225</v>
      </c>
      <c r="F154">
        <v>62272</v>
      </c>
      <c r="G154">
        <v>38376</v>
      </c>
      <c r="H154">
        <v>18151</v>
      </c>
      <c r="I154">
        <v>55261</v>
      </c>
      <c r="J154" t="str">
        <f>HYPERLINK("https://driffle.com/es/silent-hill-f-global-pc-steam-account-p9964460","Abrir compra")</f>
        <v>Abrir compra</v>
      </c>
      <c r="K154" t="str">
        <f>HYPERLINK("https://store.steampowered.com/app/2947440/SILENT_HILL_f/","Abrir Steam")</f>
        <v>Abrir Steam</v>
      </c>
      <c r="L154" t="s">
        <v>30</v>
      </c>
      <c r="M154" t="s">
        <v>31</v>
      </c>
      <c r="N154" t="s">
        <v>32</v>
      </c>
      <c r="O154" t="s">
        <v>1239</v>
      </c>
      <c r="P154" t="s">
        <v>1240</v>
      </c>
      <c r="Q154" t="s">
        <v>32</v>
      </c>
      <c r="R154" t="s">
        <v>1241</v>
      </c>
      <c r="S154" t="s">
        <v>36</v>
      </c>
      <c r="T154" t="s">
        <v>36</v>
      </c>
      <c r="U154" t="s">
        <v>1242</v>
      </c>
      <c r="V154" t="s">
        <v>36</v>
      </c>
      <c r="W154" t="s">
        <v>1243</v>
      </c>
      <c r="X154" t="s">
        <v>36</v>
      </c>
      <c r="Y154" t="s">
        <v>1244</v>
      </c>
      <c r="Z154" t="s">
        <v>36</v>
      </c>
    </row>
    <row r="155">
      <c r="A155" t="s">
        <v>1245</v>
      </c>
      <c r="B155" t="s">
        <v>329</v>
      </c>
      <c r="C155" t="s">
        <v>32</v>
      </c>
      <c r="D155" t="s">
        <v>41</v>
      </c>
      <c r="E155">
        <v>68500</v>
      </c>
      <c r="F155">
        <v>96249</v>
      </c>
      <c r="G155">
        <v>83500</v>
      </c>
      <c r="H155">
        <v>15000</v>
      </c>
      <c r="I155">
        <v>120240</v>
      </c>
      <c r="J155" t="str">
        <f>HYPERLINK("https://www.loaded.com/es_es/silent-hill-townfall-deluxe-edition-pc-steam","Abrir compra")</f>
        <v>Abrir compra</v>
      </c>
      <c r="K155" t="str">
        <f>HYPERLINK("https://store.steampowered.com/app/1636440/SILENT_HILL_Townfall/","Abrir Steam")</f>
        <v>Abrir Steam</v>
      </c>
      <c r="L155" t="s">
        <v>231</v>
      </c>
      <c r="M155" t="s">
        <v>232</v>
      </c>
      <c r="N155" t="s">
        <v>32</v>
      </c>
      <c r="O155" t="s">
        <v>1246</v>
      </c>
      <c r="P155" t="s">
        <v>1247</v>
      </c>
      <c r="Q155" t="s">
        <v>32</v>
      </c>
      <c r="R155" t="s">
        <v>1248</v>
      </c>
      <c r="S155" t="s">
        <v>36</v>
      </c>
      <c r="T155" t="s">
        <v>1249</v>
      </c>
      <c r="U155" t="s">
        <v>36</v>
      </c>
      <c r="V155" t="s">
        <v>1250</v>
      </c>
      <c r="W155" t="s">
        <v>36</v>
      </c>
      <c r="X155" t="s">
        <v>1251</v>
      </c>
      <c r="Y155" t="s">
        <v>36</v>
      </c>
      <c r="Z155" t="s">
        <v>1252</v>
      </c>
    </row>
    <row r="156">
      <c r="A156" t="s">
        <v>1245</v>
      </c>
      <c r="B156" t="s">
        <v>52</v>
      </c>
      <c r="C156" t="s">
        <v>32</v>
      </c>
      <c r="D156" t="s">
        <v>41</v>
      </c>
      <c r="E156">
        <v>63052</v>
      </c>
      <c r="F156">
        <v>80204</v>
      </c>
      <c r="G156">
        <v>78052</v>
      </c>
      <c r="H156">
        <v>15000</v>
      </c>
      <c r="I156">
        <v>112395</v>
      </c>
      <c r="J156" t="str">
        <f>HYPERLINK("https://www.loaded.com/es_es/silent-hill-townfall-pc-steam","Abrir compra")</f>
        <v>Abrir compra</v>
      </c>
      <c r="K156" t="str">
        <f>HYPERLINK("https://store.steampowered.com/app/1636440/SILENT_HILL_Townfall/","Abrir Steam")</f>
        <v>Abrir Steam</v>
      </c>
      <c r="L156" t="s">
        <v>231</v>
      </c>
      <c r="M156" t="s">
        <v>232</v>
      </c>
      <c r="N156" t="s">
        <v>32</v>
      </c>
      <c r="O156" t="s">
        <v>1253</v>
      </c>
      <c r="P156" t="s">
        <v>1254</v>
      </c>
      <c r="Q156" t="s">
        <v>32</v>
      </c>
      <c r="R156" t="s">
        <v>1255</v>
      </c>
      <c r="S156" t="s">
        <v>36</v>
      </c>
      <c r="T156" t="s">
        <v>1256</v>
      </c>
      <c r="U156" t="s">
        <v>36</v>
      </c>
      <c r="V156" t="s">
        <v>160</v>
      </c>
      <c r="W156" t="s">
        <v>1257</v>
      </c>
      <c r="X156" t="s">
        <v>1258</v>
      </c>
      <c r="Y156" t="s">
        <v>36</v>
      </c>
      <c r="Z156" t="s">
        <v>1259</v>
      </c>
    </row>
    <row r="157">
      <c r="A157" t="s">
        <v>1260</v>
      </c>
      <c r="B157" t="s">
        <v>52</v>
      </c>
      <c r="C157" t="s">
        <v>32</v>
      </c>
      <c r="D157" t="s">
        <v>41</v>
      </c>
      <c r="E157">
        <v>66321</v>
      </c>
      <c r="F157">
        <v>94361</v>
      </c>
      <c r="G157">
        <v>87240</v>
      </c>
      <c r="H157">
        <v>20919</v>
      </c>
      <c r="I157">
        <v>125626</v>
      </c>
      <c r="J157" t="str">
        <f>HYPERLINK("https://www.eneba.com/latam/steam-split-fiction-steam-key-pc-global","Abrir compra")</f>
        <v>Abrir compra</v>
      </c>
      <c r="K157" t="str">
        <f>HYPERLINK("https://store.steampowered.com/app/2001120/Split_Fiction/?curator_clanid=4777282","Abrir Steam")</f>
        <v>Abrir Steam</v>
      </c>
      <c r="L157" t="s">
        <v>42</v>
      </c>
      <c r="M157" t="s">
        <v>70</v>
      </c>
      <c r="N157" t="s">
        <v>32</v>
      </c>
      <c r="O157" t="s">
        <v>1261</v>
      </c>
      <c r="P157" t="s">
        <v>1262</v>
      </c>
      <c r="Q157" t="s">
        <v>32</v>
      </c>
      <c r="R157" t="s">
        <v>1263</v>
      </c>
      <c r="S157" t="s">
        <v>36</v>
      </c>
      <c r="T157" t="s">
        <v>1264</v>
      </c>
      <c r="U157" t="s">
        <v>1265</v>
      </c>
      <c r="V157" t="s">
        <v>36</v>
      </c>
      <c r="W157" t="s">
        <v>1266</v>
      </c>
      <c r="X157" t="s">
        <v>1267</v>
      </c>
      <c r="Y157" t="s">
        <v>1268</v>
      </c>
      <c r="Z157" t="s">
        <v>36</v>
      </c>
    </row>
    <row r="158">
      <c r="A158" t="s">
        <v>1260</v>
      </c>
      <c r="B158" t="s">
        <v>62</v>
      </c>
      <c r="C158" t="s">
        <v>28</v>
      </c>
      <c r="D158" t="s">
        <v>29</v>
      </c>
      <c r="E158">
        <v>28926</v>
      </c>
      <c r="F158">
        <v>94361</v>
      </c>
      <c r="G158">
        <v>54371</v>
      </c>
      <c r="H158">
        <v>25445</v>
      </c>
      <c r="I158">
        <v>78294</v>
      </c>
      <c r="J158" t="str">
        <f>HYPERLINK("https://driffle.com/es/split-fiction-global-pc-steam-account-p9945656","Abrir compra")</f>
        <v>Abrir compra</v>
      </c>
      <c r="K158" t="str">
        <f>HYPERLINK("https://store.steampowered.com/app/2001120/Split_Fiction/?curator_clanid=4777282","Abrir Steam")</f>
        <v>Abrir Steam</v>
      </c>
      <c r="L158" t="s">
        <v>30</v>
      </c>
      <c r="M158" t="s">
        <v>70</v>
      </c>
      <c r="N158" t="s">
        <v>32</v>
      </c>
      <c r="O158" t="s">
        <v>1269</v>
      </c>
      <c r="P158" t="s">
        <v>1270</v>
      </c>
      <c r="Q158" t="s">
        <v>32</v>
      </c>
      <c r="R158" t="s">
        <v>1271</v>
      </c>
      <c r="S158" t="s">
        <v>36</v>
      </c>
      <c r="T158" t="s">
        <v>36</v>
      </c>
      <c r="U158" t="s">
        <v>1272</v>
      </c>
      <c r="V158" t="s">
        <v>36</v>
      </c>
      <c r="W158" t="s">
        <v>1273</v>
      </c>
      <c r="X158" t="s">
        <v>36</v>
      </c>
      <c r="Y158" t="s">
        <v>1274</v>
      </c>
      <c r="Z158" t="s">
        <v>36</v>
      </c>
    </row>
    <row r="159">
      <c r="A159" t="s">
        <v>1275</v>
      </c>
      <c r="B159" t="s">
        <v>62</v>
      </c>
      <c r="C159" t="s">
        <v>28</v>
      </c>
      <c r="D159" t="s">
        <v>29</v>
      </c>
      <c r="E159">
        <v>12085</v>
      </c>
      <c r="F159">
        <v>132113</v>
      </c>
      <c r="G159">
        <v>39085</v>
      </c>
      <c r="H159">
        <v>27000</v>
      </c>
      <c r="I159">
        <v>56282</v>
      </c>
      <c r="J159" t="str">
        <f>HYPERLINK("https://driffle.com/es/star-wars-jedi-survivor-global-pc-steam-account-p9971599","Abrir compra")</f>
        <v>Abrir compra</v>
      </c>
      <c r="K159" t="str">
        <f>HYPERLINK("https://store.steampowered.com/app/1774580/STAR_WARS_Jedi_Survivor/?curator_clanid=4777282","Abrir Steam")</f>
        <v>Abrir Steam</v>
      </c>
      <c r="L159" t="s">
        <v>30</v>
      </c>
      <c r="M159" t="s">
        <v>70</v>
      </c>
      <c r="N159" t="s">
        <v>32</v>
      </c>
      <c r="O159" t="s">
        <v>1276</v>
      </c>
      <c r="P159" t="s">
        <v>1277</v>
      </c>
      <c r="Q159" t="s">
        <v>32</v>
      </c>
      <c r="R159" t="s">
        <v>1278</v>
      </c>
      <c r="S159" t="s">
        <v>36</v>
      </c>
      <c r="T159" t="s">
        <v>36</v>
      </c>
      <c r="U159" t="s">
        <v>1279</v>
      </c>
      <c r="V159" t="s">
        <v>36</v>
      </c>
      <c r="W159" t="s">
        <v>1280</v>
      </c>
      <c r="X159" t="s">
        <v>36</v>
      </c>
      <c r="Y159" t="s">
        <v>1281</v>
      </c>
      <c r="Z159" t="s">
        <v>36</v>
      </c>
    </row>
    <row r="160">
      <c r="A160" t="s">
        <v>1282</v>
      </c>
      <c r="B160" t="s">
        <v>1283</v>
      </c>
      <c r="C160" t="s">
        <v>32</v>
      </c>
      <c r="D160" t="s">
        <v>41</v>
      </c>
      <c r="E160">
        <v>59238</v>
      </c>
      <c r="F160">
        <v>132113</v>
      </c>
      <c r="G160">
        <v>94238</v>
      </c>
      <c r="H160">
        <v>35000</v>
      </c>
      <c r="I160">
        <v>135703</v>
      </c>
      <c r="J160" t="str">
        <f>HYPERLINK("https://driffle.com/es/stellar-blade-complete-edition-latam-pc-steam-digital-key-p9938572","Abrir compra")</f>
        <v>Abrir compra</v>
      </c>
      <c r="K160" t="str">
        <f>HYPERLINK("https://store.steampowered.com/app/3489700/Stellar_Blade/","Abrir Steam")</f>
        <v>Abrir Steam</v>
      </c>
      <c r="L160" t="s">
        <v>30</v>
      </c>
      <c r="M160" t="s">
        <v>31</v>
      </c>
      <c r="N160" t="s">
        <v>32</v>
      </c>
      <c r="O160" t="s">
        <v>1284</v>
      </c>
      <c r="P160" t="s">
        <v>1285</v>
      </c>
      <c r="Q160" t="s">
        <v>32</v>
      </c>
      <c r="R160" t="s">
        <v>1286</v>
      </c>
      <c r="S160" t="s">
        <v>36</v>
      </c>
      <c r="T160" t="s">
        <v>1287</v>
      </c>
      <c r="U160" t="s">
        <v>1288</v>
      </c>
      <c r="V160" t="s">
        <v>1289</v>
      </c>
      <c r="W160" t="s">
        <v>1290</v>
      </c>
      <c r="X160" t="s">
        <v>1291</v>
      </c>
      <c r="Y160" t="s">
        <v>1292</v>
      </c>
      <c r="Z160" t="s">
        <v>1293</v>
      </c>
    </row>
    <row r="161">
      <c r="A161" t="s">
        <v>1282</v>
      </c>
      <c r="B161" t="s">
        <v>1294</v>
      </c>
      <c r="C161" t="s">
        <v>28</v>
      </c>
      <c r="D161" t="s">
        <v>29</v>
      </c>
      <c r="E161">
        <v>101223</v>
      </c>
      <c r="F161">
        <v>132113</v>
      </c>
      <c r="G161">
        <v>116223</v>
      </c>
      <c r="H161">
        <v>15000</v>
      </c>
      <c r="I161">
        <v>167361</v>
      </c>
      <c r="J161" t="str">
        <f>HYPERLINK("https://driffle.com/es/stellar-blade-complete-edition-global-pc-steam-account-p9979471","Abrir compra")</f>
        <v>Abrir compra</v>
      </c>
      <c r="K161" t="str">
        <f>HYPERLINK("https://store.steampowered.com/app/3489700/Stellar_Blade/","Abrir Steam")</f>
        <v>Abrir Steam</v>
      </c>
      <c r="L161" t="s">
        <v>30</v>
      </c>
      <c r="M161" t="s">
        <v>31</v>
      </c>
      <c r="N161" t="s">
        <v>32</v>
      </c>
      <c r="O161" t="s">
        <v>1295</v>
      </c>
      <c r="P161" t="s">
        <v>1296</v>
      </c>
      <c r="Q161" t="s">
        <v>32</v>
      </c>
      <c r="R161" t="s">
        <v>1297</v>
      </c>
      <c r="S161" t="s">
        <v>36</v>
      </c>
      <c r="T161" t="s">
        <v>36</v>
      </c>
      <c r="U161" t="s">
        <v>1298</v>
      </c>
      <c r="V161" t="s">
        <v>36</v>
      </c>
      <c r="W161" t="s">
        <v>1299</v>
      </c>
      <c r="X161" t="s">
        <v>36</v>
      </c>
      <c r="Y161" t="s">
        <v>1300</v>
      </c>
      <c r="Z161" t="s">
        <v>36</v>
      </c>
    </row>
    <row r="162">
      <c r="A162" t="s">
        <v>1282</v>
      </c>
      <c r="B162" t="s">
        <v>52</v>
      </c>
      <c r="C162" t="s">
        <v>32</v>
      </c>
      <c r="D162" t="s">
        <v>41</v>
      </c>
      <c r="E162">
        <v>42001</v>
      </c>
      <c r="F162">
        <v>113237</v>
      </c>
      <c r="G162">
        <v>77001</v>
      </c>
      <c r="H162">
        <v>35000</v>
      </c>
      <c r="I162">
        <v>110881</v>
      </c>
      <c r="J162" t="str">
        <f>HYPERLINK("https://driffle.com/es/stellar-blade-latam-pc-steam-digital-key-p9938571","Abrir compra")</f>
        <v>Abrir compra</v>
      </c>
      <c r="K162" t="str">
        <f>HYPERLINK("https://store.steampowered.com/app/3489700/Stellar_Blade/","Abrir Steam")</f>
        <v>Abrir Steam</v>
      </c>
      <c r="L162" t="s">
        <v>30</v>
      </c>
      <c r="M162" t="s">
        <v>31</v>
      </c>
      <c r="N162" t="s">
        <v>32</v>
      </c>
      <c r="O162" t="s">
        <v>1301</v>
      </c>
      <c r="P162" t="s">
        <v>1302</v>
      </c>
      <c r="Q162" t="s">
        <v>32</v>
      </c>
      <c r="R162" t="s">
        <v>1303</v>
      </c>
      <c r="S162" t="s">
        <v>36</v>
      </c>
      <c r="T162" t="s">
        <v>1304</v>
      </c>
      <c r="U162" t="s">
        <v>1305</v>
      </c>
      <c r="V162" t="s">
        <v>1053</v>
      </c>
      <c r="W162" t="s">
        <v>1306</v>
      </c>
      <c r="X162" t="s">
        <v>1307</v>
      </c>
      <c r="Y162" t="s">
        <v>1308</v>
      </c>
      <c r="Z162" t="s">
        <v>1309</v>
      </c>
    </row>
    <row r="163">
      <c r="A163" t="s">
        <v>1282</v>
      </c>
      <c r="B163" t="s">
        <v>62</v>
      </c>
      <c r="C163" t="s">
        <v>28</v>
      </c>
      <c r="D163" t="s">
        <v>29</v>
      </c>
      <c r="E163">
        <v>50273</v>
      </c>
      <c r="F163">
        <v>113237</v>
      </c>
      <c r="G163">
        <v>70272</v>
      </c>
      <c r="H163">
        <v>19999</v>
      </c>
      <c r="I163">
        <v>101192</v>
      </c>
      <c r="J163" t="str">
        <f>HYPERLINK("https://driffle.com/es/stellar-blade-global-pc-steam-account-p9979470","Abrir compra")</f>
        <v>Abrir compra</v>
      </c>
      <c r="K163" t="str">
        <f>HYPERLINK("https://store.steampowered.com/app/3489700/Stellar_Blade/","Abrir Steam")</f>
        <v>Abrir Steam</v>
      </c>
      <c r="L163" t="s">
        <v>30</v>
      </c>
      <c r="M163" t="s">
        <v>31</v>
      </c>
      <c r="N163" t="s">
        <v>32</v>
      </c>
      <c r="O163" t="s">
        <v>1310</v>
      </c>
      <c r="P163" t="s">
        <v>1311</v>
      </c>
      <c r="Q163" t="s">
        <v>32</v>
      </c>
      <c r="R163" t="s">
        <v>1312</v>
      </c>
      <c r="S163" t="s">
        <v>36</v>
      </c>
      <c r="T163" t="s">
        <v>36</v>
      </c>
      <c r="U163" t="s">
        <v>1313</v>
      </c>
      <c r="V163" t="s">
        <v>36</v>
      </c>
      <c r="W163" t="s">
        <v>36</v>
      </c>
      <c r="X163" t="s">
        <v>36</v>
      </c>
      <c r="Y163" t="s">
        <v>1314</v>
      </c>
      <c r="Z163" t="s">
        <v>36</v>
      </c>
    </row>
    <row r="164">
      <c r="A164" t="s">
        <v>1315</v>
      </c>
      <c r="B164" t="s">
        <v>1316</v>
      </c>
      <c r="C164" t="s">
        <v>32</v>
      </c>
      <c r="D164" t="s">
        <v>41</v>
      </c>
      <c r="E164">
        <v>69177</v>
      </c>
      <c r="F164">
        <v>84942</v>
      </c>
      <c r="G164">
        <v>84177</v>
      </c>
      <c r="H164">
        <v>15000</v>
      </c>
      <c r="I164">
        <v>121215</v>
      </c>
      <c r="J164" t="str">
        <f>HYPERLINK("https://driffle.com/es/street-fighter-6-years-12-fighter-edition-latam-pc-steam-digital-key-p9940168","Abrir compra")</f>
        <v>Abrir compra</v>
      </c>
      <c r="K164" t="str">
        <f>HYPERLINK("https://store.steampowered.com/app/1364780/Street_Fighter_6/","Abrir Steam")</f>
        <v>Abrir Steam</v>
      </c>
      <c r="L164" t="s">
        <v>30</v>
      </c>
      <c r="M164" t="s">
        <v>31</v>
      </c>
      <c r="N164" t="s">
        <v>32</v>
      </c>
      <c r="O164" t="s">
        <v>1317</v>
      </c>
      <c r="P164" t="s">
        <v>1318</v>
      </c>
      <c r="Q164" t="s">
        <v>32</v>
      </c>
      <c r="R164" t="s">
        <v>1319</v>
      </c>
      <c r="S164" t="s">
        <v>36</v>
      </c>
      <c r="T164" t="s">
        <v>36</v>
      </c>
      <c r="U164" t="s">
        <v>1320</v>
      </c>
      <c r="V164" t="s">
        <v>36</v>
      </c>
      <c r="W164" t="s">
        <v>1321</v>
      </c>
      <c r="X164" t="s">
        <v>1322</v>
      </c>
      <c r="Y164" t="s">
        <v>1323</v>
      </c>
      <c r="Z164" t="s">
        <v>36</v>
      </c>
    </row>
    <row r="165">
      <c r="A165" t="s">
        <v>1315</v>
      </c>
      <c r="B165" t="s">
        <v>52</v>
      </c>
      <c r="C165" t="s">
        <v>32</v>
      </c>
      <c r="D165" t="s">
        <v>41</v>
      </c>
      <c r="E165">
        <v>22949</v>
      </c>
      <c r="F165">
        <v>56609</v>
      </c>
      <c r="G165">
        <v>40654</v>
      </c>
      <c r="H165">
        <v>17705</v>
      </c>
      <c r="I165">
        <v>58542</v>
      </c>
      <c r="J165" t="str">
        <f>HYPERLINK("https://www.eneba.com/latam/steam-street-fighter-6-pc-steam-key-latam","Abrir compra")</f>
        <v>Abrir compra</v>
      </c>
      <c r="K165" t="str">
        <f>HYPERLINK("https://store.steampowered.com/app/1364780/Street_Fighter_6/","Abrir Steam")</f>
        <v>Abrir Steam</v>
      </c>
      <c r="L165" t="s">
        <v>42</v>
      </c>
      <c r="M165" t="s">
        <v>31</v>
      </c>
      <c r="N165" t="s">
        <v>32</v>
      </c>
      <c r="O165" t="s">
        <v>1324</v>
      </c>
      <c r="P165" t="s">
        <v>1325</v>
      </c>
      <c r="Q165" t="s">
        <v>32</v>
      </c>
      <c r="R165" t="s">
        <v>1326</v>
      </c>
      <c r="S165" t="s">
        <v>36</v>
      </c>
      <c r="T165" t="s">
        <v>1327</v>
      </c>
      <c r="U165" t="s">
        <v>36</v>
      </c>
      <c r="V165" t="s">
        <v>36</v>
      </c>
      <c r="W165" t="s">
        <v>1328</v>
      </c>
      <c r="X165" t="s">
        <v>1329</v>
      </c>
      <c r="Y165" t="s">
        <v>36</v>
      </c>
      <c r="Z165" t="s">
        <v>36</v>
      </c>
    </row>
    <row r="166">
      <c r="A166" t="s">
        <v>1330</v>
      </c>
      <c r="B166" t="s">
        <v>62</v>
      </c>
      <c r="C166" t="s">
        <v>28</v>
      </c>
      <c r="D166" t="s">
        <v>29</v>
      </c>
      <c r="E166">
        <v>22619</v>
      </c>
      <c r="F166">
        <v>39621</v>
      </c>
      <c r="G166">
        <v>37619</v>
      </c>
      <c r="H166">
        <v>15000</v>
      </c>
      <c r="I166">
        <v>54171</v>
      </c>
      <c r="J166" t="str">
        <f>HYPERLINK("https://driffle.com/es/subnautica-2-global-pc-steam-account-p9995025","Abrir compra")</f>
        <v>Abrir compra</v>
      </c>
      <c r="K166" t="str">
        <f>HYPERLINK("https://store.steampowered.com/app/1962700/Subnautica_2/","Abrir Steam")</f>
        <v>Abrir Steam</v>
      </c>
      <c r="L166" t="s">
        <v>30</v>
      </c>
      <c r="M166" t="s">
        <v>31</v>
      </c>
      <c r="N166" t="s">
        <v>32</v>
      </c>
      <c r="O166" t="s">
        <v>1331</v>
      </c>
      <c r="P166" t="s">
        <v>1332</v>
      </c>
      <c r="Q166" t="s">
        <v>32</v>
      </c>
      <c r="R166" t="s">
        <v>1333</v>
      </c>
      <c r="S166" t="s">
        <v>36</v>
      </c>
      <c r="T166" t="s">
        <v>36</v>
      </c>
      <c r="U166" t="s">
        <v>1334</v>
      </c>
      <c r="V166" t="s">
        <v>36</v>
      </c>
      <c r="W166" t="s">
        <v>1335</v>
      </c>
      <c r="X166" t="s">
        <v>36</v>
      </c>
      <c r="Y166" t="s">
        <v>1336</v>
      </c>
      <c r="Z166" t="s">
        <v>36</v>
      </c>
    </row>
    <row r="167">
      <c r="A167" t="s">
        <v>1337</v>
      </c>
      <c r="B167" t="s">
        <v>52</v>
      </c>
      <c r="C167" t="s">
        <v>32</v>
      </c>
      <c r="D167" t="s">
        <v>41</v>
      </c>
      <c r="E167">
        <v>32558</v>
      </c>
      <c r="F167">
        <v>60384</v>
      </c>
      <c r="G167">
        <v>67558</v>
      </c>
      <c r="H167">
        <v>35000</v>
      </c>
      <c r="I167">
        <v>97284</v>
      </c>
      <c r="J167" t="str">
        <f>HYPERLINK("https://www.eneba.com/latam/steam-tekken-8-pc-steam-key-global","Abrir compra")</f>
        <v>Abrir compra</v>
      </c>
      <c r="K167" t="str">
        <f>HYPERLINK("https://store.steampowered.com/app/1778820/TEKKEN_8/?curator_clanid=4777282","Abrir Steam")</f>
        <v>Abrir Steam</v>
      </c>
      <c r="L167" t="s">
        <v>42</v>
      </c>
      <c r="M167" t="s">
        <v>70</v>
      </c>
      <c r="N167" t="s">
        <v>32</v>
      </c>
      <c r="O167" t="s">
        <v>1338</v>
      </c>
      <c r="P167" t="s">
        <v>1339</v>
      </c>
      <c r="Q167" t="s">
        <v>32</v>
      </c>
      <c r="R167" t="s">
        <v>1340</v>
      </c>
      <c r="S167" t="s">
        <v>36</v>
      </c>
      <c r="T167" t="s">
        <v>1341</v>
      </c>
      <c r="U167" t="s">
        <v>1342</v>
      </c>
      <c r="V167" t="s">
        <v>1343</v>
      </c>
      <c r="W167" t="s">
        <v>1344</v>
      </c>
      <c r="X167" t="s">
        <v>1345</v>
      </c>
      <c r="Y167" t="s">
        <v>1346</v>
      </c>
      <c r="Z167" t="s">
        <v>1347</v>
      </c>
    </row>
    <row r="168">
      <c r="A168" t="s">
        <v>1337</v>
      </c>
      <c r="B168" t="s">
        <v>62</v>
      </c>
      <c r="C168" t="s">
        <v>28</v>
      </c>
      <c r="D168" t="s">
        <v>29</v>
      </c>
      <c r="E168">
        <v>51808</v>
      </c>
      <c r="F168">
        <v>60384</v>
      </c>
      <c r="G168">
        <v>66808</v>
      </c>
      <c r="H168">
        <v>15000</v>
      </c>
      <c r="I168">
        <v>96204</v>
      </c>
      <c r="J168" t="str">
        <f>HYPERLINK("https://driffle.com/es/tekken-8-global-pc-steam-account-p9997873","Abrir compra")</f>
        <v>Abrir compra</v>
      </c>
      <c r="K168" t="str">
        <f>HYPERLINK("https://store.steampowered.com/app/1778820/TEKKEN_8/?curator_clanid=4777282","Abrir Steam")</f>
        <v>Abrir Steam</v>
      </c>
      <c r="L168" t="s">
        <v>30</v>
      </c>
      <c r="M168" t="s">
        <v>70</v>
      </c>
      <c r="N168" t="s">
        <v>32</v>
      </c>
      <c r="O168" t="s">
        <v>1348</v>
      </c>
      <c r="P168" t="s">
        <v>1349</v>
      </c>
      <c r="Q168" t="s">
        <v>32</v>
      </c>
      <c r="R168" t="s">
        <v>1350</v>
      </c>
      <c r="S168" t="s">
        <v>36</v>
      </c>
      <c r="T168" t="s">
        <v>36</v>
      </c>
      <c r="U168" t="s">
        <v>1351</v>
      </c>
      <c r="V168" t="s">
        <v>36</v>
      </c>
      <c r="W168" t="s">
        <v>1352</v>
      </c>
      <c r="X168" t="s">
        <v>36</v>
      </c>
      <c r="Y168" t="s">
        <v>1353</v>
      </c>
      <c r="Z168" t="s">
        <v>36</v>
      </c>
    </row>
    <row r="169">
      <c r="A169" t="s">
        <v>1354</v>
      </c>
      <c r="B169" t="s">
        <v>52</v>
      </c>
      <c r="C169" t="s">
        <v>32</v>
      </c>
      <c r="D169" t="s">
        <v>41</v>
      </c>
      <c r="E169">
        <v>15767</v>
      </c>
      <c r="F169">
        <v>45284</v>
      </c>
      <c r="G169">
        <v>33963</v>
      </c>
      <c r="H169">
        <v>18196</v>
      </c>
      <c r="I169">
        <v>48907</v>
      </c>
      <c r="J169" t="str">
        <f>HYPERLINK("https://www.eneba.com/latam/steam-the-elder-scrolls-v-skyrim-special-edition-steam-key-latam","Abrir compra")</f>
        <v>Abrir compra</v>
      </c>
      <c r="K169" t="str">
        <f>HYPERLINK("https://store.steampowered.com/app/489830/The_Elder_Scrolls_V_Skyrim_Special_Edition/","Abrir Steam")</f>
        <v>Abrir Steam</v>
      </c>
      <c r="L169" t="s">
        <v>42</v>
      </c>
      <c r="M169" t="s">
        <v>31</v>
      </c>
      <c r="N169" t="s">
        <v>32</v>
      </c>
      <c r="O169" t="s">
        <v>1355</v>
      </c>
      <c r="P169" t="s">
        <v>1356</v>
      </c>
      <c r="Q169" t="s">
        <v>32</v>
      </c>
      <c r="R169" t="s">
        <v>1357</v>
      </c>
      <c r="S169" t="s">
        <v>36</v>
      </c>
      <c r="T169" t="s">
        <v>1358</v>
      </c>
      <c r="U169" t="s">
        <v>1359</v>
      </c>
      <c r="V169" t="s">
        <v>1360</v>
      </c>
      <c r="W169" t="s">
        <v>1361</v>
      </c>
      <c r="X169" t="s">
        <v>1362</v>
      </c>
      <c r="Y169" t="s">
        <v>1363</v>
      </c>
      <c r="Z169" t="s">
        <v>1364</v>
      </c>
    </row>
    <row r="170">
      <c r="A170" t="s">
        <v>1354</v>
      </c>
      <c r="B170" t="s">
        <v>62</v>
      </c>
      <c r="C170" t="s">
        <v>28</v>
      </c>
      <c r="D170" t="s">
        <v>29</v>
      </c>
      <c r="E170">
        <v>26234</v>
      </c>
      <c r="F170">
        <v>45284</v>
      </c>
      <c r="G170">
        <v>41234</v>
      </c>
      <c r="H170">
        <v>15000</v>
      </c>
      <c r="I170">
        <v>59377</v>
      </c>
      <c r="J170" t="str">
        <f>HYPERLINK("https://driffle.com/es/the-elder-scrolls-v-skyrim-special-edition-global-pc-steam-account-p9997153","Abrir compra")</f>
        <v>Abrir compra</v>
      </c>
      <c r="K170" t="str">
        <f>HYPERLINK("https://store.steampowered.com/app/489830/The_Elder_Scrolls_V_Skyrim_Special_Edition/","Abrir Steam")</f>
        <v>Abrir Steam</v>
      </c>
      <c r="L170" t="s">
        <v>30</v>
      </c>
      <c r="M170" t="s">
        <v>70</v>
      </c>
      <c r="N170" t="s">
        <v>32</v>
      </c>
      <c r="O170" t="s">
        <v>1365</v>
      </c>
      <c r="P170" t="s">
        <v>1366</v>
      </c>
      <c r="Q170" t="s">
        <v>32</v>
      </c>
      <c r="R170" t="s">
        <v>1367</v>
      </c>
      <c r="S170" t="s">
        <v>36</v>
      </c>
      <c r="T170" t="s">
        <v>36</v>
      </c>
      <c r="U170" t="s">
        <v>1368</v>
      </c>
      <c r="V170" t="s">
        <v>36</v>
      </c>
      <c r="W170" t="s">
        <v>1369</v>
      </c>
      <c r="X170" t="s">
        <v>36</v>
      </c>
      <c r="Y170" t="s">
        <v>1370</v>
      </c>
      <c r="Z170" t="s">
        <v>36</v>
      </c>
    </row>
    <row r="171">
      <c r="A171" t="s">
        <v>1371</v>
      </c>
      <c r="B171" t="s">
        <v>52</v>
      </c>
      <c r="C171" t="s">
        <v>32</v>
      </c>
      <c r="D171" t="s">
        <v>41</v>
      </c>
      <c r="E171">
        <v>17319</v>
      </c>
      <c r="F171">
        <v>94361</v>
      </c>
      <c r="G171">
        <v>44319</v>
      </c>
      <c r="H171">
        <v>27000</v>
      </c>
      <c r="I171">
        <v>63819</v>
      </c>
      <c r="J171" t="str">
        <f>HYPERLINK("https://driffle.com/es/uncharted-legacy-of-thieves-collection-latam-pc-steam-digital-key-p9975841","Abrir compra")</f>
        <v>Abrir compra</v>
      </c>
      <c r="K171" t="str">
        <f>HYPERLINK("https://store.steampowered.com/app/1659420/UNCHARTED_Coleccin_Legado_de_los_Ladrones/?curator_clanid=4777282","Abrir Steam")</f>
        <v>Abrir Steam</v>
      </c>
      <c r="L171" t="s">
        <v>30</v>
      </c>
      <c r="M171" t="s">
        <v>31</v>
      </c>
      <c r="N171" t="s">
        <v>32</v>
      </c>
      <c r="O171" t="s">
        <v>1372</v>
      </c>
      <c r="P171" t="s">
        <v>1373</v>
      </c>
      <c r="Q171" t="s">
        <v>32</v>
      </c>
      <c r="R171" t="s">
        <v>1374</v>
      </c>
      <c r="S171" t="s">
        <v>36</v>
      </c>
      <c r="T171" t="s">
        <v>1375</v>
      </c>
      <c r="U171" t="s">
        <v>1376</v>
      </c>
      <c r="V171" t="s">
        <v>943</v>
      </c>
      <c r="W171" t="s">
        <v>1377</v>
      </c>
      <c r="X171" t="s">
        <v>1378</v>
      </c>
      <c r="Y171" t="s">
        <v>1379</v>
      </c>
      <c r="Z171" t="s">
        <v>1380</v>
      </c>
    </row>
    <row r="172">
      <c r="A172" t="s">
        <v>1381</v>
      </c>
      <c r="B172" t="s">
        <v>52</v>
      </c>
      <c r="C172" t="s">
        <v>32</v>
      </c>
      <c r="D172" t="s">
        <v>41</v>
      </c>
      <c r="E172">
        <v>34456</v>
      </c>
      <c r="F172">
        <v>113237</v>
      </c>
      <c r="G172">
        <v>61456</v>
      </c>
      <c r="H172">
        <v>27000</v>
      </c>
      <c r="I172">
        <v>88497</v>
      </c>
      <c r="J172" t="str">
        <f>HYPERLINK("https://www.eneba.com/latam/steam-until-dawn-pc-steam-key-latam","Abrir compra")</f>
        <v>Abrir compra</v>
      </c>
      <c r="K172" t="str">
        <f>HYPERLINK("https://store.steampowered.com/app/2172010/Until_Dawn/?curator_clanid=4777282","Abrir Steam")</f>
        <v>Abrir Steam</v>
      </c>
      <c r="L172" t="s">
        <v>42</v>
      </c>
      <c r="M172" t="s">
        <v>31</v>
      </c>
      <c r="N172" t="s">
        <v>32</v>
      </c>
      <c r="O172" t="s">
        <v>1382</v>
      </c>
      <c r="P172" t="s">
        <v>1383</v>
      </c>
      <c r="Q172" t="s">
        <v>32</v>
      </c>
      <c r="R172" t="s">
        <v>1384</v>
      </c>
      <c r="S172" t="s">
        <v>36</v>
      </c>
      <c r="T172" t="s">
        <v>1385</v>
      </c>
      <c r="U172" t="s">
        <v>1386</v>
      </c>
      <c r="V172" t="s">
        <v>36</v>
      </c>
      <c r="W172" t="s">
        <v>1387</v>
      </c>
      <c r="X172" t="s">
        <v>1388</v>
      </c>
      <c r="Y172" t="s">
        <v>1389</v>
      </c>
      <c r="Z172" t="s">
        <v>36</v>
      </c>
    </row>
    <row r="173">
      <c r="A173" t="s">
        <v>1390</v>
      </c>
      <c r="B173" t="s">
        <v>1391</v>
      </c>
      <c r="C173" t="s">
        <v>32</v>
      </c>
      <c r="D173" t="s">
        <v>41</v>
      </c>
      <c r="E173">
        <v>195379</v>
      </c>
      <c r="F173">
        <v>245369</v>
      </c>
      <c r="G173">
        <v>210379</v>
      </c>
      <c r="H173">
        <v>15000</v>
      </c>
      <c r="I173">
        <v>302946</v>
      </c>
      <c r="J173" t="str">
        <f>HYPERLINK("https://driffle.com/es/wwe-2k25-the-bloodline-edition-global-pc-steam-digital-key-p9930284","Abrir compra")</f>
        <v>Abrir compra</v>
      </c>
      <c r="K173" t="str">
        <f>HYPERLINK("https://store.steampowered.com/app/2878960/WWE_2K25/","Abrir Steam")</f>
        <v>Abrir Steam</v>
      </c>
      <c r="L173" t="s">
        <v>30</v>
      </c>
      <c r="M173" t="s">
        <v>70</v>
      </c>
      <c r="N173" t="s">
        <v>32</v>
      </c>
      <c r="O173" t="s">
        <v>1392</v>
      </c>
      <c r="P173" t="s">
        <v>1393</v>
      </c>
      <c r="Q173" t="s">
        <v>32</v>
      </c>
      <c r="R173" t="s">
        <v>1394</v>
      </c>
      <c r="S173" t="s">
        <v>36</v>
      </c>
      <c r="T173" t="s">
        <v>36</v>
      </c>
      <c r="U173" t="s">
        <v>1395</v>
      </c>
      <c r="V173" t="s">
        <v>36</v>
      </c>
      <c r="W173" t="s">
        <v>1396</v>
      </c>
      <c r="X173" t="s">
        <v>36</v>
      </c>
      <c r="Y173" t="s">
        <v>1397</v>
      </c>
      <c r="Z173" t="s">
        <v>36</v>
      </c>
    </row>
    <row r="174">
      <c r="A174" t="s">
        <v>1390</v>
      </c>
      <c r="B174" t="s">
        <v>52</v>
      </c>
      <c r="C174" t="s">
        <v>32</v>
      </c>
      <c r="D174" t="s">
        <v>41</v>
      </c>
      <c r="E174">
        <v>32178</v>
      </c>
      <c r="F174">
        <v>113237</v>
      </c>
      <c r="G174">
        <v>59178</v>
      </c>
      <c r="H174">
        <v>27000</v>
      </c>
      <c r="I174">
        <v>85216</v>
      </c>
      <c r="J174" t="str">
        <f>HYPERLINK("https://driffle.com/es/wwe-2k25-global-pc-steam-digital-key-p9930153","Abrir compra")</f>
        <v>Abrir compra</v>
      </c>
      <c r="K174" t="str">
        <f>HYPERLINK("https://store.steampowered.com/app/2878960/WWE_2K25/","Abrir Steam")</f>
        <v>Abrir Steam</v>
      </c>
      <c r="L174" t="s">
        <v>30</v>
      </c>
      <c r="M174" t="s">
        <v>70</v>
      </c>
      <c r="N174" t="s">
        <v>32</v>
      </c>
      <c r="O174" t="s">
        <v>1398</v>
      </c>
      <c r="P174" t="s">
        <v>1399</v>
      </c>
      <c r="Q174" t="s">
        <v>32</v>
      </c>
      <c r="R174" t="s">
        <v>1400</v>
      </c>
      <c r="S174" t="s">
        <v>36</v>
      </c>
      <c r="T174" t="s">
        <v>1401</v>
      </c>
      <c r="U174" t="s">
        <v>1402</v>
      </c>
      <c r="V174" t="s">
        <v>36</v>
      </c>
      <c r="W174" t="s">
        <v>1403</v>
      </c>
      <c r="X174" t="s">
        <v>1404</v>
      </c>
      <c r="Y174" t="s">
        <v>1405</v>
      </c>
      <c r="Z174" t="s">
        <v>36</v>
      </c>
    </row>
    <row r="175">
      <c r="A175" t="s">
        <v>1406</v>
      </c>
      <c r="B175" t="s">
        <v>52</v>
      </c>
      <c r="C175" t="s">
        <v>32</v>
      </c>
      <c r="D175" t="s">
        <v>41</v>
      </c>
      <c r="E175">
        <v>40070</v>
      </c>
      <c r="F175">
        <v>132113</v>
      </c>
      <c r="G175">
        <v>67070</v>
      </c>
      <c r="H175">
        <v>27000</v>
      </c>
      <c r="I175">
        <v>96581</v>
      </c>
      <c r="J175" t="str">
        <f>HYPERLINK("https://www.eneba.com/latam/steam-wwe-2k26-steam-key-pc-global","Abrir compra")</f>
        <v>Abrir compra</v>
      </c>
      <c r="K175" t="str">
        <f>HYPERLINK("https://store.steampowered.com/app/3717070/WWE_2K26/","Abrir Steam")</f>
        <v>Abrir Steam</v>
      </c>
      <c r="L175" t="s">
        <v>42</v>
      </c>
      <c r="M175" t="s">
        <v>70</v>
      </c>
      <c r="N175" t="s">
        <v>32</v>
      </c>
      <c r="O175" t="s">
        <v>1407</v>
      </c>
      <c r="P175" t="s">
        <v>1408</v>
      </c>
      <c r="Q175" t="s">
        <v>32</v>
      </c>
      <c r="R175" t="s">
        <v>1409</v>
      </c>
      <c r="S175" t="s">
        <v>36</v>
      </c>
      <c r="T175" t="s">
        <v>1410</v>
      </c>
      <c r="U175" t="s">
        <v>36</v>
      </c>
      <c r="V175" t="s">
        <v>36</v>
      </c>
      <c r="W175" t="s">
        <v>1411</v>
      </c>
      <c r="X175" t="s">
        <v>1412</v>
      </c>
      <c r="Y175" t="s">
        <v>36</v>
      </c>
      <c r="Z175" t="s">
        <v>36</v>
      </c>
    </row>
  </sheetData>
</worksheet>
</file>