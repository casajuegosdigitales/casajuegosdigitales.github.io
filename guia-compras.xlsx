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<sst xmlns="http://schemas.openxmlformats.org/spreadsheetml/2006/main" count="1260" uniqueCount="1260">
  <si>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</si>
  <si>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</si>
  <si>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</si>
  <si>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</si>
  <si>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</si>
  <si>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</si>
  <si>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</si>
  <si>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</si>
  <si>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</si>
  <si>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</si>
  <si>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</si>
  <si>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</si>
  <si>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</si>
  <si>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</si>
  <si>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</si>
  <si>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</si>
  <si>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</si>
  <si>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</si>
  <si>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</si>
  <si>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</si>
  <si>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</si>
  <si>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</si>
  <si>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</si>
  <si>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</si>
  <si>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</si>
  <si>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</si>
  <si>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</si>
  <si>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</si>
  <si>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</si>
  <si>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</si>
  <si>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</si>
  <si>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</si>
  <si>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</si>
  <si>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</si>
  <si>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2026-07-25T13:16:26.344Z</t>
  </si>
  <si>
    <t>driffle:85691</t>
  </si>
  <si>
    <t/>
  </si>
  <si>
    <t>85691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</si>
  <si>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</si>
  <si>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</si>
  <si>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</si>
  <si>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</si>
  <si>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</si>
  <si>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</si>
  <si>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2026-07-25T13:15:52.937Z</t>
  </si>
  <si>
    <t>eneba:82743 | driffle:111916</t>
  </si>
  <si>
    <t>82743</t>
  </si>
  <si>
    <t>111916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</si>
  <si>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</si>
  <si>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</si>
  <si>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</si>
  <si>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</si>
  <si>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</si>
  <si>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</si>
  <si>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2026-07-25T13:12:50.449Z</t>
  </si>
  <si>
    <t>driffle:72875 | eneba:73067</t>
  </si>
  <si>
    <t>73067</t>
  </si>
  <si>
    <t>72875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</si>
  <si>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</si>
  <si>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</si>
  <si>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</si>
  <si>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</si>
  <si>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</si>
  <si>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</si>
  <si>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2026-07-25T13:13:24.066Z</t>
  </si>
  <si>
    <t>driffle:47227</t>
  </si>
  <si>
    <t>47227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</si>
  <si>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</si>
  <si>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</si>
  <si>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</si>
  <si>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</si>
  <si>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</si>
  <si>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2026-07-25T13:16:59.784Z</t>
  </si>
  <si>
    <t>driffle:7049</t>
  </si>
  <si>
    <t>7049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</si>
  <si>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</si>
  <si>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</si>
  <si>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</si>
  <si>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</si>
  <si>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2026-07-25T13:22:25.963Z</t>
  </si>
  <si>
    <t>driffle:54548 | eneba:54035</t>
  </si>
  <si>
    <t>54035</t>
  </si>
  <si>
    <t>54548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</si>
  <si>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</si>
  <si>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</si>
  <si>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</si>
  <si>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</si>
  <si>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</si>
  <si>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2026-07-25T13:19:28.400Z</t>
  </si>
  <si>
    <t>driffle:35356 | eneba:37695</t>
  </si>
  <si>
    <t>37695</t>
  </si>
  <si>
    <t>35356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</si>
  <si>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</si>
  <si>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</si>
  <si>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</si>
  <si>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</si>
  <si>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</si>
  <si>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</si>
  <si>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2026-07-25T13:23:32.297Z</t>
  </si>
  <si>
    <t>driffle:70840 | eneba:83320</t>
  </si>
  <si>
    <t>83320</t>
  </si>
  <si>
    <t>70840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</si>
  <si>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</si>
  <si>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</si>
  <si>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</si>
  <si>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</si>
  <si>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2026-07-25T13:24:05.581Z</t>
  </si>
  <si>
    <t>driffle:11919</t>
  </si>
  <si>
    <t>11919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</si>
  <si>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</si>
  <si>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</si>
  <si>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</si>
  <si>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</si>
  <si>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2026-07-25T13:24:38.997Z</t>
  </si>
  <si>
    <t>driffle:45433</t>
  </si>
  <si>
    <t>45433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</si>
  <si>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</si>
  <si>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</si>
  <si>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</si>
  <si>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</si>
  <si>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2026-07-25T13:28:34.379Z</t>
  </si>
  <si>
    <t>driffle:37375</t>
  </si>
  <si>
    <t>37375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</si>
  <si>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</si>
  <si>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</si>
  <si>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</si>
  <si>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</si>
  <si>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2026-07-25T13:32:34.524Z</t>
  </si>
  <si>
    <t>driffle:20426</t>
  </si>
  <si>
    <t>20426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</si>
  <si>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</si>
  <si>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</si>
  <si>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</si>
  <si>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Steam Account</t>
  </si>
  <si>
    <t>2026-07-25T13:35:37.201Z</t>
  </si>
  <si>
    <t>driffle:30086</t>
  </si>
  <si>
    <t>30086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</si>
  <si>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</si>
  <si>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</si>
  <si>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</si>
  <si>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</si>
  <si>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2026-07-25T13:38:39.549Z</t>
  </si>
  <si>
    <t>driffle:77361</t>
  </si>
  <si>
    <t>77361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</si>
  <si>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</si>
  <si>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</si>
  <si>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</si>
  <si>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</si>
  <si>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2026-07-25T13:41:08.354Z</t>
  </si>
  <si>
    <t>driffle:103265 | eneba:83656</t>
  </si>
  <si>
    <t>83656</t>
  </si>
  <si>
    <t>103265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</si>
  <si>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</si>
  <si>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</si>
  <si>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</si>
  <si>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</si>
  <si>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</si>
  <si>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2026-07-25T13:41:41.864Z</t>
  </si>
  <si>
    <t>driffle:48220</t>
  </si>
  <si>
    <t>48220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</si>
  <si>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</si>
  <si>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</si>
  <si>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</si>
  <si>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</si>
  <si>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2026-07-25T13:48:18.899Z</t>
  </si>
  <si>
    <t>driffle:67172 | eneba:66050</t>
  </si>
  <si>
    <t>66050</t>
  </si>
  <si>
    <t>67172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</si>
  <si>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</si>
  <si>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</si>
  <si>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</si>
  <si>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</si>
  <si>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2026-07-25T13:47:12.837Z</t>
  </si>
  <si>
    <t>driffle:43398 | eneba:46810</t>
  </si>
  <si>
    <t>46810</t>
  </si>
  <si>
    <t>43398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</si>
  <si>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</si>
  <si>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</si>
  <si>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</si>
  <si>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</si>
  <si>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</si>
  <si>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</si>
  <si>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2026-07-25T13:49:25.169Z</t>
  </si>
  <si>
    <t>driffle:89087 | eneba:87261</t>
  </si>
  <si>
    <t>87261</t>
  </si>
  <si>
    <t>89087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</si>
  <si>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</si>
  <si>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</si>
  <si>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</si>
  <si>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</si>
  <si>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</si>
  <si>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2026-07-25T13:50:26.901Z</t>
  </si>
  <si>
    <t>driffle:43655</t>
  </si>
  <si>
    <t>43655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</si>
  <si>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</si>
  <si>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</si>
  <si>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</si>
  <si>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</si>
  <si>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</si>
  <si>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2026-07-25T13:51:28.723Z</t>
  </si>
  <si>
    <t>driffle:29301</t>
  </si>
  <si>
    <t>29301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</si>
  <si>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</si>
  <si>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</si>
  <si>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</si>
  <si>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</si>
  <si>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2026-07-25T13:58:07.254Z</t>
  </si>
  <si>
    <t>driffle:56438</t>
  </si>
  <si>
    <t>56438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</si>
  <si>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</si>
  <si>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</si>
  <si>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</si>
  <si>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2026-07-25T13:57:33.788Z</t>
  </si>
  <si>
    <t>driffle:62686 | eneba:62862</t>
  </si>
  <si>
    <t>62862</t>
  </si>
  <si>
    <t>62686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</si>
  <si>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</si>
  <si>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</si>
  <si>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</si>
  <si>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</si>
  <si>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</si>
  <si>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2026-07-25T13:54:31.306Z</t>
  </si>
  <si>
    <t>driffle:42261 | eneba:38464</t>
  </si>
  <si>
    <t>38464</t>
  </si>
  <si>
    <t>42261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</si>
  <si>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</si>
  <si>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</si>
  <si>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</si>
  <si>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</si>
  <si>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</si>
  <si>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2026-07-25T13:55:04.902Z</t>
  </si>
  <si>
    <t>driffle:36301</t>
  </si>
  <si>
    <t>36301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</si>
  <si>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</si>
  <si>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</si>
  <si>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</si>
  <si>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</si>
  <si>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2026-07-25T14:04:12.250Z</t>
  </si>
  <si>
    <t>driffle:63744</t>
  </si>
  <si>
    <t>63744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</si>
  <si>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</si>
  <si>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</si>
  <si>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</si>
  <si>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2026-07-25T14:03:39.027Z</t>
  </si>
  <si>
    <t>driffle:60844 | eneba:63231</t>
  </si>
  <si>
    <t>63231</t>
  </si>
  <si>
    <t>60844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</si>
  <si>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</si>
  <si>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</si>
  <si>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</si>
  <si>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</si>
  <si>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</si>
  <si>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2026-07-25T14:00:35.999Z</t>
  </si>
  <si>
    <t>eneba:54660 | driffle:67492</t>
  </si>
  <si>
    <t>54660</t>
  </si>
  <si>
    <t>67492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</si>
  <si>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</si>
  <si>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</si>
  <si>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</si>
  <si>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</si>
  <si>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</si>
  <si>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2026-07-25T14:01:09.679Z</t>
  </si>
  <si>
    <t>driffle:53010</t>
  </si>
  <si>
    <t>53010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</si>
  <si>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</si>
  <si>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</si>
  <si>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</si>
  <si>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</si>
  <si>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2026-07-25T14:04:50.083Z</t>
  </si>
  <si>
    <t>driffle:23021</t>
  </si>
  <si>
    <t>23021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</si>
  <si>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</si>
  <si>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</si>
  <si>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</si>
  <si>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</si>
  <si>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2026-07-25T14:05:24.073Z</t>
  </si>
  <si>
    <t>driffle:6056</t>
  </si>
  <si>
    <t>6056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</si>
  <si>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</si>
  <si>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</si>
  <si>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</si>
  <si>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</si>
  <si>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2026-07-25T14:07:18.865Z</t>
  </si>
  <si>
    <t>driffle:13072</t>
  </si>
  <si>
    <t>13072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</si>
  <si>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</si>
  <si>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</si>
  <si>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</si>
  <si>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</si>
  <si>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2026-07-25T14:07:52.300Z</t>
  </si>
  <si>
    <t>driffle:32056</t>
  </si>
  <si>
    <t>32056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</si>
  <si>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</si>
  <si>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</si>
  <si>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</si>
  <si>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</si>
  <si>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</si>
  <si>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2026-07-25T14:12:10.701Z</t>
  </si>
  <si>
    <t>eneba:109048 | driffle:117475</t>
  </si>
  <si>
    <t>109048</t>
  </si>
  <si>
    <t>117475</t>
  </si>
  <si>
    <t>https://www.eneba.com/latam/steam-dayz-cool-edition-steam-key-pc-global</t>
  </si>
  <si>
    <t>https://driffle.com/es/dayz-cool-edition-global-pc-steam-digital-key-p9980962</t>
  </si>
  <si>
    <t>DayZ (LATAM) (PC) - Steam - Digital Key</t>
  </si>
  <si>
    <t>2026-07-25T14:08:30.089Z</t>
  </si>
  <si>
    <t>driffle:29188</t>
  </si>
  <si>
    <t>29188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</si>
  <si>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</si>
  <si>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</si>
  <si>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</si>
  <si>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</si>
  <si>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2026-07-25T14:09:03.724Z</t>
  </si>
  <si>
    <t>driffle:18840</t>
  </si>
  <si>
    <t>18840</t>
  </si>
  <si>
    <t>https://www.kinguin.net/es/category/133282/dayz-pc-steam-account</t>
  </si>
  <si>
    <t>https://driffle.com/es/dayz-global-pc-steam-account-p9941452</t>
  </si>
  <si>
    <t>Dead by Daylight</t>
  </si>
  <si>
    <t>kinguin</t>
  </si>
  <si>
    <t>cuenta</t>
  </si>
  <si>
    <t>Dead by Daylight Steam Account</t>
  </si>
  <si>
    <t>2026-07-25T14:13:22.299Z</t>
  </si>
  <si>
    <t>kinguin:5879 | driffle:5975</t>
  </si>
  <si>
    <t>5879</t>
  </si>
  <si>
    <t>5975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</si>
  <si>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</si>
  <si>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</si>
  <si>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</si>
  <si>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</si>
  <si>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2026-07-25T14:14:28.506Z</t>
  </si>
  <si>
    <t>eneba:87645 | driffle:89952</t>
  </si>
  <si>
    <t>87645</t>
  </si>
  <si>
    <t>89952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</si>
  <si>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</si>
  <si>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</si>
  <si>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</si>
  <si>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</si>
  <si>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2026-07-25T14:14:34.262Z</t>
  </si>
  <si>
    <t>driffle:47724</t>
  </si>
  <si>
    <t>47724</t>
  </si>
  <si>
    <t>https://driffle.com/es/death-stranding-2-on-the-beach-global-pc-steam-account-p9986853</t>
  </si>
  <si>
    <t>Detroit: Become Human</t>
  </si>
  <si>
    <t>Detroit: Become Human Código de Steam LATAM</t>
  </si>
  <si>
    <t>2026-07-25T14:20:09.889Z</t>
  </si>
  <si>
    <t>driffle:9003 | loaded:10878 | eneba:8154</t>
  </si>
  <si>
    <t>8154</t>
  </si>
  <si>
    <t>9003</t>
  </si>
  <si>
    <t>10878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</si>
  <si>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</si>
  <si>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</si>
  <si>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</si>
  <si>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</si>
  <si>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</si>
  <si>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2026-07-25T14:20:19.704Z</t>
  </si>
  <si>
    <t>driffle:4341 | kinguin:4566</t>
  </si>
  <si>
    <t>4566</t>
  </si>
  <si>
    <t>4341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</si>
  <si>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</si>
  <si>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</si>
  <si>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</si>
  <si>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</si>
  <si>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</si>
  <si>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2026-07-25T14:16:30.249Z</t>
  </si>
  <si>
    <t>driffle:85963 | kinguin:90321</t>
  </si>
  <si>
    <t>90321</t>
  </si>
  <si>
    <t>85963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</si>
  <si>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</si>
  <si>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</si>
  <si>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</si>
  <si>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2026-07-25T14:16:20.532Z</t>
  </si>
  <si>
    <t>driffle:37615</t>
  </si>
  <si>
    <t>37615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</si>
  <si>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</si>
  <si>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</si>
  <si>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</si>
  <si>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</si>
  <si>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2026-07-25T14:20:53.878Z</t>
  </si>
  <si>
    <t>driffle:11358</t>
  </si>
  <si>
    <t>11358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</si>
  <si>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</si>
  <si>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</si>
  <si>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</si>
  <si>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PC Steam Account</t>
  </si>
  <si>
    <t>2026-07-25T14:17:50.551Z</t>
  </si>
  <si>
    <t>kinguin:114415</t>
  </si>
  <si>
    <t>114415</t>
  </si>
  <si>
    <t>https://www.kinguin.net/es/category/273307/dragon-ball-sparking-zero-deluxe-edition-pc-steam-account</t>
  </si>
  <si>
    <t>DRAGON BALL: Sparking! ZERO (PC) Código de Steam LATAM</t>
  </si>
  <si>
    <t>2026-07-25T14:17:03.152Z</t>
  </si>
  <si>
    <t>eneba:78354</t>
  </si>
  <si>
    <t>78354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</si>
  <si>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</si>
  <si>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</si>
  <si>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</si>
  <si>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2026-07-25T14:17:12.854Z</t>
  </si>
  <si>
    <t>kinguin:37471 | driffle:38096</t>
  </si>
  <si>
    <t>37471</t>
  </si>
  <si>
    <t>38096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</si>
  <si>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</si>
  <si>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</si>
  <si>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</si>
  <si>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</si>
  <si>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2026-07-25T14:18:23.175Z</t>
  </si>
  <si>
    <t>eneba:173609</t>
  </si>
  <si>
    <t>173609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</si>
  <si>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</si>
  <si>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</si>
  <si>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</si>
  <si>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2026-07-25T14:18:57.548Z</t>
  </si>
  <si>
    <t>driffle:128657</t>
  </si>
  <si>
    <t>128657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</si>
  <si>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</si>
  <si>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</si>
  <si>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</si>
  <si>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Deluxe Edition - CD Key LATAM (Steam)</t>
  </si>
  <si>
    <t>Dying Light The Beast Deluxe Edition (Global) (PC) - Steam - Digital Key</t>
  </si>
  <si>
    <t>2026-07-25T14:24:32.112Z</t>
  </si>
  <si>
    <t>driffle:79812 | eneba:87726</t>
  </si>
  <si>
    <t>87726</t>
  </si>
  <si>
    <t>79812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</si>
  <si>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</si>
  <si>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</si>
  <si>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</si>
  <si>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</si>
  <si>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</si>
  <si>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2026-07-25T14:25:05.336Z</t>
  </si>
  <si>
    <t>driffle:69222</t>
  </si>
  <si>
    <t>69222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</si>
  <si>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</si>
  <si>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</si>
  <si>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</si>
  <si>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2026-07-25T14:22:37.233Z</t>
  </si>
  <si>
    <t>driffle:62654 | loaded:65025 | eneba:64320</t>
  </si>
  <si>
    <t>64320</t>
  </si>
  <si>
    <t>62654</t>
  </si>
  <si>
    <t>65025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</si>
  <si>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</si>
  <si>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</si>
  <si>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</si>
  <si>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</si>
  <si>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</si>
  <si>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2026-07-25T14:23:10.718Z</t>
  </si>
  <si>
    <t>driffle:34075</t>
  </si>
  <si>
    <t>34075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</si>
  <si>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</si>
  <si>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</si>
  <si>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</si>
  <si>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</si>
  <si>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2026-07-25T14:25:49.667Z</t>
  </si>
  <si>
    <t>driffle:102512 | loaded:63423 | eneba:17622</t>
  </si>
  <si>
    <t>17622</t>
  </si>
  <si>
    <t>102512</t>
  </si>
  <si>
    <t>63423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</si>
  <si>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</si>
  <si>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</si>
  <si>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</si>
  <si>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</si>
  <si>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</si>
  <si>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</si>
  <si>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2026-07-25T14:28:27.810Z</t>
  </si>
  <si>
    <t>driffle:3412</t>
  </si>
  <si>
    <t>3412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</si>
  <si>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</si>
  <si>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</si>
  <si>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</si>
  <si>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</si>
  <si>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2026-07-25T14:29:06.572Z</t>
  </si>
  <si>
    <t>driffle:14306</t>
  </si>
  <si>
    <t>14306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</si>
  <si>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</si>
  <si>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</si>
  <si>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</si>
  <si>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 (PC) Steam Key LATAM</t>
  </si>
  <si>
    <t>2026-07-25T14:29:44.337Z</t>
  </si>
  <si>
    <t>eneba:92564</t>
  </si>
  <si>
    <t>92564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</si>
  <si>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</si>
  <si>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</si>
  <si>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</si>
  <si>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</si>
  <si>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2026-07-25T14:30:17.746Z</t>
  </si>
  <si>
    <t>driffle:50912</t>
  </si>
  <si>
    <t>50912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</si>
  <si>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</si>
  <si>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</si>
  <si>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</si>
  <si>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</si>
  <si>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2026-07-25T14:30:55.691Z</t>
  </si>
  <si>
    <t>driffle:100702</t>
  </si>
  <si>
    <t>100702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</si>
  <si>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</si>
  <si>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</si>
  <si>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</si>
  <si>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Steam Key (PC) LATAM</t>
  </si>
  <si>
    <t>2026-07-25T14:32:06.428Z</t>
  </si>
  <si>
    <t>eneba:45401 | driffle:51136</t>
  </si>
  <si>
    <t>45401</t>
  </si>
  <si>
    <t>51136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</si>
  <si>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</si>
  <si>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</si>
  <si>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</si>
  <si>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</si>
  <si>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2026-07-25T14:32:39.593Z</t>
  </si>
  <si>
    <t>driffle:33193</t>
  </si>
  <si>
    <t>33193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</si>
  <si>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</si>
  <si>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</si>
  <si>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</si>
  <si>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</si>
  <si>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</si>
  <si>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2026-07-25T14:34:47.399Z</t>
  </si>
  <si>
    <t>driffle:45417</t>
  </si>
  <si>
    <t>45417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</si>
  <si>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</si>
  <si>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</si>
  <si>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</si>
  <si>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</si>
  <si>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2026-07-25T14:37:17.782Z</t>
  </si>
  <si>
    <t>eneba:13617 | driffle:14963</t>
  </si>
  <si>
    <t>13617</t>
  </si>
  <si>
    <t>14963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</si>
  <si>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</si>
  <si>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</si>
  <si>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</si>
  <si>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</si>
  <si>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</si>
  <si>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2026-07-25T14:37:51.297Z</t>
  </si>
  <si>
    <t>driffle:9580</t>
  </si>
  <si>
    <t>9580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</si>
  <si>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</si>
  <si>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</si>
  <si>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</si>
  <si>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</si>
  <si>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2026-07-25T14:40:20.226Z</t>
  </si>
  <si>
    <t>driffle:26834 | eneba:27394</t>
  </si>
  <si>
    <t>27394</t>
  </si>
  <si>
    <t>26834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</si>
  <si>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</si>
  <si>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</si>
  <si>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</si>
  <si>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</si>
  <si>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</si>
  <si>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</si>
  <si>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2026-07-25T14:42:00.750Z</t>
  </si>
  <si>
    <t>driffle:36766</t>
  </si>
  <si>
    <t>36766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</si>
  <si>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</si>
  <si>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</si>
  <si>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</si>
  <si>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2026-07-25T14:41:27.281Z</t>
  </si>
  <si>
    <t>driffle:20313</t>
  </si>
  <si>
    <t>20313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</si>
  <si>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</si>
  <si>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</si>
  <si>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</si>
  <si>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</si>
  <si>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2026-07-25T14:42:39.046Z</t>
  </si>
  <si>
    <t>driffle:40547</t>
  </si>
  <si>
    <t>40547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</si>
  <si>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</si>
  <si>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</si>
  <si>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</si>
  <si>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</si>
  <si>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2026-07-25T14:43:46.208Z</t>
  </si>
  <si>
    <t>driffle:72971</t>
  </si>
  <si>
    <t>72971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</si>
  <si>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</si>
  <si>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</si>
  <si>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</si>
  <si>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2026-07-25T14:43:12.866Z</t>
  </si>
  <si>
    <t>driffle:54196</t>
  </si>
  <si>
    <t>54196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</si>
  <si>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</si>
  <si>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</si>
  <si>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</si>
  <si>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2026-07-25T14:44:19.965Z</t>
  </si>
  <si>
    <t>driffle:92884</t>
  </si>
  <si>
    <t>92884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</si>
  <si>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</si>
  <si>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</si>
  <si>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</si>
  <si>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</si>
  <si>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</si>
  <si>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2026-07-25T14:46:48.973Z</t>
  </si>
  <si>
    <t>driffle:37791 | eneba:38512</t>
  </si>
  <si>
    <t>38512</t>
  </si>
  <si>
    <t>37791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</si>
  <si>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</si>
  <si>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</si>
  <si>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</si>
  <si>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</si>
  <si>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</si>
  <si>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</si>
  <si>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2026-07-25T14:46:58.715Z</t>
  </si>
  <si>
    <t>driffle:24479 | eneba:23630</t>
  </si>
  <si>
    <t>23630</t>
  </si>
  <si>
    <t>24479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</si>
  <si>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</si>
  <si>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</si>
  <si>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</si>
  <si>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2026-07-25T14:47:31.957Z</t>
  </si>
  <si>
    <t>driffle:29269</t>
  </si>
  <si>
    <t>29269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</si>
  <si>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</si>
  <si>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</si>
  <si>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</si>
  <si>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</si>
  <si>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2026-07-25T14:49:23.295Z</t>
  </si>
  <si>
    <t>driffle:60892</t>
  </si>
  <si>
    <t>60892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</si>
  <si>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</si>
  <si>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</si>
  <si>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</si>
  <si>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</si>
  <si>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2026-07-25T14:48:10.185Z</t>
  </si>
  <si>
    <t>driffle:46090 | eneba:45785</t>
  </si>
  <si>
    <t>45785</t>
  </si>
  <si>
    <t>46090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</si>
  <si>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</si>
  <si>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</si>
  <si>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</si>
  <si>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</si>
  <si>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2026-07-25T14:48:43.756Z</t>
  </si>
  <si>
    <t>driffle:65986</t>
  </si>
  <si>
    <t>65986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</si>
  <si>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</si>
  <si>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</si>
  <si>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</si>
  <si>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</si>
  <si>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2026-07-25T14:52:20.859Z</t>
  </si>
  <si>
    <t>eneba:38144 | driffle:51616</t>
  </si>
  <si>
    <t>38144</t>
  </si>
  <si>
    <t>51616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</si>
  <si>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</si>
  <si>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</si>
  <si>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</si>
  <si>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</si>
  <si>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</si>
  <si>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2026-07-25T14:52:26.593Z</t>
  </si>
  <si>
    <t>driffle:41508</t>
  </si>
  <si>
    <t>41508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</si>
  <si>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</si>
  <si>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</si>
  <si>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</si>
  <si>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</si>
  <si>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2026-07-25T14:53:00.204Z</t>
  </si>
  <si>
    <t>driffle:15091</t>
  </si>
  <si>
    <t>15091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</si>
  <si>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</si>
  <si>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</si>
  <si>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</si>
  <si>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</si>
  <si>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2026-07-25T14:55:30.475Z</t>
  </si>
  <si>
    <t>driffle:37871 | eneba:38304</t>
  </si>
  <si>
    <t>38304</t>
  </si>
  <si>
    <t>37871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</si>
  <si>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</si>
  <si>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</si>
  <si>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</si>
  <si>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</si>
  <si>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</si>
  <si>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2026-07-25T14:56:03.705Z</t>
  </si>
  <si>
    <t>driffle:35837</t>
  </si>
  <si>
    <t>35837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</si>
  <si>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</si>
  <si>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</si>
  <si>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</si>
  <si>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</si>
  <si>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2026-07-25T14:58:32.336Z</t>
  </si>
  <si>
    <t>driffle:57576 | eneba:57464</t>
  </si>
  <si>
    <t>57464</t>
  </si>
  <si>
    <t>57576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</si>
  <si>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</si>
  <si>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</si>
  <si>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</si>
  <si>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</si>
  <si>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</si>
  <si>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</si>
  <si>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2026-07-25T15:02:04.316Z</t>
  </si>
  <si>
    <t>driffle:30646</t>
  </si>
  <si>
    <t>30646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</si>
  <si>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</si>
  <si>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</si>
  <si>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</si>
  <si>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2026-07-25T15:01:02.504Z</t>
  </si>
  <si>
    <t>driffle:12175</t>
  </si>
  <si>
    <t>12175</t>
  </si>
  <si>
    <t>https://driffle.com/es/hitman-world-of-assassination-global-pc-steam-account-p9945630</t>
  </si>
  <si>
    <t>Hogwarts Legacy</t>
  </si>
  <si>
    <t>Hogwarts Legacy Deluxe Edition (PC) Código de Steam LATAM</t>
  </si>
  <si>
    <t>2026-07-25T15:07:35.283Z</t>
  </si>
  <si>
    <t>driffle:15764 | eneba:9772</t>
  </si>
  <si>
    <t>9772</t>
  </si>
  <si>
    <t>15764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</si>
  <si>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</si>
  <si>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</si>
  <si>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</si>
  <si>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</si>
  <si>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</si>
  <si>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2026-07-25T15:08:08.746Z</t>
  </si>
  <si>
    <t>driffle:10429</t>
  </si>
  <si>
    <t>10429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</si>
  <si>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</si>
  <si>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</si>
  <si>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</si>
  <si>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2026-07-25T15:04:33.203Z</t>
  </si>
  <si>
    <t>driffle:9292 | eneba:7850</t>
  </si>
  <si>
    <t>7850</t>
  </si>
  <si>
    <t>9292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</si>
  <si>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</si>
  <si>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</si>
  <si>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</si>
  <si>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</si>
  <si>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</si>
  <si>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2026-07-25T15:05:06.473Z</t>
  </si>
  <si>
    <t>driffle:8619</t>
  </si>
  <si>
    <t>8619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</si>
  <si>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</si>
  <si>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</si>
  <si>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</si>
  <si>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</si>
  <si>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2026-07-25T15:13:03.375Z</t>
  </si>
  <si>
    <t>driffle:89968</t>
  </si>
  <si>
    <t>89968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</si>
  <si>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</si>
  <si>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</si>
  <si>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</si>
  <si>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2026-07-25T15:10:38.471Z</t>
  </si>
  <si>
    <t>driffle:22252</t>
  </si>
  <si>
    <t>22252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</si>
  <si>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</si>
  <si>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</si>
  <si>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</si>
  <si>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</si>
  <si>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2026-07-25T15:13:42.607Z</t>
  </si>
  <si>
    <t>driffle:70232 | eneba:75006</t>
  </si>
  <si>
    <t>75006</t>
  </si>
  <si>
    <t>70232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</si>
  <si>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</si>
  <si>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</si>
  <si>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</si>
  <si>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</si>
  <si>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2026-07-25T15:14:16.087Z</t>
  </si>
  <si>
    <t>driffle:8843</t>
  </si>
  <si>
    <t>8843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</si>
  <si>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</si>
  <si>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</si>
  <si>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</si>
  <si>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</si>
  <si>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2026-07-25T15:19:43.272Z</t>
  </si>
  <si>
    <t>eneba:91426 | driffle:107927</t>
  </si>
  <si>
    <t>91426</t>
  </si>
  <si>
    <t>107927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</si>
  <si>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</si>
  <si>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</si>
  <si>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</si>
  <si>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</si>
  <si>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</si>
  <si>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2026-07-25T15:16:46.292Z</t>
  </si>
  <si>
    <t>eneba:67909 | driffle:89744</t>
  </si>
  <si>
    <t>67909</t>
  </si>
  <si>
    <t>89744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</si>
  <si>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</si>
  <si>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</si>
  <si>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</si>
  <si>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</si>
  <si>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</si>
  <si>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</si>
  <si>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2026-07-25T15:22:00.477Z</t>
  </si>
  <si>
    <t>driffle:69078</t>
  </si>
  <si>
    <t>69078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</si>
  <si>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</si>
  <si>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</si>
  <si>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</si>
  <si>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</si>
  <si>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2026-07-25T15:20:49.480Z</t>
  </si>
  <si>
    <t>eneba:52786 | driffle:54692</t>
  </si>
  <si>
    <t>52786</t>
  </si>
  <si>
    <t>54692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</si>
  <si>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</si>
  <si>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</si>
  <si>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</si>
  <si>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</si>
  <si>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2026-07-25T15:21:22.855Z</t>
  </si>
  <si>
    <t>driffle:68694</t>
  </si>
  <si>
    <t>68694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</si>
  <si>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</si>
  <si>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</si>
  <si>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</si>
  <si>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</si>
  <si>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2026-07-25T15:23:12.889Z</t>
  </si>
  <si>
    <t>driffle:27586 | eneba:27907</t>
  </si>
  <si>
    <t>27907</t>
  </si>
  <si>
    <t>27586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</si>
  <si>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</si>
  <si>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</si>
  <si>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</si>
  <si>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</si>
  <si>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</si>
  <si>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</si>
  <si>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2026-07-25T15:25:21.665Z</t>
  </si>
  <si>
    <t>driffle:24447 | eneba:25135</t>
  </si>
  <si>
    <t>25135</t>
  </si>
  <si>
    <t>24447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</si>
  <si>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</si>
  <si>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</si>
  <si>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</si>
  <si>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</si>
  <si>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</si>
  <si>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Premium Deluxe - CD Key (Steam)</t>
  </si>
  <si>
    <t>loaded</t>
  </si>
  <si>
    <t>Microsoft Flight Simulator 2024 - Premium Deluxe Edition PC Key</t>
  </si>
  <si>
    <t>2026-07-25T15:31:42.617Z</t>
  </si>
  <si>
    <t>loaded:192224</t>
  </si>
  <si>
    <t>192224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</si>
  <si>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</si>
  <si>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</si>
  <si>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</si>
  <si>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2026-07-25T15:35:37.661Z</t>
  </si>
  <si>
    <t>driffle:121448 | eneba:42854</t>
  </si>
  <si>
    <t>42854</t>
  </si>
  <si>
    <t>121448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</si>
  <si>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</si>
  <si>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</si>
  <si>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</si>
  <si>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</si>
  <si>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2026-07-25T15:34:27.060Z</t>
  </si>
  <si>
    <t>driffle:85210 | eneba:30070</t>
  </si>
  <si>
    <t>30070</t>
  </si>
  <si>
    <t>85210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</si>
  <si>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</si>
  <si>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</si>
  <si>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</si>
  <si>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</si>
  <si>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2026-07-25T15:35:00.220Z</t>
  </si>
  <si>
    <t>driffle:32601</t>
  </si>
  <si>
    <t>32601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</si>
  <si>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</si>
  <si>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</si>
  <si>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</si>
  <si>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</si>
  <si>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</si>
  <si>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2026-07-25T15:40:24.857Z</t>
  </si>
  <si>
    <t>eneba:20089 | driffle:27971 | loaded:27058</t>
  </si>
  <si>
    <t>20089</t>
  </si>
  <si>
    <t>27971</t>
  </si>
  <si>
    <t>27058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</si>
  <si>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</si>
  <si>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</si>
  <si>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</si>
  <si>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</si>
  <si>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</si>
  <si>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2026-07-25T15:39:12.135Z</t>
  </si>
  <si>
    <t>driffle:14386 | kinguin:15171 | eneba:13889</t>
  </si>
  <si>
    <t>15171</t>
  </si>
  <si>
    <t>13889</t>
  </si>
  <si>
    <t>14386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</si>
  <si>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</si>
  <si>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</si>
  <si>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</si>
  <si>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</si>
  <si>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</si>
  <si>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</si>
  <si>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2026-07-25T15:42:33.797Z</t>
  </si>
  <si>
    <t>driffle:13120 | eneba:14258 | loaded:14082</t>
  </si>
  <si>
    <t>14258</t>
  </si>
  <si>
    <t>13120</t>
  </si>
  <si>
    <t>14082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</si>
  <si>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</si>
  <si>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</si>
  <si>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</si>
  <si>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</si>
  <si>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</si>
  <si>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2026-07-25T15:43:07.700Z</t>
  </si>
  <si>
    <t>driffle:10605</t>
  </si>
  <si>
    <t>10605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</si>
  <si>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</si>
  <si>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</si>
  <si>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</si>
  <si>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</si>
  <si>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2026-07-25T15:43:52.301Z</t>
  </si>
  <si>
    <t>eneba:21675 | driffle:22796 | loaded:22732</t>
  </si>
  <si>
    <t>21675</t>
  </si>
  <si>
    <t>22796</t>
  </si>
  <si>
    <t>22732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</si>
  <si>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</si>
  <si>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</si>
  <si>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</si>
  <si>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</si>
  <si>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</si>
  <si>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</si>
  <si>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2026-07-25T15:45:10.287Z</t>
  </si>
  <si>
    <t>eneba:27234 | driffle:27538 | loaded:28179</t>
  </si>
  <si>
    <t>27234</t>
  </si>
  <si>
    <t>27538</t>
  </si>
  <si>
    <t>28179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</si>
  <si>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</si>
  <si>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</si>
  <si>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</si>
  <si>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</si>
  <si>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</si>
  <si>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</si>
  <si>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</si>
  <si>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2026-07-25T15:46:30.306Z</t>
  </si>
  <si>
    <t>driffle:22684 | kinguin:22652 | loaded:28179 | eneba:18711</t>
  </si>
  <si>
    <t>22652</t>
  </si>
  <si>
    <t>18711</t>
  </si>
  <si>
    <t>22684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</si>
  <si>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</si>
  <si>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</si>
  <si>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</si>
  <si>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</si>
  <si>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</si>
  <si>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</si>
  <si>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2026-07-25T15:47:03.679Z</t>
  </si>
  <si>
    <t>driffle:12752</t>
  </si>
  <si>
    <t>12752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</si>
  <si>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</si>
  <si>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</si>
  <si>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</si>
  <si>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</si>
  <si>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2026-07-25T15:52:52.944Z</t>
  </si>
  <si>
    <t>driffle:46394</t>
  </si>
  <si>
    <t>46394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</si>
  <si>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</si>
  <si>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</si>
  <si>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</si>
  <si>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</si>
  <si>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</si>
  <si>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2026-07-25T15:50:19.631Z</t>
  </si>
  <si>
    <t>driffle:30871 | loaded:43398 | eneba:31383</t>
  </si>
  <si>
    <t>31383</t>
  </si>
  <si>
    <t>30871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</si>
  <si>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</si>
  <si>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</si>
  <si>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</si>
  <si>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</si>
  <si>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</si>
  <si>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</si>
  <si>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2026-07-25T16:01:28.671Z</t>
  </si>
  <si>
    <t>eneba:75246 | driffle:80965</t>
  </si>
  <si>
    <t>75246</t>
  </si>
  <si>
    <t>80965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</si>
  <si>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</si>
  <si>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</si>
  <si>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</si>
  <si>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</si>
  <si>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</si>
  <si>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(PC) Código de Steam LATAM</t>
  </si>
  <si>
    <t>2026-07-25T16:04:10.227Z</t>
  </si>
  <si>
    <t>driffle:17606 | loaded:18407 | eneba:16597</t>
  </si>
  <si>
    <t>16597</t>
  </si>
  <si>
    <t>17606</t>
  </si>
  <si>
    <t>18407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</si>
  <si>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</si>
  <si>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</si>
  <si>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</si>
  <si>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</si>
  <si>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</si>
  <si>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2026-07-25T16:04:43.674Z</t>
  </si>
  <si>
    <t>driffle:11166</t>
  </si>
  <si>
    <t>11166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</si>
  <si>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</si>
  <si>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</si>
  <si>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</si>
  <si>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</si>
  <si>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2026-07-25T16:10:49.449Z</t>
  </si>
  <si>
    <t>eneba:12079 | driffle:22636</t>
  </si>
  <si>
    <t>12079</t>
  </si>
  <si>
    <t>22636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</si>
  <si>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</si>
  <si>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</si>
  <si>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</si>
  <si>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</si>
  <si>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2026-07-25T16:09:43.389Z</t>
  </si>
  <si>
    <t>driffle:8459 | eneba:9532</t>
  </si>
  <si>
    <t>9532</t>
  </si>
  <si>
    <t>8459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</si>
  <si>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</si>
  <si>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</si>
  <si>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</si>
  <si>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</si>
  <si>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</si>
  <si>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2026-07-25T16:11:27.203Z</t>
  </si>
  <si>
    <t>driffle:15011 | eneba:8715</t>
  </si>
  <si>
    <t>8715</t>
  </si>
  <si>
    <t>15011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</si>
  <si>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</si>
  <si>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</si>
  <si>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</si>
  <si>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</si>
  <si>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2026-07-25T16:12:00.552Z</t>
  </si>
  <si>
    <t>driffle:6600</t>
  </si>
  <si>
    <t>6600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</si>
  <si>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</si>
  <si>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</si>
  <si>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</si>
  <si>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</si>
  <si>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</si>
  <si>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2026-07-25T16:14:45.387Z</t>
  </si>
  <si>
    <t>eneba:34059</t>
  </si>
  <si>
    <t>34059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</si>
  <si>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</si>
  <si>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</si>
  <si>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</si>
  <si>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</si>
  <si>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</si>
  <si>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2026-07-25T16:15:51.561Z</t>
  </si>
  <si>
    <t>driffle:21803 | eneba:9980</t>
  </si>
  <si>
    <t>9980</t>
  </si>
  <si>
    <t>21803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</si>
  <si>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</si>
  <si>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</si>
  <si>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</si>
  <si>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</si>
  <si>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</si>
  <si>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2026-07-25T16:16:57.685Z</t>
  </si>
  <si>
    <t>driffle:22011 | eneba:12207</t>
  </si>
  <si>
    <t>12207</t>
  </si>
  <si>
    <t>22011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</si>
  <si>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</si>
  <si>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</si>
  <si>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</si>
  <si>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</si>
  <si>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</si>
  <si>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2026-07-25T16:22:24.406Z</t>
  </si>
  <si>
    <t>eneba:69511 | driffle:86780</t>
  </si>
  <si>
    <t>69511</t>
  </si>
  <si>
    <t>86780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</si>
  <si>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</si>
  <si>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</si>
  <si>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</si>
  <si>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</si>
  <si>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</si>
  <si>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2026-07-25T16:19:27.158Z</t>
  </si>
  <si>
    <t>eneba:59739 | driffle:78642</t>
  </si>
  <si>
    <t>59739</t>
  </si>
  <si>
    <t>78642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</si>
  <si>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</si>
  <si>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</si>
  <si>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</si>
  <si>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</si>
  <si>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</si>
  <si>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</si>
  <si>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2026-07-25T16:25:21.690Z</t>
  </si>
  <si>
    <t>driffle:22556 | eneba:12175</t>
  </si>
  <si>
    <t>22556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</si>
  <si>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</si>
  <si>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</si>
  <si>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</si>
  <si>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</si>
  <si>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</si>
  <si>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2026-07-25T16:28:18.705Z</t>
  </si>
  <si>
    <t>eneba:17590 | driffle:19560</t>
  </si>
  <si>
    <t>17590</t>
  </si>
  <si>
    <t>19560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</si>
  <si>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</si>
  <si>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</si>
  <si>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</si>
  <si>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</si>
  <si>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</si>
  <si>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</si>
  <si>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</si>
  <si>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2026-07-25T16:29:58.898Z</t>
  </si>
  <si>
    <t>driffle:12704</t>
  </si>
  <si>
    <t>12704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</si>
  <si>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</si>
  <si>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</si>
  <si>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</si>
  <si>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2026-07-25T16:30:32.328Z</t>
  </si>
  <si>
    <t>driffle:63407</t>
  </si>
  <si>
    <t>63407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</si>
  <si>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</si>
  <si>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</si>
  <si>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</si>
  <si>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2026-07-25T16:31:06.154Z</t>
  </si>
  <si>
    <t>driffle:76271</t>
  </si>
  <si>
    <t>76271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</si>
  <si>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</si>
  <si>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</si>
  <si>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</si>
  <si>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</si>
  <si>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2026-07-25T16:33:35.289Z</t>
  </si>
  <si>
    <t>driffle:48509 | eneba:40755</t>
  </si>
  <si>
    <t>40755</t>
  </si>
  <si>
    <t>48509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</si>
  <si>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</si>
  <si>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</si>
  <si>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</si>
  <si>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</si>
  <si>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</si>
  <si>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</si>
  <si>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2026-07-25T16:37:43.828Z</t>
  </si>
  <si>
    <t>eneba:35372 | driffle:36638</t>
  </si>
  <si>
    <t>35372</t>
  </si>
  <si>
    <t>36638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</si>
  <si>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</si>
  <si>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</si>
  <si>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</si>
  <si>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</si>
  <si>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2026-07-25T16:38:17.259Z</t>
  </si>
  <si>
    <t>driffle:23005</t>
  </si>
  <si>
    <t>23005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</si>
  <si>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</si>
  <si>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</si>
  <si>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</si>
  <si>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</si>
  <si>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2026-07-25T16:40:06.611Z</t>
  </si>
  <si>
    <t>driffle:71033 | eneba:71930</t>
  </si>
  <si>
    <t>71930</t>
  </si>
  <si>
    <t>71033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</si>
  <si>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</si>
  <si>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</si>
  <si>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</si>
  <si>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</si>
  <si>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2026-07-25T16:40:39.978Z</t>
  </si>
  <si>
    <t>driffle:23069</t>
  </si>
  <si>
    <t>23069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</si>
  <si>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</si>
  <si>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</si>
  <si>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</si>
  <si>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</si>
  <si>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2026-07-25T16:41:26.940Z</t>
  </si>
  <si>
    <t>eneba:163612</t>
  </si>
  <si>
    <t>163612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</si>
  <si>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</si>
  <si>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</si>
  <si>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</si>
  <si>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2026-07-25T16:40:44.310Z</t>
  </si>
  <si>
    <t>eneba:17622</t>
  </si>
  <si>
    <t>https://www.eneba.com/latam/steam-star-wars-jedi-survivortm-pc-steam-key-global</t>
  </si>
  <si>
    <t>Star Wars Jedi Survivor (Global) (PC) - Steam Account</t>
  </si>
  <si>
    <t>2026-07-25T16:41:17.436Z</t>
  </si>
  <si>
    <t>driffle:13056</t>
  </si>
  <si>
    <t>13056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</si>
  <si>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</si>
  <si>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</si>
  <si>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</si>
  <si>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</si>
  <si>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</si>
  <si>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2026-07-25T16:46:38.623Z</t>
  </si>
  <si>
    <t>driffle:61373 | loaded:82487 | eneba:62574</t>
  </si>
  <si>
    <t>62574</t>
  </si>
  <si>
    <t>61373</t>
  </si>
  <si>
    <t>82487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</si>
  <si>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</si>
  <si>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</si>
  <si>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</si>
  <si>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</si>
  <si>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</si>
  <si>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</si>
  <si>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2026-07-25T16:47:12.027Z</t>
  </si>
  <si>
    <t>driffle:107238</t>
  </si>
  <si>
    <t>107238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</si>
  <si>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</si>
  <si>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</si>
  <si>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</si>
  <si>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2026-07-25T16:44:24.043Z</t>
  </si>
  <si>
    <t>driffle:51168 | eneba:47740</t>
  </si>
  <si>
    <t>47740</t>
  </si>
  <si>
    <t>51168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</si>
  <si>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</si>
  <si>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</si>
  <si>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</si>
  <si>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</si>
  <si>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</si>
  <si>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2026-07-25T16:44:29.424Z</t>
  </si>
  <si>
    <t>driffle:49790</t>
  </si>
  <si>
    <t>49790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</si>
  <si>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</si>
  <si>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</si>
  <si>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</si>
  <si>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</si>
  <si>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2026-07-25T16:48:50.844Z</t>
  </si>
  <si>
    <t>driffle:67172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</si>
  <si>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</si>
  <si>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</si>
  <si>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</si>
  <si>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</si>
  <si>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2026-07-25T16:47:44.652Z</t>
  </si>
  <si>
    <t>eneba:24607</t>
  </si>
  <si>
    <t>24607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</si>
  <si>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</si>
  <si>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</si>
  <si>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</si>
  <si>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</si>
  <si>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2026-07-25T16:49:56.904Z</t>
  </si>
  <si>
    <t>driffle:20666</t>
  </si>
  <si>
    <t>20666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</si>
  <si>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</si>
  <si>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</si>
  <si>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</si>
  <si>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</si>
  <si>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2026-07-25T16:51:09.093Z</t>
  </si>
  <si>
    <t>driffle:37519 | loaded:32505 | eneba:33546</t>
  </si>
  <si>
    <t>33546</t>
  </si>
  <si>
    <t>37519</t>
  </si>
  <si>
    <t>32505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</si>
  <si>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</si>
  <si>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</si>
  <si>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</si>
  <si>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</si>
  <si>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</si>
  <si>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2026-07-25T16:51:42.322Z</t>
  </si>
  <si>
    <t>driffle:40002</t>
  </si>
  <si>
    <t>40002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</si>
  <si>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</si>
  <si>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</si>
  <si>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</si>
  <si>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</si>
  <si>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2026-07-25T16:53:47.791Z</t>
  </si>
  <si>
    <t>driffle:12608 | loaded:16324 | eneba:13489</t>
  </si>
  <si>
    <t>13489</t>
  </si>
  <si>
    <t>12608</t>
  </si>
  <si>
    <t>16324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</si>
  <si>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</si>
  <si>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</si>
  <si>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</si>
  <si>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</si>
  <si>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</si>
  <si>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</si>
  <si>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2026-07-25T17:04:47.195Z</t>
  </si>
  <si>
    <t>driffle:20618 | eneba:17990</t>
  </si>
  <si>
    <t>17990</t>
  </si>
  <si>
    <t>20618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</si>
  <si>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</si>
  <si>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</si>
  <si>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</si>
  <si>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</si>
  <si>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</si>
  <si>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</si>
  <si>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2026-07-25T17:05:25.249Z</t>
  </si>
  <si>
    <t>driffle:58297 | eneba:37679</t>
  </si>
  <si>
    <t>37679</t>
  </si>
  <si>
    <t>58297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</si>
  <si>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</si>
  <si>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</si>
  <si>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</si>
  <si>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</si>
  <si>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</si>
  <si>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</si>
  <si>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2026-07-25T17:07:33.912Z</t>
  </si>
  <si>
    <t>driffle:188187</t>
  </si>
  <si>
    <t>188187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</si>
  <si>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</si>
  <si>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</si>
  <si>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</si>
  <si>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2026-07-25T17:06:31.816Z</t>
  </si>
  <si>
    <t>driffle:24110 | eneba:24511</t>
  </si>
  <si>
    <t>24511</t>
  </si>
  <si>
    <t>24110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</si>
  <si>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</si>
  <si>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</si>
  <si>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</si>
  <si>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</si>
  <si>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</si>
  <si>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2026-07-25T17:08:39.923Z</t>
  </si>
  <si>
    <t>eneba:62398</t>
  </si>
  <si>
    <t>62398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</si>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</sst>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85691</v>
      </c>
      <c r="F2">
        <v>84585</v>
      </c>
      <c r="G2">
        <v>100691</v>
      </c>
      <c r="H2">
        <v>15000</v>
      </c>
      <c r="I2">
        <v>144995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82743</v>
      </c>
      <c r="F3">
        <v>84585</v>
      </c>
      <c r="G3">
        <v>97743</v>
      </c>
      <c r="H3">
        <v>15000</v>
      </c>
      <c r="I3">
        <v>140750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72875</v>
      </c>
      <c r="F4">
        <v>73550</v>
      </c>
      <c r="G4">
        <v>87875</v>
      </c>
      <c r="H4">
        <v>15000</v>
      </c>
      <c r="I4">
        <v>126540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47227</v>
      </c>
      <c r="F5">
        <v>73550</v>
      </c>
      <c r="G5">
        <v>62227</v>
      </c>
      <c r="H5">
        <v>15000</v>
      </c>
      <c r="I5">
        <v>89607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7049</v>
      </c>
      <c r="F6">
        <v>55158</v>
      </c>
      <c r="G6">
        <v>30331</v>
      </c>
      <c r="H6">
        <v>23282</v>
      </c>
      <c r="I6">
        <v>43677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54035</v>
      </c>
      <c r="F7">
        <v>110334</v>
      </c>
      <c r="G7">
        <v>77265</v>
      </c>
      <c r="H7">
        <v>23230</v>
      </c>
      <c r="I7">
        <v>111262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35356</v>
      </c>
      <c r="F8">
        <v>73550</v>
      </c>
      <c r="G8">
        <v>53240</v>
      </c>
      <c r="H8">
        <v>17884</v>
      </c>
      <c r="I8">
        <v>76666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70840</v>
      </c>
      <c r="F9">
        <v>82746</v>
      </c>
      <c r="G9">
        <v>97237</v>
      </c>
      <c r="H9">
        <v>26397</v>
      </c>
      <c r="I9">
        <v>140021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11919</v>
      </c>
      <c r="F10">
        <v>82746</v>
      </c>
      <c r="G10">
        <v>38919</v>
      </c>
      <c r="H10">
        <v>27000</v>
      </c>
      <c r="I10">
        <v>56043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62</v>
      </c>
      <c r="C11" t="s">
        <v>28</v>
      </c>
      <c r="D11" t="s">
        <v>29</v>
      </c>
      <c r="E11">
        <v>45433</v>
      </c>
      <c r="F11">
        <v>73550</v>
      </c>
      <c r="G11">
        <v>60433</v>
      </c>
      <c r="H11">
        <v>15000</v>
      </c>
      <c r="I11">
        <v>87024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62</v>
      </c>
      <c r="C12" t="s">
        <v>28</v>
      </c>
      <c r="D12" t="s">
        <v>29</v>
      </c>
      <c r="E12">
        <v>37375</v>
      </c>
      <c r="F12">
        <v>102977</v>
      </c>
      <c r="G12">
        <v>61111</v>
      </c>
      <c r="H12">
        <v>23736</v>
      </c>
      <c r="I12">
        <v>88000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62</v>
      </c>
      <c r="C13" t="s">
        <v>28</v>
      </c>
      <c r="D13" t="s">
        <v>29</v>
      </c>
      <c r="E13">
        <v>20426</v>
      </c>
      <c r="F13">
        <v>64354</v>
      </c>
      <c r="G13">
        <v>39268</v>
      </c>
      <c r="H13">
        <v>18842</v>
      </c>
      <c r="I13">
        <v>56546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36</v>
      </c>
      <c r="Y13" t="s">
        <v>131</v>
      </c>
      <c r="Z13" t="s">
        <v>36</v>
      </c>
    </row>
    <row r="14">
      <c r="A14" t="s">
        <v>132</v>
      </c>
      <c r="B14" t="s">
        <v>62</v>
      </c>
      <c r="C14" t="s">
        <v>28</v>
      </c>
      <c r="D14" t="s">
        <v>29</v>
      </c>
      <c r="E14">
        <v>30086</v>
      </c>
      <c r="F14">
        <v>128726</v>
      </c>
      <c r="G14">
        <v>57086</v>
      </c>
      <c r="H14">
        <v>27000</v>
      </c>
      <c r="I14">
        <v>82204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36</v>
      </c>
      <c r="Y14" t="s">
        <v>138</v>
      </c>
      <c r="Z14" t="s">
        <v>36</v>
      </c>
    </row>
    <row r="15">
      <c r="A15" t="s">
        <v>132</v>
      </c>
      <c r="B15" t="s">
        <v>139</v>
      </c>
      <c r="C15" t="s">
        <v>28</v>
      </c>
      <c r="D15" t="s">
        <v>29</v>
      </c>
      <c r="E15">
        <v>77361</v>
      </c>
      <c r="F15">
        <v>183902</v>
      </c>
      <c r="G15">
        <v>104361</v>
      </c>
      <c r="H15">
        <v>27000</v>
      </c>
      <c r="I15">
        <v>150280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146</v>
      </c>
      <c r="B16" t="s">
        <v>52</v>
      </c>
      <c r="C16" t="s">
        <v>32</v>
      </c>
      <c r="D16" t="s">
        <v>41</v>
      </c>
      <c r="E16">
        <v>83656</v>
      </c>
      <c r="F16">
        <v>110334</v>
      </c>
      <c r="G16">
        <v>98656</v>
      </c>
      <c r="H16">
        <v>15000</v>
      </c>
      <c r="I16">
        <v>142065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42</v>
      </c>
      <c r="M16" t="s">
        <v>70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150</v>
      </c>
      <c r="U16" t="s">
        <v>151</v>
      </c>
      <c r="V16" t="s">
        <v>36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146</v>
      </c>
      <c r="B17" t="s">
        <v>62</v>
      </c>
      <c r="C17" t="s">
        <v>28</v>
      </c>
      <c r="D17" t="s">
        <v>29</v>
      </c>
      <c r="E17">
        <v>48220</v>
      </c>
      <c r="F17">
        <v>110334</v>
      </c>
      <c r="G17">
        <v>68318</v>
      </c>
      <c r="H17">
        <v>20098</v>
      </c>
      <c r="I17">
        <v>98378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70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40</v>
      </c>
      <c r="C18" t="s">
        <v>32</v>
      </c>
      <c r="D18" t="s">
        <v>41</v>
      </c>
      <c r="E18">
        <v>66050</v>
      </c>
      <c r="F18">
        <v>183902</v>
      </c>
      <c r="G18">
        <v>93050</v>
      </c>
      <c r="H18">
        <v>27000</v>
      </c>
      <c r="I18">
        <v>133992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42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36</v>
      </c>
    </row>
    <row r="19">
      <c r="A19" t="s">
        <v>162</v>
      </c>
      <c r="B19" t="s">
        <v>52</v>
      </c>
      <c r="C19" t="s">
        <v>32</v>
      </c>
      <c r="D19" t="s">
        <v>41</v>
      </c>
      <c r="E19">
        <v>43398</v>
      </c>
      <c r="F19">
        <v>128726</v>
      </c>
      <c r="G19">
        <v>70398</v>
      </c>
      <c r="H19">
        <v>27000</v>
      </c>
      <c r="I19">
        <v>101373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174</v>
      </c>
      <c r="U19" t="s">
        <v>175</v>
      </c>
      <c r="V19" t="s">
        <v>36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162</v>
      </c>
      <c r="B20" t="s">
        <v>180</v>
      </c>
      <c r="C20" t="s">
        <v>32</v>
      </c>
      <c r="D20" t="s">
        <v>41</v>
      </c>
      <c r="E20">
        <v>87261</v>
      </c>
      <c r="F20">
        <v>239078</v>
      </c>
      <c r="G20">
        <v>114261</v>
      </c>
      <c r="H20">
        <v>27000</v>
      </c>
      <c r="I20">
        <v>164536</v>
      </c>
      <c r="J20" t="str">
        <f>HYPERLINK("https://www.eneba.com/latam/steam-borderlands-4-super-deluxe-edition-steam-key-pc-global","Abrir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184</v>
      </c>
      <c r="U20" t="s">
        <v>185</v>
      </c>
      <c r="V20" t="s">
        <v>36</v>
      </c>
      <c r="W20" t="s">
        <v>186</v>
      </c>
      <c r="X20" t="s">
        <v>187</v>
      </c>
      <c r="Y20" t="s">
        <v>188</v>
      </c>
      <c r="Z20" t="s">
        <v>36</v>
      </c>
    </row>
    <row r="21">
      <c r="A21" t="s">
        <v>189</v>
      </c>
      <c r="B21" t="s">
        <v>62</v>
      </c>
      <c r="C21" t="s">
        <v>28</v>
      </c>
      <c r="D21" t="s">
        <v>29</v>
      </c>
      <c r="E21">
        <v>43655</v>
      </c>
      <c r="F21">
        <v>128726</v>
      </c>
      <c r="G21">
        <v>70655</v>
      </c>
      <c r="H21">
        <v>27000</v>
      </c>
      <c r="I21">
        <v>101743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36</v>
      </c>
      <c r="U21" t="s">
        <v>193</v>
      </c>
      <c r="V21" t="s">
        <v>36</v>
      </c>
      <c r="W21" t="s">
        <v>194</v>
      </c>
      <c r="X21" t="s">
        <v>36</v>
      </c>
      <c r="Y21" t="s">
        <v>195</v>
      </c>
      <c r="Z21" t="s">
        <v>36</v>
      </c>
    </row>
    <row r="22">
      <c r="A22" t="s">
        <v>196</v>
      </c>
      <c r="B22" t="s">
        <v>197</v>
      </c>
      <c r="C22" t="s">
        <v>28</v>
      </c>
      <c r="D22" t="s">
        <v>29</v>
      </c>
      <c r="E22">
        <v>29301</v>
      </c>
      <c r="F22">
        <v>110334</v>
      </c>
      <c r="G22">
        <v>56301</v>
      </c>
      <c r="H22">
        <v>27000</v>
      </c>
      <c r="I22">
        <v>81073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70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36</v>
      </c>
      <c r="U22" t="s">
        <v>201</v>
      </c>
      <c r="V22" t="s">
        <v>36</v>
      </c>
      <c r="W22" t="s">
        <v>202</v>
      </c>
      <c r="X22" t="s">
        <v>36</v>
      </c>
      <c r="Y22" t="s">
        <v>203</v>
      </c>
      <c r="Z22" t="s">
        <v>36</v>
      </c>
    </row>
    <row r="23">
      <c r="A23" t="s">
        <v>204</v>
      </c>
      <c r="B23" t="s">
        <v>27</v>
      </c>
      <c r="C23" t="s">
        <v>28</v>
      </c>
      <c r="D23" t="s">
        <v>29</v>
      </c>
      <c r="E23">
        <v>56438</v>
      </c>
      <c r="F23">
        <v>77228</v>
      </c>
      <c r="G23">
        <v>71438</v>
      </c>
      <c r="H23">
        <v>15000</v>
      </c>
      <c r="I23">
        <v>102871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70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36</v>
      </c>
      <c r="T23" t="s">
        <v>36</v>
      </c>
      <c r="U23" t="s">
        <v>208</v>
      </c>
      <c r="V23" t="s">
        <v>36</v>
      </c>
      <c r="W23" t="s">
        <v>209</v>
      </c>
      <c r="X23" t="s">
        <v>36</v>
      </c>
      <c r="Y23" t="s">
        <v>210</v>
      </c>
      <c r="Z23" t="s">
        <v>36</v>
      </c>
    </row>
    <row r="24">
      <c r="A24" t="s">
        <v>204</v>
      </c>
      <c r="B24" t="s">
        <v>40</v>
      </c>
      <c r="C24" t="s">
        <v>32</v>
      </c>
      <c r="D24" t="s">
        <v>41</v>
      </c>
      <c r="E24">
        <v>62686</v>
      </c>
      <c r="F24">
        <v>77228</v>
      </c>
      <c r="G24">
        <v>77686</v>
      </c>
      <c r="H24">
        <v>15000</v>
      </c>
      <c r="I24">
        <v>111868</v>
      </c>
      <c r="J24" t="str">
        <f>HYPERLINK("https://driffle.com/es/clair-obscur-expedition-33-deluxe-edition-latam-pc-steam-digital-key-p9938799","Abrir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36</v>
      </c>
      <c r="T24" t="s">
        <v>214</v>
      </c>
      <c r="U24" t="s">
        <v>215</v>
      </c>
      <c r="V24" t="s">
        <v>36</v>
      </c>
      <c r="W24" t="s">
        <v>216</v>
      </c>
      <c r="X24" t="s">
        <v>217</v>
      </c>
      <c r="Y24" t="s">
        <v>218</v>
      </c>
      <c r="Z24" t="s">
        <v>219</v>
      </c>
    </row>
    <row r="25">
      <c r="A25" t="s">
        <v>204</v>
      </c>
      <c r="B25" t="s">
        <v>52</v>
      </c>
      <c r="C25" t="s">
        <v>32</v>
      </c>
      <c r="D25" t="s">
        <v>41</v>
      </c>
      <c r="E25">
        <v>38464</v>
      </c>
      <c r="F25">
        <v>64354</v>
      </c>
      <c r="G25">
        <v>59301</v>
      </c>
      <c r="H25">
        <v>20837</v>
      </c>
      <c r="I25">
        <v>85393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42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36</v>
      </c>
      <c r="T25" t="s">
        <v>223</v>
      </c>
      <c r="U25" t="s">
        <v>224</v>
      </c>
      <c r="V25" t="s">
        <v>36</v>
      </c>
      <c r="W25" t="s">
        <v>225</v>
      </c>
      <c r="X25" t="s">
        <v>226</v>
      </c>
      <c r="Y25" t="s">
        <v>227</v>
      </c>
      <c r="Z25" t="s">
        <v>228</v>
      </c>
    </row>
    <row r="26">
      <c r="A26" t="s">
        <v>204</v>
      </c>
      <c r="B26" t="s">
        <v>62</v>
      </c>
      <c r="C26" t="s">
        <v>28</v>
      </c>
      <c r="D26" t="s">
        <v>29</v>
      </c>
      <c r="E26">
        <v>36301</v>
      </c>
      <c r="F26">
        <v>64354</v>
      </c>
      <c r="G26">
        <v>51301</v>
      </c>
      <c r="H26">
        <v>15000</v>
      </c>
      <c r="I26">
        <v>73873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36</v>
      </c>
      <c r="T26" t="s">
        <v>36</v>
      </c>
      <c r="U26" t="s">
        <v>232</v>
      </c>
      <c r="V26" t="s">
        <v>36</v>
      </c>
      <c r="W26" t="s">
        <v>233</v>
      </c>
      <c r="X26" t="s">
        <v>36</v>
      </c>
      <c r="Y26" t="s">
        <v>234</v>
      </c>
      <c r="Z26" t="s">
        <v>36</v>
      </c>
    </row>
    <row r="27">
      <c r="A27" t="s">
        <v>235</v>
      </c>
      <c r="B27" t="s">
        <v>27</v>
      </c>
      <c r="C27" t="s">
        <v>28</v>
      </c>
      <c r="D27" t="s">
        <v>29</v>
      </c>
      <c r="E27">
        <v>63744</v>
      </c>
      <c r="F27">
        <v>147118</v>
      </c>
      <c r="G27">
        <v>88874</v>
      </c>
      <c r="H27">
        <v>25130</v>
      </c>
      <c r="I27">
        <v>127979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36</v>
      </c>
      <c r="T27" t="s">
        <v>36</v>
      </c>
      <c r="U27" t="s">
        <v>239</v>
      </c>
      <c r="V27" t="s">
        <v>36</v>
      </c>
      <c r="W27" t="s">
        <v>240</v>
      </c>
      <c r="X27" t="s">
        <v>36</v>
      </c>
      <c r="Y27" t="s">
        <v>241</v>
      </c>
      <c r="Z27" t="s">
        <v>36</v>
      </c>
    </row>
    <row r="28">
      <c r="A28" t="s">
        <v>235</v>
      </c>
      <c r="B28" t="s">
        <v>40</v>
      </c>
      <c r="C28" t="s">
        <v>32</v>
      </c>
      <c r="D28" t="s">
        <v>41</v>
      </c>
      <c r="E28">
        <v>60844</v>
      </c>
      <c r="F28">
        <v>147118</v>
      </c>
      <c r="G28">
        <v>87844</v>
      </c>
      <c r="H28">
        <v>27000</v>
      </c>
      <c r="I28">
        <v>126495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36</v>
      </c>
      <c r="T28" t="s">
        <v>245</v>
      </c>
      <c r="U28" t="s">
        <v>246</v>
      </c>
      <c r="V28" t="s">
        <v>36</v>
      </c>
      <c r="W28" t="s">
        <v>247</v>
      </c>
      <c r="X28" t="s">
        <v>248</v>
      </c>
      <c r="Y28" t="s">
        <v>249</v>
      </c>
      <c r="Z28" t="s">
        <v>250</v>
      </c>
    </row>
    <row r="29">
      <c r="A29" t="s">
        <v>235</v>
      </c>
      <c r="B29" t="s">
        <v>52</v>
      </c>
      <c r="C29" t="s">
        <v>32</v>
      </c>
      <c r="D29" t="s">
        <v>41</v>
      </c>
      <c r="E29">
        <v>54660</v>
      </c>
      <c r="F29">
        <v>128726</v>
      </c>
      <c r="G29">
        <v>89018</v>
      </c>
      <c r="H29">
        <v>34358</v>
      </c>
      <c r="I29">
        <v>128186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254</v>
      </c>
      <c r="U29" t="s">
        <v>255</v>
      </c>
      <c r="V29" t="s">
        <v>36</v>
      </c>
      <c r="W29" t="s">
        <v>256</v>
      </c>
      <c r="X29" t="s">
        <v>257</v>
      </c>
      <c r="Y29" t="s">
        <v>258</v>
      </c>
      <c r="Z29" t="s">
        <v>259</v>
      </c>
    </row>
    <row r="30">
      <c r="A30" t="s">
        <v>235</v>
      </c>
      <c r="B30" t="s">
        <v>62</v>
      </c>
      <c r="C30" t="s">
        <v>28</v>
      </c>
      <c r="D30" t="s">
        <v>29</v>
      </c>
      <c r="E30">
        <v>53010</v>
      </c>
      <c r="F30">
        <v>128726</v>
      </c>
      <c r="G30">
        <v>77407</v>
      </c>
      <c r="H30">
        <v>24397</v>
      </c>
      <c r="I30">
        <v>111466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36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266</v>
      </c>
      <c r="B31" t="s">
        <v>52</v>
      </c>
      <c r="C31" t="s">
        <v>32</v>
      </c>
      <c r="D31" t="s">
        <v>41</v>
      </c>
      <c r="E31">
        <v>23021</v>
      </c>
      <c r="F31">
        <v>36766</v>
      </c>
      <c r="G31">
        <v>38494</v>
      </c>
      <c r="H31">
        <v>15473</v>
      </c>
      <c r="I31">
        <v>55431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36</v>
      </c>
      <c r="T31" t="s">
        <v>36</v>
      </c>
      <c r="U31" t="s">
        <v>270</v>
      </c>
      <c r="V31" t="s">
        <v>36</v>
      </c>
      <c r="W31" t="s">
        <v>271</v>
      </c>
      <c r="X31" t="s">
        <v>272</v>
      </c>
      <c r="Y31" t="s">
        <v>273</v>
      </c>
      <c r="Z31" t="s">
        <v>36</v>
      </c>
    </row>
    <row r="32">
      <c r="A32" t="s">
        <v>266</v>
      </c>
      <c r="B32" t="s">
        <v>62</v>
      </c>
      <c r="C32" t="s">
        <v>28</v>
      </c>
      <c r="D32" t="s">
        <v>29</v>
      </c>
      <c r="E32">
        <v>6056</v>
      </c>
      <c r="F32">
        <v>36766</v>
      </c>
      <c r="G32">
        <v>22761</v>
      </c>
      <c r="H32">
        <v>16705</v>
      </c>
      <c r="I32">
        <v>32776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36</v>
      </c>
      <c r="U32" t="s">
        <v>277</v>
      </c>
      <c r="V32" t="s">
        <v>36</v>
      </c>
      <c r="W32" t="s">
        <v>278</v>
      </c>
      <c r="X32" t="s">
        <v>36</v>
      </c>
      <c r="Y32" t="s">
        <v>279</v>
      </c>
      <c r="Z32" t="s">
        <v>36</v>
      </c>
    </row>
    <row r="33">
      <c r="A33" t="s">
        <v>280</v>
      </c>
      <c r="B33" t="s">
        <v>62</v>
      </c>
      <c r="C33" t="s">
        <v>28</v>
      </c>
      <c r="D33" t="s">
        <v>29</v>
      </c>
      <c r="E33">
        <v>13072</v>
      </c>
      <c r="F33">
        <v>82746</v>
      </c>
      <c r="G33">
        <v>40072</v>
      </c>
      <c r="H33">
        <v>27000</v>
      </c>
      <c r="I33">
        <v>57704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70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36</v>
      </c>
      <c r="T33" t="s">
        <v>36</v>
      </c>
      <c r="U33" t="s">
        <v>284</v>
      </c>
      <c r="V33" t="s">
        <v>36</v>
      </c>
      <c r="W33" t="s">
        <v>285</v>
      </c>
      <c r="X33" t="s">
        <v>36</v>
      </c>
      <c r="Y33" t="s">
        <v>286</v>
      </c>
      <c r="Z33" t="s">
        <v>36</v>
      </c>
    </row>
    <row r="34">
      <c r="A34" t="s">
        <v>280</v>
      </c>
      <c r="B34" t="s">
        <v>287</v>
      </c>
      <c r="C34" t="s">
        <v>28</v>
      </c>
      <c r="D34" t="s">
        <v>29</v>
      </c>
      <c r="E34">
        <v>32056</v>
      </c>
      <c r="F34">
        <v>124109</v>
      </c>
      <c r="G34">
        <v>59056</v>
      </c>
      <c r="H34">
        <v>27000</v>
      </c>
      <c r="I34">
        <v>85041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36</v>
      </c>
      <c r="T34" t="s">
        <v>36</v>
      </c>
      <c r="U34" t="s">
        <v>291</v>
      </c>
      <c r="V34" t="s">
        <v>36</v>
      </c>
      <c r="W34" t="s">
        <v>292</v>
      </c>
      <c r="X34" t="s">
        <v>36</v>
      </c>
      <c r="Y34" t="s">
        <v>293</v>
      </c>
      <c r="Z34" t="s">
        <v>36</v>
      </c>
    </row>
    <row r="35">
      <c r="A35" t="s">
        <v>294</v>
      </c>
      <c r="B35" t="s">
        <v>295</v>
      </c>
      <c r="C35" t="s">
        <v>32</v>
      </c>
      <c r="D35" t="s">
        <v>41</v>
      </c>
      <c r="E35">
        <v>109048</v>
      </c>
      <c r="F35">
        <v>128726</v>
      </c>
      <c r="G35">
        <v>124048</v>
      </c>
      <c r="H35">
        <v>15000</v>
      </c>
      <c r="I35">
        <v>178629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42</v>
      </c>
      <c r="M35" t="s">
        <v>70</v>
      </c>
      <c r="N35" t="s">
        <v>32</v>
      </c>
      <c r="O35" t="s">
        <v>296</v>
      </c>
      <c r="P35" t="s">
        <v>297</v>
      </c>
      <c r="Q35" t="s">
        <v>32</v>
      </c>
      <c r="R35" t="s">
        <v>298</v>
      </c>
      <c r="S35" t="s">
        <v>36</v>
      </c>
      <c r="T35" t="s">
        <v>299</v>
      </c>
      <c r="U35" t="s">
        <v>300</v>
      </c>
      <c r="V35" t="s">
        <v>36</v>
      </c>
      <c r="W35" t="s">
        <v>36</v>
      </c>
      <c r="X35" t="s">
        <v>301</v>
      </c>
      <c r="Y35" t="s">
        <v>302</v>
      </c>
      <c r="Z35" t="s">
        <v>36</v>
      </c>
    </row>
    <row r="36">
      <c r="A36" t="s">
        <v>294</v>
      </c>
      <c r="B36" t="s">
        <v>52</v>
      </c>
      <c r="C36" t="s">
        <v>32</v>
      </c>
      <c r="D36" t="s">
        <v>41</v>
      </c>
      <c r="E36">
        <v>29188</v>
      </c>
      <c r="F36">
        <v>91942</v>
      </c>
      <c r="G36">
        <v>56188</v>
      </c>
      <c r="H36">
        <v>27000</v>
      </c>
      <c r="I36">
        <v>80911</v>
      </c>
      <c r="J36" t="str">
        <f>HYPERLINK("https://driffle.com/es/dayz-latam-pc-steam-digital-code-p9887060","Abrir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31</v>
      </c>
      <c r="N36" t="s">
        <v>32</v>
      </c>
      <c r="O36" t="s">
        <v>303</v>
      </c>
      <c r="P36" t="s">
        <v>304</v>
      </c>
      <c r="Q36" t="s">
        <v>32</v>
      </c>
      <c r="R36" t="s">
        <v>305</v>
      </c>
      <c r="S36" t="s">
        <v>36</v>
      </c>
      <c r="T36" t="s">
        <v>36</v>
      </c>
      <c r="U36" t="s">
        <v>306</v>
      </c>
      <c r="V36" t="s">
        <v>36</v>
      </c>
      <c r="W36" t="s">
        <v>307</v>
      </c>
      <c r="X36" t="s">
        <v>308</v>
      </c>
      <c r="Y36" t="s">
        <v>309</v>
      </c>
      <c r="Z36" t="s">
        <v>36</v>
      </c>
    </row>
    <row r="37">
      <c r="A37" t="s">
        <v>294</v>
      </c>
      <c r="B37" t="s">
        <v>62</v>
      </c>
      <c r="C37" t="s">
        <v>28</v>
      </c>
      <c r="D37" t="s">
        <v>29</v>
      </c>
      <c r="E37">
        <v>18840</v>
      </c>
      <c r="F37">
        <v>91942</v>
      </c>
      <c r="G37">
        <v>45840</v>
      </c>
      <c r="H37">
        <v>27000</v>
      </c>
      <c r="I37">
        <v>66010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70</v>
      </c>
      <c r="N37" t="s">
        <v>32</v>
      </c>
      <c r="O37" t="s">
        <v>310</v>
      </c>
      <c r="P37" t="s">
        <v>311</v>
      </c>
      <c r="Q37" t="s">
        <v>32</v>
      </c>
      <c r="R37" t="s">
        <v>312</v>
      </c>
      <c r="S37" t="s">
        <v>36</v>
      </c>
      <c r="T37" t="s">
        <v>36</v>
      </c>
      <c r="U37" t="s">
        <v>313</v>
      </c>
      <c r="V37" t="s">
        <v>36</v>
      </c>
      <c r="W37" t="s">
        <v>314</v>
      </c>
      <c r="X37" t="s">
        <v>36</v>
      </c>
      <c r="Y37" t="s">
        <v>315</v>
      </c>
      <c r="Z37" t="s">
        <v>36</v>
      </c>
    </row>
    <row r="38">
      <c r="A38" t="s">
        <v>316</v>
      </c>
      <c r="B38" t="s">
        <v>62</v>
      </c>
      <c r="C38" t="s">
        <v>28</v>
      </c>
      <c r="D38" t="s">
        <v>29</v>
      </c>
      <c r="E38">
        <v>5879</v>
      </c>
      <c r="F38">
        <v>27570</v>
      </c>
      <c r="G38">
        <v>20879</v>
      </c>
      <c r="H38">
        <v>15000</v>
      </c>
      <c r="I38">
        <v>30066</v>
      </c>
      <c r="J38" t="str">
        <f>HYPERLINK("https://www.kinguin.net/es/category/158643/dead-by-daylight-steam-account","Abrir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317</v>
      </c>
      <c r="M38" t="s">
        <v>318</v>
      </c>
      <c r="N38" t="s">
        <v>32</v>
      </c>
      <c r="O38" t="s">
        <v>319</v>
      </c>
      <c r="P38" t="s">
        <v>320</v>
      </c>
      <c r="Q38" t="s">
        <v>32</v>
      </c>
      <c r="R38" t="s">
        <v>321</v>
      </c>
      <c r="S38" t="s">
        <v>322</v>
      </c>
      <c r="T38" t="s">
        <v>36</v>
      </c>
      <c r="U38" t="s">
        <v>323</v>
      </c>
      <c r="V38" t="s">
        <v>36</v>
      </c>
      <c r="W38" t="s">
        <v>324</v>
      </c>
      <c r="X38" t="s">
        <v>36</v>
      </c>
      <c r="Y38" t="s">
        <v>325</v>
      </c>
      <c r="Z38" t="s">
        <v>36</v>
      </c>
    </row>
    <row r="39">
      <c r="A39" t="s">
        <v>326</v>
      </c>
      <c r="B39" t="s">
        <v>52</v>
      </c>
      <c r="C39" t="s">
        <v>32</v>
      </c>
      <c r="D39" t="s">
        <v>41</v>
      </c>
      <c r="E39">
        <v>87645</v>
      </c>
      <c r="F39">
        <v>128726</v>
      </c>
      <c r="G39">
        <v>102645</v>
      </c>
      <c r="H39">
        <v>15000</v>
      </c>
      <c r="I39">
        <v>147809</v>
      </c>
      <c r="J39" t="str">
        <f>HYPERLINK("https://www.eneba.com/latam/steam-death-stranding-2-on-the-beach-steam-key-pc-global","Abrir compra")</f>
        <v>Abrir compra</v>
      </c>
      <c r="K39" t="str">
        <f>HYPERLINK("https://store.steampowered.com/app/3280350/DEATH_STRANDING_2_ON_THE_BEACH/","Abrir Steam")</f>
        <v>Abrir Steam</v>
      </c>
      <c r="L39" t="s">
        <v>42</v>
      </c>
      <c r="M39" t="s">
        <v>31</v>
      </c>
      <c r="N39" t="s">
        <v>32</v>
      </c>
      <c r="O39" t="s">
        <v>327</v>
      </c>
      <c r="P39" t="s">
        <v>328</v>
      </c>
      <c r="Q39" t="s">
        <v>32</v>
      </c>
      <c r="R39" t="s">
        <v>329</v>
      </c>
      <c r="S39" t="s">
        <v>36</v>
      </c>
      <c r="T39" t="s">
        <v>330</v>
      </c>
      <c r="U39" t="s">
        <v>331</v>
      </c>
      <c r="V39" t="s">
        <v>36</v>
      </c>
      <c r="W39" t="s">
        <v>332</v>
      </c>
      <c r="X39" t="s">
        <v>333</v>
      </c>
      <c r="Y39" t="s">
        <v>334</v>
      </c>
      <c r="Z39" t="s">
        <v>36</v>
      </c>
    </row>
    <row r="40">
      <c r="A40" t="s">
        <v>326</v>
      </c>
      <c r="B40" t="s">
        <v>62</v>
      </c>
      <c r="C40" t="s">
        <v>28</v>
      </c>
      <c r="D40" t="s">
        <v>29</v>
      </c>
      <c r="E40">
        <v>47724</v>
      </c>
      <c r="F40">
        <v>128726</v>
      </c>
      <c r="G40">
        <v>74724</v>
      </c>
      <c r="H40">
        <v>27000</v>
      </c>
      <c r="I40">
        <v>107603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36</v>
      </c>
      <c r="T40" t="s">
        <v>36</v>
      </c>
      <c r="U40" t="s">
        <v>338</v>
      </c>
      <c r="V40" t="s">
        <v>36</v>
      </c>
      <c r="W40" t="s">
        <v>36</v>
      </c>
      <c r="X40" t="s">
        <v>36</v>
      </c>
      <c r="Y40" t="s">
        <v>339</v>
      </c>
      <c r="Z40" t="s">
        <v>36</v>
      </c>
    </row>
    <row r="41">
      <c r="A41" t="s">
        <v>340</v>
      </c>
      <c r="B41" t="s">
        <v>52</v>
      </c>
      <c r="C41" t="s">
        <v>32</v>
      </c>
      <c r="D41" t="s">
        <v>41</v>
      </c>
      <c r="E41">
        <v>8154</v>
      </c>
      <c r="F41">
        <v>58836</v>
      </c>
      <c r="G41">
        <v>38682</v>
      </c>
      <c r="H41">
        <v>30528</v>
      </c>
      <c r="I41">
        <v>55702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42</v>
      </c>
      <c r="M41" t="s">
        <v>31</v>
      </c>
      <c r="N41" t="s">
        <v>32</v>
      </c>
      <c r="O41" t="s">
        <v>341</v>
      </c>
      <c r="P41" t="s">
        <v>342</v>
      </c>
      <c r="Q41" t="s">
        <v>32</v>
      </c>
      <c r="R41" t="s">
        <v>343</v>
      </c>
      <c r="S41" t="s">
        <v>36</v>
      </c>
      <c r="T41" t="s">
        <v>344</v>
      </c>
      <c r="U41" t="s">
        <v>345</v>
      </c>
      <c r="V41" t="s">
        <v>346</v>
      </c>
      <c r="W41" t="s">
        <v>347</v>
      </c>
      <c r="X41" t="s">
        <v>348</v>
      </c>
      <c r="Y41" t="s">
        <v>349</v>
      </c>
      <c r="Z41" t="s">
        <v>350</v>
      </c>
    </row>
    <row r="42">
      <c r="A42" t="s">
        <v>340</v>
      </c>
      <c r="B42" t="s">
        <v>62</v>
      </c>
      <c r="C42" t="s">
        <v>28</v>
      </c>
      <c r="D42" t="s">
        <v>29</v>
      </c>
      <c r="E42">
        <v>4341</v>
      </c>
      <c r="F42">
        <v>58836</v>
      </c>
      <c r="G42">
        <v>30682</v>
      </c>
      <c r="H42">
        <v>26341</v>
      </c>
      <c r="I42">
        <v>44182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32</v>
      </c>
      <c r="O42" t="s">
        <v>351</v>
      </c>
      <c r="P42" t="s">
        <v>352</v>
      </c>
      <c r="Q42" t="s">
        <v>32</v>
      </c>
      <c r="R42" t="s">
        <v>353</v>
      </c>
      <c r="S42" t="s">
        <v>354</v>
      </c>
      <c r="T42" t="s">
        <v>36</v>
      </c>
      <c r="U42" t="s">
        <v>355</v>
      </c>
      <c r="V42" t="s">
        <v>36</v>
      </c>
      <c r="W42" t="s">
        <v>356</v>
      </c>
      <c r="X42" t="s">
        <v>36</v>
      </c>
      <c r="Y42" t="s">
        <v>357</v>
      </c>
      <c r="Z42" t="s">
        <v>36</v>
      </c>
    </row>
    <row r="43">
      <c r="A43" t="s">
        <v>358</v>
      </c>
      <c r="B43" t="s">
        <v>359</v>
      </c>
      <c r="C43" t="s">
        <v>28</v>
      </c>
      <c r="D43" t="s">
        <v>29</v>
      </c>
      <c r="E43">
        <v>85963</v>
      </c>
      <c r="F43">
        <v>128726</v>
      </c>
      <c r="G43">
        <v>100963</v>
      </c>
      <c r="H43">
        <v>15000</v>
      </c>
      <c r="I43">
        <v>145387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32</v>
      </c>
      <c r="O43" t="s">
        <v>360</v>
      </c>
      <c r="P43" t="s">
        <v>361</v>
      </c>
      <c r="Q43" t="s">
        <v>32</v>
      </c>
      <c r="R43" t="s">
        <v>362</v>
      </c>
      <c r="S43" t="s">
        <v>363</v>
      </c>
      <c r="T43" t="s">
        <v>36</v>
      </c>
      <c r="U43" t="s">
        <v>364</v>
      </c>
      <c r="V43" t="s">
        <v>36</v>
      </c>
      <c r="W43" t="s">
        <v>365</v>
      </c>
      <c r="X43" t="s">
        <v>36</v>
      </c>
      <c r="Y43" t="s">
        <v>366</v>
      </c>
      <c r="Z43" t="s">
        <v>36</v>
      </c>
    </row>
    <row r="44">
      <c r="A44" t="s">
        <v>358</v>
      </c>
      <c r="B44" t="s">
        <v>62</v>
      </c>
      <c r="C44" t="s">
        <v>28</v>
      </c>
      <c r="D44" t="s">
        <v>29</v>
      </c>
      <c r="E44">
        <v>37615</v>
      </c>
      <c r="F44">
        <v>91942</v>
      </c>
      <c r="G44">
        <v>56903</v>
      </c>
      <c r="H44">
        <v>19288</v>
      </c>
      <c r="I44">
        <v>81940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367</v>
      </c>
      <c r="P44" t="s">
        <v>368</v>
      </c>
      <c r="Q44" t="s">
        <v>32</v>
      </c>
      <c r="R44" t="s">
        <v>369</v>
      </c>
      <c r="S44" t="s">
        <v>36</v>
      </c>
      <c r="T44" t="s">
        <v>36</v>
      </c>
      <c r="U44" t="s">
        <v>370</v>
      </c>
      <c r="V44" t="s">
        <v>36</v>
      </c>
      <c r="W44" t="s">
        <v>371</v>
      </c>
      <c r="X44" t="s">
        <v>36</v>
      </c>
      <c r="Y44" t="s">
        <v>372</v>
      </c>
      <c r="Z44" t="s">
        <v>36</v>
      </c>
    </row>
    <row r="45">
      <c r="A45" t="s">
        <v>373</v>
      </c>
      <c r="B45" t="s">
        <v>62</v>
      </c>
      <c r="C45" t="s">
        <v>28</v>
      </c>
      <c r="D45" t="s">
        <v>29</v>
      </c>
      <c r="E45">
        <v>11358</v>
      </c>
      <c r="F45">
        <v>27570</v>
      </c>
      <c r="G45">
        <v>26358</v>
      </c>
      <c r="H45">
        <v>15000</v>
      </c>
      <c r="I45">
        <v>37956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30</v>
      </c>
      <c r="M45" t="s">
        <v>70</v>
      </c>
      <c r="N45" t="s">
        <v>32</v>
      </c>
      <c r="O45" t="s">
        <v>374</v>
      </c>
      <c r="P45" t="s">
        <v>375</v>
      </c>
      <c r="Q45" t="s">
        <v>32</v>
      </c>
      <c r="R45" t="s">
        <v>376</v>
      </c>
      <c r="S45" t="s">
        <v>36</v>
      </c>
      <c r="T45" t="s">
        <v>36</v>
      </c>
      <c r="U45" t="s">
        <v>377</v>
      </c>
      <c r="V45" t="s">
        <v>36</v>
      </c>
      <c r="W45" t="s">
        <v>378</v>
      </c>
      <c r="X45" t="s">
        <v>36</v>
      </c>
      <c r="Y45" t="s">
        <v>379</v>
      </c>
      <c r="Z45" t="s">
        <v>36</v>
      </c>
    </row>
    <row r="46">
      <c r="A46" t="s">
        <v>380</v>
      </c>
      <c r="B46" t="s">
        <v>27</v>
      </c>
      <c r="C46" t="s">
        <v>28</v>
      </c>
      <c r="D46" t="s">
        <v>29</v>
      </c>
      <c r="E46">
        <v>114415</v>
      </c>
      <c r="F46">
        <v>147118</v>
      </c>
      <c r="G46">
        <v>129415</v>
      </c>
      <c r="H46">
        <v>15000</v>
      </c>
      <c r="I46">
        <v>186358</v>
      </c>
      <c r="J46" t="str">
        <f>HYPERLINK("https://www.kinguin.net/es/category/273307/dragon-ball-sparking-zero-deluxe-edition-pc-steam-account","Abrir compra")</f>
        <v>Abrir compra</v>
      </c>
      <c r="K46" t="str">
        <f>HYPERLINK("https://store.steampowered.com/app/1790600/DRAGON_BALL_Sparking_ZERO/","Abrir Steam")</f>
        <v>Abrir Steam</v>
      </c>
      <c r="L46" t="s">
        <v>317</v>
      </c>
      <c r="M46" t="s">
        <v>70</v>
      </c>
      <c r="N46" t="s">
        <v>32</v>
      </c>
      <c r="O46" t="s">
        <v>381</v>
      </c>
      <c r="P46" t="s">
        <v>382</v>
      </c>
      <c r="Q46" t="s">
        <v>32</v>
      </c>
      <c r="R46" t="s">
        <v>383</v>
      </c>
      <c r="S46" t="s">
        <v>384</v>
      </c>
      <c r="T46" t="s">
        <v>36</v>
      </c>
      <c r="U46" t="s">
        <v>36</v>
      </c>
      <c r="V46" t="s">
        <v>36</v>
      </c>
      <c r="W46" t="s">
        <v>385</v>
      </c>
      <c r="X46" t="s">
        <v>36</v>
      </c>
      <c r="Y46" t="s">
        <v>36</v>
      </c>
      <c r="Z46" t="s">
        <v>36</v>
      </c>
    </row>
    <row r="47">
      <c r="A47" t="s">
        <v>380</v>
      </c>
      <c r="B47" t="s">
        <v>52</v>
      </c>
      <c r="C47" t="s">
        <v>32</v>
      </c>
      <c r="D47" t="s">
        <v>41</v>
      </c>
      <c r="E47">
        <v>78354</v>
      </c>
      <c r="F47">
        <v>102977</v>
      </c>
      <c r="G47">
        <v>113061</v>
      </c>
      <c r="H47">
        <v>34707</v>
      </c>
      <c r="I47">
        <v>162808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42</v>
      </c>
      <c r="M47" t="s">
        <v>31</v>
      </c>
      <c r="N47" t="s">
        <v>32</v>
      </c>
      <c r="O47" t="s">
        <v>386</v>
      </c>
      <c r="P47" t="s">
        <v>387</v>
      </c>
      <c r="Q47" t="s">
        <v>32</v>
      </c>
      <c r="R47" t="s">
        <v>388</v>
      </c>
      <c r="S47" t="s">
        <v>36</v>
      </c>
      <c r="T47" t="s">
        <v>389</v>
      </c>
      <c r="U47" t="s">
        <v>36</v>
      </c>
      <c r="V47" t="s">
        <v>36</v>
      </c>
      <c r="W47" t="s">
        <v>390</v>
      </c>
      <c r="X47" t="s">
        <v>391</v>
      </c>
      <c r="Y47" t="s">
        <v>36</v>
      </c>
      <c r="Z47" t="s">
        <v>36</v>
      </c>
    </row>
    <row r="48">
      <c r="A48" t="s">
        <v>380</v>
      </c>
      <c r="B48" t="s">
        <v>62</v>
      </c>
      <c r="C48" t="s">
        <v>28</v>
      </c>
      <c r="D48" t="s">
        <v>29</v>
      </c>
      <c r="E48">
        <v>37471</v>
      </c>
      <c r="F48">
        <v>102977</v>
      </c>
      <c r="G48">
        <v>61149</v>
      </c>
      <c r="H48">
        <v>23678</v>
      </c>
      <c r="I48">
        <v>88055</v>
      </c>
      <c r="J48" t="str">
        <f>HYPERLINK("https://www.kinguin.net/es/category/267255/dragon-ball-sparking-zero-pc-steam-account","Abrir compra")</f>
        <v>Abrir compra</v>
      </c>
      <c r="K48" t="str">
        <f>HYPERLINK("https://store.steampowered.com/app/1790600/DRAGON_BALL_Sparking_ZERO/","Abrir Steam")</f>
        <v>Abrir Steam</v>
      </c>
      <c r="L48" t="s">
        <v>317</v>
      </c>
      <c r="M48" t="s">
        <v>318</v>
      </c>
      <c r="N48" t="s">
        <v>32</v>
      </c>
      <c r="O48" t="s">
        <v>392</v>
      </c>
      <c r="P48" t="s">
        <v>393</v>
      </c>
      <c r="Q48" t="s">
        <v>32</v>
      </c>
      <c r="R48" t="s">
        <v>394</v>
      </c>
      <c r="S48" t="s">
        <v>395</v>
      </c>
      <c r="T48" t="s">
        <v>36</v>
      </c>
      <c r="U48" t="s">
        <v>396</v>
      </c>
      <c r="V48" t="s">
        <v>36</v>
      </c>
      <c r="W48" t="s">
        <v>397</v>
      </c>
      <c r="X48" t="s">
        <v>36</v>
      </c>
      <c r="Y48" t="s">
        <v>398</v>
      </c>
      <c r="Z48" t="s">
        <v>36</v>
      </c>
    </row>
    <row r="49">
      <c r="A49" t="s">
        <v>380</v>
      </c>
      <c r="B49" t="s">
        <v>399</v>
      </c>
      <c r="C49" t="s">
        <v>32</v>
      </c>
      <c r="D49" t="s">
        <v>41</v>
      </c>
      <c r="E49">
        <v>173609</v>
      </c>
      <c r="F49">
        <v>161831</v>
      </c>
      <c r="G49">
        <v>188609</v>
      </c>
      <c r="H49">
        <v>15000</v>
      </c>
      <c r="I49">
        <v>271597</v>
      </c>
      <c r="J49" t="str">
        <f>HYPERLINK("https://www.eneba.com/latam/steam-dragon-ball-sparking-zero-ultimate-edition-pc-steam-key-latam","Abrir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400</v>
      </c>
      <c r="P49" t="s">
        <v>401</v>
      </c>
      <c r="Q49" t="s">
        <v>32</v>
      </c>
      <c r="R49" t="s">
        <v>402</v>
      </c>
      <c r="S49" t="s">
        <v>36</v>
      </c>
      <c r="T49" t="s">
        <v>403</v>
      </c>
      <c r="U49" t="s">
        <v>36</v>
      </c>
      <c r="V49" t="s">
        <v>36</v>
      </c>
      <c r="W49" t="s">
        <v>404</v>
      </c>
      <c r="X49" t="s">
        <v>405</v>
      </c>
      <c r="Y49" t="s">
        <v>36</v>
      </c>
      <c r="Z49" t="s">
        <v>36</v>
      </c>
    </row>
    <row r="50">
      <c r="A50" t="s">
        <v>380</v>
      </c>
      <c r="B50" t="s">
        <v>287</v>
      </c>
      <c r="C50" t="s">
        <v>28</v>
      </c>
      <c r="D50" t="s">
        <v>29</v>
      </c>
      <c r="E50">
        <v>128657</v>
      </c>
      <c r="F50">
        <v>161831</v>
      </c>
      <c r="G50">
        <v>143657</v>
      </c>
      <c r="H50">
        <v>15000</v>
      </c>
      <c r="I50">
        <v>206866</v>
      </c>
      <c r="J50" t="str">
        <f>HYPERLINK("https://driffle.com/es/dragon-ball-sparking-zero-ultimate-edition-global-pc-steam-account-p9979494","Abrir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406</v>
      </c>
      <c r="P50" t="s">
        <v>407</v>
      </c>
      <c r="Q50" t="s">
        <v>32</v>
      </c>
      <c r="R50" t="s">
        <v>408</v>
      </c>
      <c r="S50" t="s">
        <v>36</v>
      </c>
      <c r="T50" t="s">
        <v>36</v>
      </c>
      <c r="U50" t="s">
        <v>409</v>
      </c>
      <c r="V50" t="s">
        <v>36</v>
      </c>
      <c r="W50" t="s">
        <v>410</v>
      </c>
      <c r="X50" t="s">
        <v>36</v>
      </c>
      <c r="Y50" t="s">
        <v>411</v>
      </c>
      <c r="Z50" t="s">
        <v>36</v>
      </c>
    </row>
    <row r="51">
      <c r="A51" t="s">
        <v>412</v>
      </c>
      <c r="B51" t="s">
        <v>413</v>
      </c>
      <c r="C51" t="s">
        <v>32</v>
      </c>
      <c r="D51" t="s">
        <v>41</v>
      </c>
      <c r="E51">
        <v>79812</v>
      </c>
      <c r="F51">
        <v>95620</v>
      </c>
      <c r="G51">
        <v>96855</v>
      </c>
      <c r="H51">
        <v>17043</v>
      </c>
      <c r="I51">
        <v>139471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414</v>
      </c>
      <c r="P51" t="s">
        <v>415</v>
      </c>
      <c r="Q51" t="s">
        <v>32</v>
      </c>
      <c r="R51" t="s">
        <v>416</v>
      </c>
      <c r="S51" t="s">
        <v>36</v>
      </c>
      <c r="T51" t="s">
        <v>417</v>
      </c>
      <c r="U51" t="s">
        <v>418</v>
      </c>
      <c r="V51" t="s">
        <v>36</v>
      </c>
      <c r="W51" t="s">
        <v>419</v>
      </c>
      <c r="X51" t="s">
        <v>420</v>
      </c>
      <c r="Y51" t="s">
        <v>421</v>
      </c>
      <c r="Z51" t="s">
        <v>422</v>
      </c>
    </row>
    <row r="52">
      <c r="A52" t="s">
        <v>412</v>
      </c>
      <c r="B52" t="s">
        <v>27</v>
      </c>
      <c r="C52" t="s">
        <v>28</v>
      </c>
      <c r="D52" t="s">
        <v>29</v>
      </c>
      <c r="E52">
        <v>69222</v>
      </c>
      <c r="F52">
        <v>95620</v>
      </c>
      <c r="G52">
        <v>84222</v>
      </c>
      <c r="H52">
        <v>15000</v>
      </c>
      <c r="I52">
        <v>121280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423</v>
      </c>
      <c r="P52" t="s">
        <v>424</v>
      </c>
      <c r="Q52" t="s">
        <v>32</v>
      </c>
      <c r="R52" t="s">
        <v>425</v>
      </c>
      <c r="S52" t="s">
        <v>36</v>
      </c>
      <c r="T52" t="s">
        <v>36</v>
      </c>
      <c r="U52" t="s">
        <v>426</v>
      </c>
      <c r="V52" t="s">
        <v>36</v>
      </c>
      <c r="W52" t="s">
        <v>427</v>
      </c>
      <c r="X52" t="s">
        <v>36</v>
      </c>
      <c r="Y52" t="s">
        <v>428</v>
      </c>
      <c r="Z52" t="s">
        <v>36</v>
      </c>
    </row>
    <row r="53">
      <c r="A53" t="s">
        <v>412</v>
      </c>
      <c r="B53" t="s">
        <v>52</v>
      </c>
      <c r="C53" t="s">
        <v>32</v>
      </c>
      <c r="D53" t="s">
        <v>41</v>
      </c>
      <c r="E53">
        <v>62654</v>
      </c>
      <c r="F53">
        <v>82746</v>
      </c>
      <c r="G53">
        <v>77654</v>
      </c>
      <c r="H53">
        <v>15000</v>
      </c>
      <c r="I53">
        <v>111822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429</v>
      </c>
      <c r="P53" t="s">
        <v>430</v>
      </c>
      <c r="Q53" t="s">
        <v>32</v>
      </c>
      <c r="R53" t="s">
        <v>431</v>
      </c>
      <c r="S53" t="s">
        <v>36</v>
      </c>
      <c r="T53" t="s">
        <v>432</v>
      </c>
      <c r="U53" t="s">
        <v>433</v>
      </c>
      <c r="V53" t="s">
        <v>434</v>
      </c>
      <c r="W53" t="s">
        <v>435</v>
      </c>
      <c r="X53" t="s">
        <v>436</v>
      </c>
      <c r="Y53" t="s">
        <v>437</v>
      </c>
      <c r="Z53" t="s">
        <v>438</v>
      </c>
    </row>
    <row r="54">
      <c r="A54" t="s">
        <v>412</v>
      </c>
      <c r="B54" t="s">
        <v>62</v>
      </c>
      <c r="C54" t="s">
        <v>28</v>
      </c>
      <c r="D54" t="s">
        <v>29</v>
      </c>
      <c r="E54">
        <v>34075</v>
      </c>
      <c r="F54">
        <v>82746</v>
      </c>
      <c r="G54">
        <v>51901</v>
      </c>
      <c r="H54">
        <v>17826</v>
      </c>
      <c r="I54">
        <v>74737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439</v>
      </c>
      <c r="P54" t="s">
        <v>440</v>
      </c>
      <c r="Q54" t="s">
        <v>32</v>
      </c>
      <c r="R54" t="s">
        <v>441</v>
      </c>
      <c r="S54" t="s">
        <v>36</v>
      </c>
      <c r="T54" t="s">
        <v>36</v>
      </c>
      <c r="U54" t="s">
        <v>442</v>
      </c>
      <c r="V54" t="s">
        <v>36</v>
      </c>
      <c r="W54" t="s">
        <v>443</v>
      </c>
      <c r="X54" t="s">
        <v>36</v>
      </c>
      <c r="Y54" t="s">
        <v>444</v>
      </c>
      <c r="Z54" t="s">
        <v>36</v>
      </c>
    </row>
    <row r="55">
      <c r="A55" t="s">
        <v>445</v>
      </c>
      <c r="B55" t="s">
        <v>52</v>
      </c>
      <c r="C55" t="s">
        <v>32</v>
      </c>
      <c r="D55" t="s">
        <v>41</v>
      </c>
      <c r="E55">
        <v>17622</v>
      </c>
      <c r="F55">
        <v>107207</v>
      </c>
      <c r="G55">
        <v>44622</v>
      </c>
      <c r="H55">
        <v>27000</v>
      </c>
      <c r="I55">
        <v>64256</v>
      </c>
      <c r="J55" t="str">
        <f>HYPERLINK("https://www.eneba.com/latam/steam-dynasty-warriors-origins-pc-steam-key-latam","Abrir compra")</f>
        <v>Abrir compra</v>
      </c>
      <c r="K55" t="str">
        <f>HYPERLINK("https://store.steampowered.com/app/2384580/DYNASTY_WARRIORS_ORIGINS/","Abrir Steam")</f>
        <v>Abrir Steam</v>
      </c>
      <c r="L55" t="s">
        <v>42</v>
      </c>
      <c r="M55" t="s">
        <v>31</v>
      </c>
      <c r="N55" t="s">
        <v>32</v>
      </c>
      <c r="O55" t="s">
        <v>446</v>
      </c>
      <c r="P55" t="s">
        <v>447</v>
      </c>
      <c r="Q55" t="s">
        <v>32</v>
      </c>
      <c r="R55" t="s">
        <v>448</v>
      </c>
      <c r="S55" t="s">
        <v>36</v>
      </c>
      <c r="T55" t="s">
        <v>449</v>
      </c>
      <c r="U55" t="s">
        <v>450</v>
      </c>
      <c r="V55" t="s">
        <v>451</v>
      </c>
      <c r="W55" t="s">
        <v>452</v>
      </c>
      <c r="X55" t="s">
        <v>453</v>
      </c>
      <c r="Y55" t="s">
        <v>454</v>
      </c>
      <c r="Z55" t="s">
        <v>455</v>
      </c>
    </row>
    <row r="56">
      <c r="A56" t="s">
        <v>456</v>
      </c>
      <c r="B56" t="s">
        <v>62</v>
      </c>
      <c r="C56" t="s">
        <v>28</v>
      </c>
      <c r="D56" t="s">
        <v>29</v>
      </c>
      <c r="E56">
        <v>3412</v>
      </c>
      <c r="F56">
        <v>128726</v>
      </c>
      <c r="G56">
        <v>30412</v>
      </c>
      <c r="H56">
        <v>27000</v>
      </c>
      <c r="I56">
        <v>43793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457</v>
      </c>
      <c r="P56" t="s">
        <v>458</v>
      </c>
      <c r="Q56" t="s">
        <v>32</v>
      </c>
      <c r="R56" t="s">
        <v>459</v>
      </c>
      <c r="S56" t="s">
        <v>36</v>
      </c>
      <c r="T56" t="s">
        <v>36</v>
      </c>
      <c r="U56" t="s">
        <v>460</v>
      </c>
      <c r="V56" t="s">
        <v>36</v>
      </c>
      <c r="W56" t="s">
        <v>461</v>
      </c>
      <c r="X56" t="s">
        <v>36</v>
      </c>
      <c r="Y56" t="s">
        <v>462</v>
      </c>
      <c r="Z56" t="s">
        <v>36</v>
      </c>
    </row>
    <row r="57">
      <c r="A57" t="s">
        <v>456</v>
      </c>
      <c r="B57" t="s">
        <v>463</v>
      </c>
      <c r="C57" t="s">
        <v>28</v>
      </c>
      <c r="D57" t="s">
        <v>29</v>
      </c>
      <c r="E57">
        <v>14306</v>
      </c>
      <c r="F57">
        <v>165510</v>
      </c>
      <c r="G57">
        <v>41306</v>
      </c>
      <c r="H57">
        <v>27000</v>
      </c>
      <c r="I57">
        <v>59481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464</v>
      </c>
      <c r="P57" t="s">
        <v>465</v>
      </c>
      <c r="Q57" t="s">
        <v>32</v>
      </c>
      <c r="R57" t="s">
        <v>466</v>
      </c>
      <c r="S57" t="s">
        <v>36</v>
      </c>
      <c r="T57" t="s">
        <v>36</v>
      </c>
      <c r="U57" t="s">
        <v>467</v>
      </c>
      <c r="V57" t="s">
        <v>36</v>
      </c>
      <c r="W57" t="s">
        <v>468</v>
      </c>
      <c r="X57" t="s">
        <v>36</v>
      </c>
      <c r="Y57" t="s">
        <v>469</v>
      </c>
      <c r="Z57" t="s">
        <v>36</v>
      </c>
    </row>
    <row r="58">
      <c r="A58" t="s">
        <v>470</v>
      </c>
      <c r="B58" t="s">
        <v>52</v>
      </c>
      <c r="C58" t="s">
        <v>32</v>
      </c>
      <c r="D58" t="s">
        <v>41</v>
      </c>
      <c r="E58">
        <v>92564</v>
      </c>
      <c r="F58">
        <v>88263</v>
      </c>
      <c r="G58">
        <v>107564</v>
      </c>
      <c r="H58">
        <v>15000</v>
      </c>
      <c r="I58">
        <v>154892</v>
      </c>
      <c r="J58" t="str">
        <f>HYPERLINK("https://www.eneba.com/latam/steam-elden-ring-pc-steam-key-latam","Abrir compra")</f>
        <v>Abrir compra</v>
      </c>
      <c r="K58" t="str">
        <f>HYPERLINK("https://store.steampowered.com/app/1245620/ELDEN_RING/","Abrir Steam")</f>
        <v>Abrir Steam</v>
      </c>
      <c r="L58" t="s">
        <v>42</v>
      </c>
      <c r="M58" t="s">
        <v>31</v>
      </c>
      <c r="N58" t="s">
        <v>32</v>
      </c>
      <c r="O58" t="s">
        <v>471</v>
      </c>
      <c r="P58" t="s">
        <v>472</v>
      </c>
      <c r="Q58" t="s">
        <v>32</v>
      </c>
      <c r="R58" t="s">
        <v>473</v>
      </c>
      <c r="S58" t="s">
        <v>36</v>
      </c>
      <c r="T58" t="s">
        <v>474</v>
      </c>
      <c r="U58" t="s">
        <v>36</v>
      </c>
      <c r="V58" t="s">
        <v>36</v>
      </c>
      <c r="W58" t="s">
        <v>475</v>
      </c>
      <c r="X58" t="s">
        <v>476</v>
      </c>
      <c r="Y58" t="s">
        <v>477</v>
      </c>
      <c r="Z58" t="s">
        <v>36</v>
      </c>
    </row>
    <row r="59">
      <c r="A59" t="s">
        <v>470</v>
      </c>
      <c r="B59" t="s">
        <v>62</v>
      </c>
      <c r="C59" t="s">
        <v>28</v>
      </c>
      <c r="D59" t="s">
        <v>29</v>
      </c>
      <c r="E59">
        <v>50912</v>
      </c>
      <c r="F59">
        <v>88263</v>
      </c>
      <c r="G59">
        <v>65912</v>
      </c>
      <c r="H59">
        <v>15000</v>
      </c>
      <c r="I59">
        <v>94913</v>
      </c>
      <c r="J59" t="str">
        <f>HYPERLINK("https://driffle.com/es/elden-ring-global-pc-steam-account-p9943442","Abrir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70</v>
      </c>
      <c r="N59" t="s">
        <v>32</v>
      </c>
      <c r="O59" t="s">
        <v>478</v>
      </c>
      <c r="P59" t="s">
        <v>479</v>
      </c>
      <c r="Q59" t="s">
        <v>32</v>
      </c>
      <c r="R59" t="s">
        <v>480</v>
      </c>
      <c r="S59" t="s">
        <v>36</v>
      </c>
      <c r="T59" t="s">
        <v>36</v>
      </c>
      <c r="U59" t="s">
        <v>481</v>
      </c>
      <c r="V59" t="s">
        <v>36</v>
      </c>
      <c r="W59" t="s">
        <v>482</v>
      </c>
      <c r="X59" t="s">
        <v>36</v>
      </c>
      <c r="Y59" t="s">
        <v>483</v>
      </c>
      <c r="Z59" t="s">
        <v>36</v>
      </c>
    </row>
    <row r="60">
      <c r="A60" t="s">
        <v>470</v>
      </c>
      <c r="B60" t="s">
        <v>484</v>
      </c>
      <c r="C60" t="s">
        <v>28</v>
      </c>
      <c r="D60" t="s">
        <v>29</v>
      </c>
      <c r="E60">
        <v>100702</v>
      </c>
      <c r="F60">
        <v>117690</v>
      </c>
      <c r="G60">
        <v>115702</v>
      </c>
      <c r="H60">
        <v>15000</v>
      </c>
      <c r="I60">
        <v>166611</v>
      </c>
      <c r="J60" t="str">
        <f>HYPERLINK("https://driffle.com/es/elden-ring-shadow-of-the-erdtree-edition-global-pc-steam-account-p9979504","Abrir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31</v>
      </c>
      <c r="N60" t="s">
        <v>32</v>
      </c>
      <c r="O60" t="s">
        <v>485</v>
      </c>
      <c r="P60" t="s">
        <v>486</v>
      </c>
      <c r="Q60" t="s">
        <v>32</v>
      </c>
      <c r="R60" t="s">
        <v>487</v>
      </c>
      <c r="S60" t="s">
        <v>36</v>
      </c>
      <c r="T60" t="s">
        <v>36</v>
      </c>
      <c r="U60" t="s">
        <v>488</v>
      </c>
      <c r="V60" t="s">
        <v>36</v>
      </c>
      <c r="W60" t="s">
        <v>489</v>
      </c>
      <c r="X60" t="s">
        <v>36</v>
      </c>
      <c r="Y60" t="s">
        <v>490</v>
      </c>
      <c r="Z60" t="s">
        <v>36</v>
      </c>
    </row>
    <row r="61">
      <c r="A61" t="s">
        <v>491</v>
      </c>
      <c r="B61" t="s">
        <v>52</v>
      </c>
      <c r="C61" t="s">
        <v>32</v>
      </c>
      <c r="D61" t="s">
        <v>41</v>
      </c>
      <c r="E61">
        <v>45401</v>
      </c>
      <c r="F61">
        <v>58836</v>
      </c>
      <c r="G61">
        <v>60401</v>
      </c>
      <c r="H61">
        <v>15000</v>
      </c>
      <c r="I61">
        <v>86977</v>
      </c>
      <c r="J61" t="str">
        <f>HYPERLINK("https://www.eneba.com/latam/steam-elden-ring-nightreign-steam-key-pc-latam","Abrir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42</v>
      </c>
      <c r="M61" t="s">
        <v>31</v>
      </c>
      <c r="N61" t="s">
        <v>32</v>
      </c>
      <c r="O61" t="s">
        <v>492</v>
      </c>
      <c r="P61" t="s">
        <v>493</v>
      </c>
      <c r="Q61" t="s">
        <v>32</v>
      </c>
      <c r="R61" t="s">
        <v>494</v>
      </c>
      <c r="S61" t="s">
        <v>36</v>
      </c>
      <c r="T61" t="s">
        <v>495</v>
      </c>
      <c r="U61" t="s">
        <v>496</v>
      </c>
      <c r="V61" t="s">
        <v>36</v>
      </c>
      <c r="W61" t="s">
        <v>497</v>
      </c>
      <c r="X61" t="s">
        <v>498</v>
      </c>
      <c r="Y61" t="s">
        <v>499</v>
      </c>
      <c r="Z61" t="s">
        <v>36</v>
      </c>
    </row>
    <row r="62">
      <c r="A62" t="s">
        <v>491</v>
      </c>
      <c r="B62" t="s">
        <v>62</v>
      </c>
      <c r="C62" t="s">
        <v>28</v>
      </c>
      <c r="D62" t="s">
        <v>29</v>
      </c>
      <c r="E62">
        <v>33193</v>
      </c>
      <c r="F62">
        <v>58836</v>
      </c>
      <c r="G62">
        <v>48193</v>
      </c>
      <c r="H62">
        <v>15000</v>
      </c>
      <c r="I62">
        <v>69398</v>
      </c>
      <c r="J62" t="str">
        <f>HYPERLINK("https://driffle.com/es/elden-ring-nightreign-global-pc-steam-account-p9945661","Abrir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31</v>
      </c>
      <c r="N62" t="s">
        <v>32</v>
      </c>
      <c r="O62" t="s">
        <v>500</v>
      </c>
      <c r="P62" t="s">
        <v>501</v>
      </c>
      <c r="Q62" t="s">
        <v>32</v>
      </c>
      <c r="R62" t="s">
        <v>502</v>
      </c>
      <c r="S62" t="s">
        <v>36</v>
      </c>
      <c r="T62" t="s">
        <v>36</v>
      </c>
      <c r="U62" t="s">
        <v>503</v>
      </c>
      <c r="V62" t="s">
        <v>36</v>
      </c>
      <c r="W62" t="s">
        <v>504</v>
      </c>
      <c r="X62" t="s">
        <v>36</v>
      </c>
      <c r="Y62" t="s">
        <v>505</v>
      </c>
      <c r="Z62" t="s">
        <v>36</v>
      </c>
    </row>
    <row r="63">
      <c r="A63" t="s">
        <v>506</v>
      </c>
      <c r="B63" t="s">
        <v>507</v>
      </c>
      <c r="C63" t="s">
        <v>28</v>
      </c>
      <c r="D63" t="s">
        <v>29</v>
      </c>
      <c r="E63">
        <v>45417</v>
      </c>
      <c r="F63">
        <v>91942</v>
      </c>
      <c r="G63">
        <v>60417</v>
      </c>
      <c r="H63">
        <v>15000</v>
      </c>
      <c r="I63">
        <v>87000</v>
      </c>
      <c r="J63" t="str">
        <f>HYPERLINK("https://driffle.com/es/f1-25-2026-season-edition-global-pc-steam-account-p9996177","Abrir compra")</f>
        <v>Abrir compra</v>
      </c>
      <c r="K63" t="str">
        <f>HYPERLINK("https://store.steampowered.com/app/3059520/F1_25/","Abrir Steam")</f>
        <v>Abrir Steam</v>
      </c>
      <c r="L63" t="s">
        <v>30</v>
      </c>
      <c r="M63" t="s">
        <v>31</v>
      </c>
      <c r="N63" t="s">
        <v>32</v>
      </c>
      <c r="O63" t="s">
        <v>508</v>
      </c>
      <c r="P63" t="s">
        <v>509</v>
      </c>
      <c r="Q63" t="s">
        <v>32</v>
      </c>
      <c r="R63" t="s">
        <v>510</v>
      </c>
      <c r="S63" t="s">
        <v>36</v>
      </c>
      <c r="T63" t="s">
        <v>36</v>
      </c>
      <c r="U63" t="s">
        <v>511</v>
      </c>
      <c r="V63" t="s">
        <v>36</v>
      </c>
      <c r="W63" t="s">
        <v>512</v>
      </c>
      <c r="X63" t="s">
        <v>36</v>
      </c>
      <c r="Y63" t="s">
        <v>513</v>
      </c>
      <c r="Z63" t="s">
        <v>36</v>
      </c>
    </row>
    <row r="64">
      <c r="A64" t="s">
        <v>514</v>
      </c>
      <c r="B64" t="s">
        <v>52</v>
      </c>
      <c r="C64" t="s">
        <v>32</v>
      </c>
      <c r="D64" t="s">
        <v>41</v>
      </c>
      <c r="E64">
        <v>13617</v>
      </c>
      <c r="F64">
        <v>44122</v>
      </c>
      <c r="G64">
        <v>33092</v>
      </c>
      <c r="H64">
        <v>19475</v>
      </c>
      <c r="I64">
        <v>47652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42</v>
      </c>
      <c r="M64" t="s">
        <v>31</v>
      </c>
      <c r="N64" t="s">
        <v>32</v>
      </c>
      <c r="O64" t="s">
        <v>515</v>
      </c>
      <c r="P64" t="s">
        <v>516</v>
      </c>
      <c r="Q64" t="s">
        <v>32</v>
      </c>
      <c r="R64" t="s">
        <v>517</v>
      </c>
      <c r="S64" t="s">
        <v>36</v>
      </c>
      <c r="T64" t="s">
        <v>518</v>
      </c>
      <c r="U64" t="s">
        <v>519</v>
      </c>
      <c r="V64" t="s">
        <v>36</v>
      </c>
      <c r="W64" t="s">
        <v>520</v>
      </c>
      <c r="X64" t="s">
        <v>521</v>
      </c>
      <c r="Y64" t="s">
        <v>522</v>
      </c>
      <c r="Z64" t="s">
        <v>523</v>
      </c>
    </row>
    <row r="65">
      <c r="A65" t="s">
        <v>514</v>
      </c>
      <c r="B65" t="s">
        <v>62</v>
      </c>
      <c r="C65" t="s">
        <v>28</v>
      </c>
      <c r="D65" t="s">
        <v>29</v>
      </c>
      <c r="E65">
        <v>9580</v>
      </c>
      <c r="F65">
        <v>44122</v>
      </c>
      <c r="G65">
        <v>27039</v>
      </c>
      <c r="H65">
        <v>17459</v>
      </c>
      <c r="I65">
        <v>38936</v>
      </c>
      <c r="J65" t="str">
        <f>HYPERLINK("https://driffle.com/es/fallout-76-global-pc-steam-account-p9979508","Abrir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30</v>
      </c>
      <c r="M65" t="s">
        <v>70</v>
      </c>
      <c r="N65" t="s">
        <v>32</v>
      </c>
      <c r="O65" t="s">
        <v>524</v>
      </c>
      <c r="P65" t="s">
        <v>525</v>
      </c>
      <c r="Q65" t="s">
        <v>32</v>
      </c>
      <c r="R65" t="s">
        <v>526</v>
      </c>
      <c r="S65" t="s">
        <v>36</v>
      </c>
      <c r="T65" t="s">
        <v>36</v>
      </c>
      <c r="U65" t="s">
        <v>527</v>
      </c>
      <c r="V65" t="s">
        <v>36</v>
      </c>
      <c r="W65" t="s">
        <v>528</v>
      </c>
      <c r="X65" t="s">
        <v>36</v>
      </c>
      <c r="Y65" t="s">
        <v>529</v>
      </c>
      <c r="Z65" t="s">
        <v>36</v>
      </c>
    </row>
    <row r="66">
      <c r="A66" t="s">
        <v>530</v>
      </c>
      <c r="B66" t="s">
        <v>52</v>
      </c>
      <c r="C66" t="s">
        <v>32</v>
      </c>
      <c r="D66" t="s">
        <v>41</v>
      </c>
      <c r="E66">
        <v>26834</v>
      </c>
      <c r="F66">
        <v>58836</v>
      </c>
      <c r="G66">
        <v>43210</v>
      </c>
      <c r="H66">
        <v>16376</v>
      </c>
      <c r="I66">
        <v>62222</v>
      </c>
      <c r="J66" t="str">
        <f>HYPERLINK("https://driffle.com/es/final-fantasy-vii-remake-intergrade-pc-steam-digital-code-p9907421","Abrir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30</v>
      </c>
      <c r="M66" t="s">
        <v>70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36</v>
      </c>
      <c r="T66" t="s">
        <v>534</v>
      </c>
      <c r="U66" t="s">
        <v>535</v>
      </c>
      <c r="V66" t="s">
        <v>36</v>
      </c>
      <c r="W66" t="s">
        <v>536</v>
      </c>
      <c r="X66" t="s">
        <v>537</v>
      </c>
      <c r="Y66" t="s">
        <v>538</v>
      </c>
      <c r="Z66" t="s">
        <v>539</v>
      </c>
    </row>
    <row r="67">
      <c r="A67" t="s">
        <v>540</v>
      </c>
      <c r="B67" t="s">
        <v>27</v>
      </c>
      <c r="C67" t="s">
        <v>28</v>
      </c>
      <c r="D67" t="s">
        <v>29</v>
      </c>
      <c r="E67">
        <v>36766</v>
      </c>
      <c r="F67">
        <v>75113</v>
      </c>
      <c r="G67">
        <v>51766</v>
      </c>
      <c r="H67">
        <v>15000</v>
      </c>
      <c r="I67">
        <v>74543</v>
      </c>
      <c r="J67" t="str">
        <f>HYPERLINK("https://driffle.com/es/forza-horizon-5-deluxe-edition-global-pc-steam-account-p9962282","Abrir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70</v>
      </c>
      <c r="N67" t="s">
        <v>32</v>
      </c>
      <c r="O67" t="s">
        <v>541</v>
      </c>
      <c r="P67" t="s">
        <v>542</v>
      </c>
      <c r="Q67" t="s">
        <v>32</v>
      </c>
      <c r="R67" t="s">
        <v>543</v>
      </c>
      <c r="S67" t="s">
        <v>36</v>
      </c>
      <c r="T67" t="s">
        <v>36</v>
      </c>
      <c r="U67" t="s">
        <v>544</v>
      </c>
      <c r="V67" t="s">
        <v>36</v>
      </c>
      <c r="W67" t="s">
        <v>545</v>
      </c>
      <c r="X67" t="s">
        <v>36</v>
      </c>
      <c r="Y67" t="s">
        <v>546</v>
      </c>
      <c r="Z67" t="s">
        <v>36</v>
      </c>
    </row>
    <row r="68">
      <c r="A68" t="s">
        <v>540</v>
      </c>
      <c r="B68" t="s">
        <v>62</v>
      </c>
      <c r="C68" t="s">
        <v>28</v>
      </c>
      <c r="D68" t="s">
        <v>29</v>
      </c>
      <c r="E68">
        <v>20313</v>
      </c>
      <c r="F68">
        <v>60289</v>
      </c>
      <c r="G68">
        <v>37638</v>
      </c>
      <c r="H68">
        <v>17325</v>
      </c>
      <c r="I68">
        <v>54199</v>
      </c>
      <c r="J68" t="str">
        <f>HYPERLINK("https://driffle.com/es/forza-horizon-5-global-pc-steam-account-p9943443","Abrir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31</v>
      </c>
      <c r="N68" t="s">
        <v>32</v>
      </c>
      <c r="O68" t="s">
        <v>547</v>
      </c>
      <c r="P68" t="s">
        <v>548</v>
      </c>
      <c r="Q68" t="s">
        <v>32</v>
      </c>
      <c r="R68" t="s">
        <v>549</v>
      </c>
      <c r="S68" t="s">
        <v>36</v>
      </c>
      <c r="T68" t="s">
        <v>36</v>
      </c>
      <c r="U68" t="s">
        <v>550</v>
      </c>
      <c r="V68" t="s">
        <v>36</v>
      </c>
      <c r="W68" t="s">
        <v>551</v>
      </c>
      <c r="X68" t="s">
        <v>36</v>
      </c>
      <c r="Y68" t="s">
        <v>552</v>
      </c>
      <c r="Z68" t="s">
        <v>36</v>
      </c>
    </row>
    <row r="69">
      <c r="A69" t="s">
        <v>540</v>
      </c>
      <c r="B69" t="s">
        <v>553</v>
      </c>
      <c r="C69" t="s">
        <v>28</v>
      </c>
      <c r="D69" t="s">
        <v>29</v>
      </c>
      <c r="E69">
        <v>40547</v>
      </c>
      <c r="F69">
        <v>94553</v>
      </c>
      <c r="G69">
        <v>59094</v>
      </c>
      <c r="H69">
        <v>18547</v>
      </c>
      <c r="I69">
        <v>85095</v>
      </c>
      <c r="J69" t="str">
        <f>HYPERLINK("https://driffle.com/es/forza-horizon-5-premium-edition-global-pc-steam-account-p9945649","Abrir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70</v>
      </c>
      <c r="N69" t="s">
        <v>32</v>
      </c>
      <c r="O69" t="s">
        <v>554</v>
      </c>
      <c r="P69" t="s">
        <v>555</v>
      </c>
      <c r="Q69" t="s">
        <v>32</v>
      </c>
      <c r="R69" t="s">
        <v>556</v>
      </c>
      <c r="S69" t="s">
        <v>36</v>
      </c>
      <c r="T69" t="s">
        <v>36</v>
      </c>
      <c r="U69" t="s">
        <v>557</v>
      </c>
      <c r="V69" t="s">
        <v>36</v>
      </c>
      <c r="W69" t="s">
        <v>558</v>
      </c>
      <c r="X69" t="s">
        <v>36</v>
      </c>
      <c r="Y69" t="s">
        <v>559</v>
      </c>
      <c r="Z69" t="s">
        <v>36</v>
      </c>
    </row>
    <row r="70">
      <c r="A70" t="s">
        <v>560</v>
      </c>
      <c r="B70" t="s">
        <v>27</v>
      </c>
      <c r="C70" t="s">
        <v>28</v>
      </c>
      <c r="D70" t="s">
        <v>29</v>
      </c>
      <c r="E70">
        <v>72971</v>
      </c>
      <c r="F70">
        <v>128726</v>
      </c>
      <c r="G70">
        <v>87971</v>
      </c>
      <c r="H70">
        <v>15000</v>
      </c>
      <c r="I70">
        <v>126678</v>
      </c>
      <c r="J70" t="str">
        <f>HYPERLINK("https://driffle.com/es/forza-horizon-6-deluxe-edition-global-pc-steam-account-p9980950","Abrir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561</v>
      </c>
      <c r="P70" t="s">
        <v>562</v>
      </c>
      <c r="Q70" t="s">
        <v>32</v>
      </c>
      <c r="R70" t="s">
        <v>563</v>
      </c>
      <c r="S70" t="s">
        <v>36</v>
      </c>
      <c r="T70" t="s">
        <v>36</v>
      </c>
      <c r="U70" t="s">
        <v>564</v>
      </c>
      <c r="V70" t="s">
        <v>36</v>
      </c>
      <c r="W70" t="s">
        <v>565</v>
      </c>
      <c r="X70" t="s">
        <v>36</v>
      </c>
      <c r="Y70" t="s">
        <v>566</v>
      </c>
      <c r="Z70" t="s">
        <v>36</v>
      </c>
    </row>
    <row r="71">
      <c r="A71" t="s">
        <v>560</v>
      </c>
      <c r="B71" t="s">
        <v>62</v>
      </c>
      <c r="C71" t="s">
        <v>28</v>
      </c>
      <c r="D71" t="s">
        <v>29</v>
      </c>
      <c r="E71">
        <v>54196</v>
      </c>
      <c r="F71">
        <v>90102</v>
      </c>
      <c r="G71">
        <v>69196</v>
      </c>
      <c r="H71">
        <v>15000</v>
      </c>
      <c r="I71">
        <v>99642</v>
      </c>
      <c r="J71" t="str">
        <f>HYPERLINK("https://driffle.com/es/forza-horizon-6-global-pc-steam-account-p9980945","Abrir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567</v>
      </c>
      <c r="P71" t="s">
        <v>568</v>
      </c>
      <c r="Q71" t="s">
        <v>32</v>
      </c>
      <c r="R71" t="s">
        <v>569</v>
      </c>
      <c r="S71" t="s">
        <v>36</v>
      </c>
      <c r="T71" t="s">
        <v>36</v>
      </c>
      <c r="U71" t="s">
        <v>570</v>
      </c>
      <c r="V71" t="s">
        <v>36</v>
      </c>
      <c r="W71" t="s">
        <v>571</v>
      </c>
      <c r="X71" t="s">
        <v>36</v>
      </c>
      <c r="Y71" t="s">
        <v>572</v>
      </c>
      <c r="Z71" t="s">
        <v>36</v>
      </c>
    </row>
    <row r="72">
      <c r="A72" t="s">
        <v>560</v>
      </c>
      <c r="B72" t="s">
        <v>553</v>
      </c>
      <c r="C72" t="s">
        <v>28</v>
      </c>
      <c r="D72" t="s">
        <v>29</v>
      </c>
      <c r="E72">
        <v>92884</v>
      </c>
      <c r="F72">
        <v>154474</v>
      </c>
      <c r="G72">
        <v>107884</v>
      </c>
      <c r="H72">
        <v>15000</v>
      </c>
      <c r="I72">
        <v>155353</v>
      </c>
      <c r="J72" t="str">
        <f>HYPERLINK("https://driffle.com/es/forza-horizon-6-premium-edition-global-pc-steam-account-p9980955","Abrir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32</v>
      </c>
      <c r="O72" t="s">
        <v>573</v>
      </c>
      <c r="P72" t="s">
        <v>574</v>
      </c>
      <c r="Q72" t="s">
        <v>32</v>
      </c>
      <c r="R72" t="s">
        <v>575</v>
      </c>
      <c r="S72" t="s">
        <v>36</v>
      </c>
      <c r="T72" t="s">
        <v>36</v>
      </c>
      <c r="U72" t="s">
        <v>576</v>
      </c>
      <c r="V72" t="s">
        <v>36</v>
      </c>
      <c r="W72" t="s">
        <v>577</v>
      </c>
      <c r="X72" t="s">
        <v>36</v>
      </c>
      <c r="Y72" t="s">
        <v>578</v>
      </c>
      <c r="Z72" t="s">
        <v>36</v>
      </c>
    </row>
    <row r="73">
      <c r="A73" t="s">
        <v>579</v>
      </c>
      <c r="B73" t="s">
        <v>580</v>
      </c>
      <c r="C73" t="s">
        <v>32</v>
      </c>
      <c r="D73" t="s">
        <v>41</v>
      </c>
      <c r="E73">
        <v>37791</v>
      </c>
      <c r="F73">
        <v>91942</v>
      </c>
      <c r="G73">
        <v>62491</v>
      </c>
      <c r="H73">
        <v>24700</v>
      </c>
      <c r="I73">
        <v>89987</v>
      </c>
      <c r="J73" t="str">
        <f>HYPERLINK("https://driffle.com/es/ghost-of-tsushima-directors-cut-latam-pc-steam-digital-key-p9944724","Abrir compra")</f>
        <v>Abrir compra</v>
      </c>
      <c r="K73" t="str">
        <f>HYPERLINK("https://store.steampowered.com/app/2215430/Ghost_of_Tsushima_VERSIN_DEL_DIRECTOR/?l=spanish","Abrir Steam")</f>
        <v>Abrir Steam</v>
      </c>
      <c r="L73" t="s">
        <v>30</v>
      </c>
      <c r="M73" t="s">
        <v>31</v>
      </c>
      <c r="N73" t="s">
        <v>32</v>
      </c>
      <c r="O73" t="s">
        <v>581</v>
      </c>
      <c r="P73" t="s">
        <v>582</v>
      </c>
      <c r="Q73" t="s">
        <v>32</v>
      </c>
      <c r="R73" t="s">
        <v>583</v>
      </c>
      <c r="S73" t="s">
        <v>36</v>
      </c>
      <c r="T73" t="s">
        <v>584</v>
      </c>
      <c r="U73" t="s">
        <v>585</v>
      </c>
      <c r="V73" t="s">
        <v>36</v>
      </c>
      <c r="W73" t="s">
        <v>586</v>
      </c>
      <c r="X73" t="s">
        <v>587</v>
      </c>
      <c r="Y73" t="s">
        <v>588</v>
      </c>
      <c r="Z73" t="s">
        <v>589</v>
      </c>
    </row>
    <row r="74">
      <c r="A74" t="s">
        <v>590</v>
      </c>
      <c r="B74" t="s">
        <v>52</v>
      </c>
      <c r="C74" t="s">
        <v>32</v>
      </c>
      <c r="D74" t="s">
        <v>41</v>
      </c>
      <c r="E74">
        <v>23630</v>
      </c>
      <c r="F74">
        <v>91942</v>
      </c>
      <c r="G74">
        <v>58630</v>
      </c>
      <c r="H74">
        <v>35000</v>
      </c>
      <c r="I74">
        <v>84427</v>
      </c>
      <c r="J74" t="str">
        <f>HYPERLINK("https://www.eneba.com/latam/steam-god-of-war-pc-steam-key-latam","Abrir compra")</f>
        <v>Abrir compra</v>
      </c>
      <c r="K74" t="str">
        <f>HYPERLINK("https://store.steampowered.com/app/1593500/God_of_War/","Abrir Steam")</f>
        <v>Abrir Steam</v>
      </c>
      <c r="L74" t="s">
        <v>42</v>
      </c>
      <c r="M74" t="s">
        <v>31</v>
      </c>
      <c r="N74" t="s">
        <v>32</v>
      </c>
      <c r="O74" t="s">
        <v>591</v>
      </c>
      <c r="P74" t="s">
        <v>592</v>
      </c>
      <c r="Q74" t="s">
        <v>32</v>
      </c>
      <c r="R74" t="s">
        <v>593</v>
      </c>
      <c r="S74" t="s">
        <v>36</v>
      </c>
      <c r="T74" t="s">
        <v>594</v>
      </c>
      <c r="U74" t="s">
        <v>595</v>
      </c>
      <c r="V74" t="s">
        <v>36</v>
      </c>
      <c r="W74" t="s">
        <v>36</v>
      </c>
      <c r="X74" t="s">
        <v>596</v>
      </c>
      <c r="Y74" t="s">
        <v>597</v>
      </c>
      <c r="Z74" t="s">
        <v>36</v>
      </c>
    </row>
    <row r="75">
      <c r="A75" t="s">
        <v>590</v>
      </c>
      <c r="B75" t="s">
        <v>62</v>
      </c>
      <c r="C75" t="s">
        <v>28</v>
      </c>
      <c r="D75" t="s">
        <v>29</v>
      </c>
      <c r="E75">
        <v>29269</v>
      </c>
      <c r="F75">
        <v>91942</v>
      </c>
      <c r="G75">
        <v>53565</v>
      </c>
      <c r="H75">
        <v>24296</v>
      </c>
      <c r="I75">
        <v>77134</v>
      </c>
      <c r="J75" t="str">
        <f>HYPERLINK("https://driffle.com/es/god-of-war-global-pc-steam-account-p9971517","Abrir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598</v>
      </c>
      <c r="P75" t="s">
        <v>599</v>
      </c>
      <c r="Q75" t="s">
        <v>32</v>
      </c>
      <c r="R75" t="s">
        <v>600</v>
      </c>
      <c r="S75" t="s">
        <v>36</v>
      </c>
      <c r="T75" t="s">
        <v>36</v>
      </c>
      <c r="U75" t="s">
        <v>601</v>
      </c>
      <c r="V75" t="s">
        <v>36</v>
      </c>
      <c r="W75" t="s">
        <v>602</v>
      </c>
      <c r="X75" t="s">
        <v>36</v>
      </c>
      <c r="Y75" t="s">
        <v>603</v>
      </c>
      <c r="Z75" t="s">
        <v>36</v>
      </c>
    </row>
    <row r="76">
      <c r="A76" t="s">
        <v>604</v>
      </c>
      <c r="B76" t="s">
        <v>413</v>
      </c>
      <c r="C76" t="s">
        <v>32</v>
      </c>
      <c r="D76" t="s">
        <v>41</v>
      </c>
      <c r="E76">
        <v>60892</v>
      </c>
      <c r="F76">
        <v>91942</v>
      </c>
      <c r="G76">
        <v>75892</v>
      </c>
      <c r="H76">
        <v>15000</v>
      </c>
      <c r="I76">
        <v>109284</v>
      </c>
      <c r="J76" t="str">
        <f>HYPERLINK("https://driffle.com/es/god-of-war-ragnarok-deluxe-edition-pc-steam-digital-code-p9910056","Abrir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605</v>
      </c>
      <c r="P76" t="s">
        <v>606</v>
      </c>
      <c r="Q76" t="s">
        <v>32</v>
      </c>
      <c r="R76" t="s">
        <v>607</v>
      </c>
      <c r="S76" t="s">
        <v>36</v>
      </c>
      <c r="T76" t="s">
        <v>36</v>
      </c>
      <c r="U76" t="s">
        <v>608</v>
      </c>
      <c r="V76" t="s">
        <v>36</v>
      </c>
      <c r="W76" t="s">
        <v>609</v>
      </c>
      <c r="X76" t="s">
        <v>610</v>
      </c>
      <c r="Y76" t="s">
        <v>611</v>
      </c>
      <c r="Z76" t="s">
        <v>36</v>
      </c>
    </row>
    <row r="77">
      <c r="A77" t="s">
        <v>604</v>
      </c>
      <c r="B77" t="s">
        <v>52</v>
      </c>
      <c r="C77" t="s">
        <v>32</v>
      </c>
      <c r="D77" t="s">
        <v>41</v>
      </c>
      <c r="E77">
        <v>45785</v>
      </c>
      <c r="F77">
        <v>91942</v>
      </c>
      <c r="G77">
        <v>68957</v>
      </c>
      <c r="H77">
        <v>23172</v>
      </c>
      <c r="I77">
        <v>99298</v>
      </c>
      <c r="J77" t="str">
        <f>HYPERLINK("https://www.eneba.com/latam/steam-god-of-war-ragnarok-pc-steam-key-latam","Abrir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42</v>
      </c>
      <c r="M77" t="s">
        <v>31</v>
      </c>
      <c r="N77" t="s">
        <v>32</v>
      </c>
      <c r="O77" t="s">
        <v>612</v>
      </c>
      <c r="P77" t="s">
        <v>613</v>
      </c>
      <c r="Q77" t="s">
        <v>32</v>
      </c>
      <c r="R77" t="s">
        <v>614</v>
      </c>
      <c r="S77" t="s">
        <v>36</v>
      </c>
      <c r="T77" t="s">
        <v>615</v>
      </c>
      <c r="U77" t="s">
        <v>616</v>
      </c>
      <c r="V77" t="s">
        <v>36</v>
      </c>
      <c r="W77" t="s">
        <v>617</v>
      </c>
      <c r="X77" t="s">
        <v>618</v>
      </c>
      <c r="Y77" t="s">
        <v>619</v>
      </c>
      <c r="Z77" t="s">
        <v>36</v>
      </c>
    </row>
    <row r="78">
      <c r="A78" t="s">
        <v>604</v>
      </c>
      <c r="B78" t="s">
        <v>62</v>
      </c>
      <c r="C78" t="s">
        <v>28</v>
      </c>
      <c r="D78" t="s">
        <v>29</v>
      </c>
      <c r="E78">
        <v>65986</v>
      </c>
      <c r="F78">
        <v>91942</v>
      </c>
      <c r="G78">
        <v>80986</v>
      </c>
      <c r="H78">
        <v>15000</v>
      </c>
      <c r="I78">
        <v>116620</v>
      </c>
      <c r="J78" t="str">
        <f>HYPERLINK("https://driffle.com/es/god-of-war-ragnarok-global-pc-steam-account-p9962284","Abrir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32</v>
      </c>
      <c r="O78" t="s">
        <v>620</v>
      </c>
      <c r="P78" t="s">
        <v>621</v>
      </c>
      <c r="Q78" t="s">
        <v>32</v>
      </c>
      <c r="R78" t="s">
        <v>622</v>
      </c>
      <c r="S78" t="s">
        <v>36</v>
      </c>
      <c r="T78" t="s">
        <v>36</v>
      </c>
      <c r="U78" t="s">
        <v>623</v>
      </c>
      <c r="V78" t="s">
        <v>36</v>
      </c>
      <c r="W78" t="s">
        <v>624</v>
      </c>
      <c r="X78" t="s">
        <v>36</v>
      </c>
      <c r="Y78" t="s">
        <v>625</v>
      </c>
      <c r="Z78" t="s">
        <v>36</v>
      </c>
    </row>
    <row r="79">
      <c r="A79" t="s">
        <v>626</v>
      </c>
      <c r="B79" t="s">
        <v>52</v>
      </c>
      <c r="C79" t="s">
        <v>32</v>
      </c>
      <c r="D79" t="s">
        <v>41</v>
      </c>
      <c r="E79">
        <v>38144</v>
      </c>
      <c r="F79">
        <v>62514</v>
      </c>
      <c r="G79">
        <v>64984</v>
      </c>
      <c r="H79">
        <v>26840</v>
      </c>
      <c r="I79">
        <v>93577</v>
      </c>
      <c r="J79" t="str">
        <f>HYPERLINK("https://www.eneba.com/latam/steam-gothic-1-remake-steam-key-pc-latam","Abrir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42</v>
      </c>
      <c r="M79" t="s">
        <v>31</v>
      </c>
      <c r="N79" t="s">
        <v>32</v>
      </c>
      <c r="O79" t="s">
        <v>627</v>
      </c>
      <c r="P79" t="s">
        <v>628</v>
      </c>
      <c r="Q79" t="s">
        <v>32</v>
      </c>
      <c r="R79" t="s">
        <v>629</v>
      </c>
      <c r="S79" t="s">
        <v>36</v>
      </c>
      <c r="T79" t="s">
        <v>630</v>
      </c>
      <c r="U79" t="s">
        <v>631</v>
      </c>
      <c r="V79" t="s">
        <v>36</v>
      </c>
      <c r="W79" t="s">
        <v>632</v>
      </c>
      <c r="X79" t="s">
        <v>633</v>
      </c>
      <c r="Y79" t="s">
        <v>634</v>
      </c>
      <c r="Z79" t="s">
        <v>635</v>
      </c>
    </row>
    <row r="80">
      <c r="A80" t="s">
        <v>626</v>
      </c>
      <c r="B80" t="s">
        <v>62</v>
      </c>
      <c r="C80" t="s">
        <v>28</v>
      </c>
      <c r="D80" t="s">
        <v>29</v>
      </c>
      <c r="E80">
        <v>41508</v>
      </c>
      <c r="F80">
        <v>62514</v>
      </c>
      <c r="G80">
        <v>56508</v>
      </c>
      <c r="H80">
        <v>15000</v>
      </c>
      <c r="I80">
        <v>81372</v>
      </c>
      <c r="J80" t="str">
        <f>HYPERLINK("https://driffle.com/es/gothic-1-remake-global-pc-steam-account-p9995855","Abrir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30</v>
      </c>
      <c r="M80" t="s">
        <v>70</v>
      </c>
      <c r="N80" t="s">
        <v>32</v>
      </c>
      <c r="O80" t="s">
        <v>636</v>
      </c>
      <c r="P80" t="s">
        <v>637</v>
      </c>
      <c r="Q80" t="s">
        <v>32</v>
      </c>
      <c r="R80" t="s">
        <v>638</v>
      </c>
      <c r="S80" t="s">
        <v>36</v>
      </c>
      <c r="T80" t="s">
        <v>36</v>
      </c>
      <c r="U80" t="s">
        <v>639</v>
      </c>
      <c r="V80" t="s">
        <v>36</v>
      </c>
      <c r="W80" t="s">
        <v>36</v>
      </c>
      <c r="X80" t="s">
        <v>36</v>
      </c>
      <c r="Y80" t="s">
        <v>640</v>
      </c>
      <c r="Z80" t="s">
        <v>36</v>
      </c>
    </row>
    <row r="81">
      <c r="A81" t="s">
        <v>641</v>
      </c>
      <c r="B81" t="s">
        <v>642</v>
      </c>
      <c r="C81" t="s">
        <v>28</v>
      </c>
      <c r="D81" t="s">
        <v>29</v>
      </c>
      <c r="E81">
        <v>15091</v>
      </c>
      <c r="F81">
        <v>55158</v>
      </c>
      <c r="G81">
        <v>33548</v>
      </c>
      <c r="H81">
        <v>18457</v>
      </c>
      <c r="I81">
        <v>48309</v>
      </c>
      <c r="J81" t="str">
        <f>HYPERLINK("https://driffle.com/es/grand-theft-auto-v-enhanced-global-pc-steam-account-p9962285","Abrir compra")</f>
        <v>Abrir compra</v>
      </c>
      <c r="K81" t="str">
        <f>HYPERLINK("https://store.steampowered.com/app/3240220/Grand_Theft_Auto_V_Enhanced/","Abrir Steam")</f>
        <v>Abrir Steam</v>
      </c>
      <c r="L81" t="s">
        <v>30</v>
      </c>
      <c r="M81" t="s">
        <v>31</v>
      </c>
      <c r="N81" t="s">
        <v>32</v>
      </c>
      <c r="O81" t="s">
        <v>643</v>
      </c>
      <c r="P81" t="s">
        <v>644</v>
      </c>
      <c r="Q81" t="s">
        <v>32</v>
      </c>
      <c r="R81" t="s">
        <v>645</v>
      </c>
      <c r="S81" t="s">
        <v>36</v>
      </c>
      <c r="T81" t="s">
        <v>36</v>
      </c>
      <c r="U81" t="s">
        <v>646</v>
      </c>
      <c r="V81" t="s">
        <v>36</v>
      </c>
      <c r="W81" t="s">
        <v>647</v>
      </c>
      <c r="X81" t="s">
        <v>36</v>
      </c>
      <c r="Y81" t="s">
        <v>648</v>
      </c>
      <c r="Z81" t="s">
        <v>36</v>
      </c>
    </row>
    <row r="82">
      <c r="A82" t="s">
        <v>649</v>
      </c>
      <c r="B82" t="s">
        <v>52</v>
      </c>
      <c r="C82" t="s">
        <v>32</v>
      </c>
      <c r="D82" t="s">
        <v>41</v>
      </c>
      <c r="E82">
        <v>37871</v>
      </c>
      <c r="F82">
        <v>73550</v>
      </c>
      <c r="G82">
        <v>55163</v>
      </c>
      <c r="H82">
        <v>17292</v>
      </c>
      <c r="I82">
        <v>79435</v>
      </c>
      <c r="J82" t="str">
        <f>HYPERLINK("https://driffle.com/es/helldivers-2-latam-pc-steam-digital-key-p9967079","Abrir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31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36</v>
      </c>
      <c r="T82" t="s">
        <v>653</v>
      </c>
      <c r="U82" t="s">
        <v>654</v>
      </c>
      <c r="V82" t="s">
        <v>36</v>
      </c>
      <c r="W82" t="s">
        <v>655</v>
      </c>
      <c r="X82" t="s">
        <v>656</v>
      </c>
      <c r="Y82" t="s">
        <v>657</v>
      </c>
      <c r="Z82" t="s">
        <v>658</v>
      </c>
    </row>
    <row r="83">
      <c r="A83" t="s">
        <v>649</v>
      </c>
      <c r="B83" t="s">
        <v>62</v>
      </c>
      <c r="C83" t="s">
        <v>28</v>
      </c>
      <c r="D83" t="s">
        <v>29</v>
      </c>
      <c r="E83">
        <v>35837</v>
      </c>
      <c r="F83">
        <v>73550</v>
      </c>
      <c r="G83">
        <v>50837</v>
      </c>
      <c r="H83">
        <v>15000</v>
      </c>
      <c r="I83">
        <v>73205</v>
      </c>
      <c r="J83" t="str">
        <f>HYPERLINK("https://driffle.com/es/helldivers-2-global-pc-steam-account-p9952240","Abrir compra")</f>
        <v>Abrir compra</v>
      </c>
      <c r="K83" t="str">
        <f>HYPERLINK("https://store.steampowered.com/app/553850/HELLDIVERS_2/","Abrir Steam")</f>
        <v>Abrir Steam</v>
      </c>
      <c r="L83" t="s">
        <v>30</v>
      </c>
      <c r="M83" t="s">
        <v>70</v>
      </c>
      <c r="N83" t="s">
        <v>32</v>
      </c>
      <c r="O83" t="s">
        <v>659</v>
      </c>
      <c r="P83" t="s">
        <v>660</v>
      </c>
      <c r="Q83" t="s">
        <v>32</v>
      </c>
      <c r="R83" t="s">
        <v>661</v>
      </c>
      <c r="S83" t="s">
        <v>36</v>
      </c>
      <c r="T83" t="s">
        <v>36</v>
      </c>
      <c r="U83" t="s">
        <v>662</v>
      </c>
      <c r="V83" t="s">
        <v>36</v>
      </c>
      <c r="W83" t="s">
        <v>663</v>
      </c>
      <c r="X83" t="s">
        <v>36</v>
      </c>
      <c r="Y83" t="s">
        <v>664</v>
      </c>
      <c r="Z83" t="s">
        <v>36</v>
      </c>
    </row>
    <row r="84">
      <c r="A84" t="s">
        <v>649</v>
      </c>
      <c r="B84" t="s">
        <v>665</v>
      </c>
      <c r="C84" t="s">
        <v>32</v>
      </c>
      <c r="D84" t="s">
        <v>41</v>
      </c>
      <c r="E84">
        <v>57464</v>
      </c>
      <c r="F84">
        <v>73550</v>
      </c>
      <c r="G84">
        <v>72464</v>
      </c>
      <c r="H84">
        <v>15000</v>
      </c>
      <c r="I84">
        <v>104348</v>
      </c>
      <c r="J84" t="str">
        <f>HYPERLINK("https://www.eneba.com/latam/steam-helldivers-2-super-citizen-edition-pc-steam-key-latam","Abrir compra")</f>
        <v>Abrir compra</v>
      </c>
      <c r="K84" t="str">
        <f>HYPERLINK("https://store.steampowered.com/app/553850/HELLDIVERS_2/","Abrir Steam")</f>
        <v>Abrir Steam</v>
      </c>
      <c r="L84" t="s">
        <v>42</v>
      </c>
      <c r="M84" t="s">
        <v>31</v>
      </c>
      <c r="N84" t="s">
        <v>32</v>
      </c>
      <c r="O84" t="s">
        <v>666</v>
      </c>
      <c r="P84" t="s">
        <v>667</v>
      </c>
      <c r="Q84" t="s">
        <v>32</v>
      </c>
      <c r="R84" t="s">
        <v>668</v>
      </c>
      <c r="S84" t="s">
        <v>36</v>
      </c>
      <c r="T84" t="s">
        <v>669</v>
      </c>
      <c r="U84" t="s">
        <v>670</v>
      </c>
      <c r="V84" t="s">
        <v>36</v>
      </c>
      <c r="W84" t="s">
        <v>671</v>
      </c>
      <c r="X84" t="s">
        <v>672</v>
      </c>
      <c r="Y84" t="s">
        <v>673</v>
      </c>
      <c r="Z84" t="s">
        <v>674</v>
      </c>
    </row>
    <row r="85">
      <c r="A85" t="s">
        <v>675</v>
      </c>
      <c r="B85" t="s">
        <v>27</v>
      </c>
      <c r="C85" t="s">
        <v>28</v>
      </c>
      <c r="D85" t="s">
        <v>29</v>
      </c>
      <c r="E85">
        <v>30646</v>
      </c>
      <c r="F85">
        <v>84585</v>
      </c>
      <c r="G85">
        <v>51246</v>
      </c>
      <c r="H85">
        <v>20600</v>
      </c>
      <c r="I85">
        <v>73794</v>
      </c>
      <c r="J85" t="str">
        <f>HYPERLINK("https://driffle.com/es/hitman-world-of-assassination-deluxe-edition-global-pc-steam-account-p9979540","Abrir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30</v>
      </c>
      <c r="M85" t="s">
        <v>70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36</v>
      </c>
      <c r="T85" t="s">
        <v>36</v>
      </c>
      <c r="U85" t="s">
        <v>679</v>
      </c>
      <c r="V85" t="s">
        <v>36</v>
      </c>
      <c r="W85" t="s">
        <v>680</v>
      </c>
      <c r="X85" t="s">
        <v>36</v>
      </c>
      <c r="Y85" t="s">
        <v>681</v>
      </c>
      <c r="Z85" t="s">
        <v>36</v>
      </c>
    </row>
    <row r="86">
      <c r="A86" t="s">
        <v>675</v>
      </c>
      <c r="B86" t="s">
        <v>62</v>
      </c>
      <c r="C86" t="s">
        <v>28</v>
      </c>
      <c r="D86" t="s">
        <v>29</v>
      </c>
      <c r="E86">
        <v>12175</v>
      </c>
      <c r="F86">
        <v>27570</v>
      </c>
      <c r="G86">
        <v>27175</v>
      </c>
      <c r="H86">
        <v>15000</v>
      </c>
      <c r="I86">
        <v>39132</v>
      </c>
      <c r="J86" t="str">
        <f>HYPERLINK("https://driffle.com/es/hitman-world-of-assassination-global-pc-steam-account-p9945630","Abrir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30</v>
      </c>
      <c r="M86" t="s">
        <v>70</v>
      </c>
      <c r="N86" t="s">
        <v>32</v>
      </c>
      <c r="O86" t="s">
        <v>682</v>
      </c>
      <c r="P86" t="s">
        <v>683</v>
      </c>
      <c r="Q86" t="s">
        <v>32</v>
      </c>
      <c r="R86" t="s">
        <v>684</v>
      </c>
      <c r="S86" t="s">
        <v>36</v>
      </c>
      <c r="T86" t="s">
        <v>36</v>
      </c>
      <c r="U86" t="s">
        <v>685</v>
      </c>
      <c r="V86" t="s">
        <v>36</v>
      </c>
      <c r="W86" t="s">
        <v>36</v>
      </c>
      <c r="X86" t="s">
        <v>36</v>
      </c>
      <c r="Y86" t="s">
        <v>686</v>
      </c>
      <c r="Z86" t="s">
        <v>36</v>
      </c>
    </row>
    <row r="87">
      <c r="A87" t="s">
        <v>687</v>
      </c>
      <c r="B87" t="s">
        <v>413</v>
      </c>
      <c r="C87" t="s">
        <v>32</v>
      </c>
      <c r="D87" t="s">
        <v>41</v>
      </c>
      <c r="E87">
        <v>9772</v>
      </c>
      <c r="F87">
        <v>73550</v>
      </c>
      <c r="G87">
        <v>44772</v>
      </c>
      <c r="H87">
        <v>35000</v>
      </c>
      <c r="I87">
        <v>64472</v>
      </c>
      <c r="J87" t="str">
        <f>HYPERLINK("https://www.eneba.com/latam/steam-hogwarts-legacy-deluxe-edition-pc-steam-key-latam","Abrir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42</v>
      </c>
      <c r="M87" t="s">
        <v>31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36</v>
      </c>
      <c r="T87" t="s">
        <v>691</v>
      </c>
      <c r="U87" t="s">
        <v>692</v>
      </c>
      <c r="V87" t="s">
        <v>36</v>
      </c>
      <c r="W87" t="s">
        <v>693</v>
      </c>
      <c r="X87" t="s">
        <v>694</v>
      </c>
      <c r="Y87" t="s">
        <v>695</v>
      </c>
      <c r="Z87" t="s">
        <v>696</v>
      </c>
    </row>
    <row r="88">
      <c r="A88" t="s">
        <v>687</v>
      </c>
      <c r="B88" t="s">
        <v>27</v>
      </c>
      <c r="C88" t="s">
        <v>28</v>
      </c>
      <c r="D88" t="s">
        <v>29</v>
      </c>
      <c r="E88">
        <v>10429</v>
      </c>
      <c r="F88">
        <v>73550</v>
      </c>
      <c r="G88">
        <v>37429</v>
      </c>
      <c r="H88">
        <v>27000</v>
      </c>
      <c r="I88">
        <v>53898</v>
      </c>
      <c r="J88" t="str">
        <f>HYPERLINK("https://driffle.com/es/hogwarts-legacy-deluxe-edition-pc-steam-digital-code-p9962290","Abrir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30</v>
      </c>
      <c r="M88" t="s">
        <v>70</v>
      </c>
      <c r="N88" t="s">
        <v>32</v>
      </c>
      <c r="O88" t="s">
        <v>697</v>
      </c>
      <c r="P88" t="s">
        <v>698</v>
      </c>
      <c r="Q88" t="s">
        <v>32</v>
      </c>
      <c r="R88" t="s">
        <v>699</v>
      </c>
      <c r="S88" t="s">
        <v>36</v>
      </c>
      <c r="T88" t="s">
        <v>36</v>
      </c>
      <c r="U88" t="s">
        <v>700</v>
      </c>
      <c r="V88" t="s">
        <v>36</v>
      </c>
      <c r="W88" t="s">
        <v>701</v>
      </c>
      <c r="X88" t="s">
        <v>36</v>
      </c>
      <c r="Y88" t="s">
        <v>702</v>
      </c>
      <c r="Z88" t="s">
        <v>36</v>
      </c>
    </row>
    <row r="89">
      <c r="A89" t="s">
        <v>687</v>
      </c>
      <c r="B89" t="s">
        <v>52</v>
      </c>
      <c r="C89" t="s">
        <v>32</v>
      </c>
      <c r="D89" t="s">
        <v>41</v>
      </c>
      <c r="E89">
        <v>7850</v>
      </c>
      <c r="F89">
        <v>55176</v>
      </c>
      <c r="G89">
        <v>38966</v>
      </c>
      <c r="H89">
        <v>31116</v>
      </c>
      <c r="I89">
        <v>56111</v>
      </c>
      <c r="J89" t="str">
        <f>HYPERLINK("https://www.eneba.com/latam/steam-hogwarts-legacy-pc-steam-key-latam","Abrir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42</v>
      </c>
      <c r="M89" t="s">
        <v>31</v>
      </c>
      <c r="N89" t="s">
        <v>32</v>
      </c>
      <c r="O89" t="s">
        <v>703</v>
      </c>
      <c r="P89" t="s">
        <v>704</v>
      </c>
      <c r="Q89" t="s">
        <v>32</v>
      </c>
      <c r="R89" t="s">
        <v>705</v>
      </c>
      <c r="S89" t="s">
        <v>36</v>
      </c>
      <c r="T89" t="s">
        <v>706</v>
      </c>
      <c r="U89" t="s">
        <v>707</v>
      </c>
      <c r="V89" t="s">
        <v>36</v>
      </c>
      <c r="W89" t="s">
        <v>708</v>
      </c>
      <c r="X89" t="s">
        <v>709</v>
      </c>
      <c r="Y89" t="s">
        <v>710</v>
      </c>
      <c r="Z89" t="s">
        <v>711</v>
      </c>
    </row>
    <row r="90">
      <c r="A90" t="s">
        <v>687</v>
      </c>
      <c r="B90" t="s">
        <v>62</v>
      </c>
      <c r="C90" t="s">
        <v>28</v>
      </c>
      <c r="D90" t="s">
        <v>29</v>
      </c>
      <c r="E90">
        <v>8619</v>
      </c>
      <c r="F90">
        <v>55176</v>
      </c>
      <c r="G90">
        <v>30966</v>
      </c>
      <c r="H90">
        <v>22347</v>
      </c>
      <c r="I90">
        <v>44591</v>
      </c>
      <c r="J90" t="str">
        <f>HYPERLINK("https://driffle.com/es/hogwarts-legacy-global-pc-steam-account-p9971523","Abrir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70</v>
      </c>
      <c r="N90" t="s">
        <v>32</v>
      </c>
      <c r="O90" t="s">
        <v>712</v>
      </c>
      <c r="P90" t="s">
        <v>713</v>
      </c>
      <c r="Q90" t="s">
        <v>32</v>
      </c>
      <c r="R90" t="s">
        <v>714</v>
      </c>
      <c r="S90" t="s">
        <v>36</v>
      </c>
      <c r="T90" t="s">
        <v>36</v>
      </c>
      <c r="U90" t="s">
        <v>715</v>
      </c>
      <c r="V90" t="s">
        <v>36</v>
      </c>
      <c r="W90" t="s">
        <v>716</v>
      </c>
      <c r="X90" t="s">
        <v>36</v>
      </c>
      <c r="Y90" t="s">
        <v>717</v>
      </c>
      <c r="Z90" t="s">
        <v>36</v>
      </c>
    </row>
    <row r="91">
      <c r="A91" t="s">
        <v>718</v>
      </c>
      <c r="B91" t="s">
        <v>27</v>
      </c>
      <c r="C91" t="s">
        <v>28</v>
      </c>
      <c r="D91" t="s">
        <v>29</v>
      </c>
      <c r="E91">
        <v>89968</v>
      </c>
      <c r="F91">
        <v>103915</v>
      </c>
      <c r="G91">
        <v>104968</v>
      </c>
      <c r="H91">
        <v>15000</v>
      </c>
      <c r="I91">
        <v>151154</v>
      </c>
      <c r="J91" t="str">
        <f>HYPERLINK("https://driffle.com/es/invincible-vs-deluxe-edition-global-pc-steam-account-p9994203","Abrir compra")</f>
        <v>Abrir compra</v>
      </c>
      <c r="K91" t="str">
        <f>HYPERLINK("https://store.steampowered.com/app/2353060/Invincible_VS/","Abrir Steam")</f>
        <v>Abrir Steam</v>
      </c>
      <c r="L91" t="s">
        <v>30</v>
      </c>
      <c r="M91" t="s">
        <v>70</v>
      </c>
      <c r="N91" t="s">
        <v>32</v>
      </c>
      <c r="O91" t="s">
        <v>719</v>
      </c>
      <c r="P91" t="s">
        <v>720</v>
      </c>
      <c r="Q91" t="s">
        <v>32</v>
      </c>
      <c r="R91" t="s">
        <v>721</v>
      </c>
      <c r="S91" t="s">
        <v>36</v>
      </c>
      <c r="T91" t="s">
        <v>36</v>
      </c>
      <c r="U91" t="s">
        <v>722</v>
      </c>
      <c r="V91" t="s">
        <v>36</v>
      </c>
      <c r="W91" t="s">
        <v>723</v>
      </c>
      <c r="X91" t="s">
        <v>36</v>
      </c>
      <c r="Y91" t="s">
        <v>724</v>
      </c>
      <c r="Z91" t="s">
        <v>36</v>
      </c>
    </row>
    <row r="92">
      <c r="A92" t="s">
        <v>718</v>
      </c>
      <c r="B92" t="s">
        <v>62</v>
      </c>
      <c r="C92" t="s">
        <v>28</v>
      </c>
      <c r="D92" t="s">
        <v>29</v>
      </c>
      <c r="E92">
        <v>22252</v>
      </c>
      <c r="F92">
        <v>68970</v>
      </c>
      <c r="G92">
        <v>41799</v>
      </c>
      <c r="H92">
        <v>19547</v>
      </c>
      <c r="I92">
        <v>60191</v>
      </c>
      <c r="J92" t="str">
        <f>HYPERLINK("https://driffle.com/es/invincible-vs-global-pc-steam-account-p9994202","Abrir compra")</f>
        <v>Abrir compra</v>
      </c>
      <c r="K92" t="str">
        <f>HYPERLINK("https://store.steampowered.com/app/2353060/Invincible_VS/","Abrir Steam")</f>
        <v>Abrir Steam</v>
      </c>
      <c r="L92" t="s">
        <v>30</v>
      </c>
      <c r="M92" t="s">
        <v>70</v>
      </c>
      <c r="N92" t="s">
        <v>32</v>
      </c>
      <c r="O92" t="s">
        <v>725</v>
      </c>
      <c r="P92" t="s">
        <v>726</v>
      </c>
      <c r="Q92" t="s">
        <v>32</v>
      </c>
      <c r="R92" t="s">
        <v>727</v>
      </c>
      <c r="S92" t="s">
        <v>36</v>
      </c>
      <c r="T92" t="s">
        <v>36</v>
      </c>
      <c r="U92" t="s">
        <v>728</v>
      </c>
      <c r="V92" t="s">
        <v>36</v>
      </c>
      <c r="W92" t="s">
        <v>729</v>
      </c>
      <c r="X92" t="s">
        <v>36</v>
      </c>
      <c r="Y92" t="s">
        <v>730</v>
      </c>
      <c r="Z92" t="s">
        <v>36</v>
      </c>
    </row>
    <row r="93">
      <c r="A93" t="s">
        <v>731</v>
      </c>
      <c r="B93" t="s">
        <v>52</v>
      </c>
      <c r="C93" t="s">
        <v>32</v>
      </c>
      <c r="D93" t="s">
        <v>41</v>
      </c>
      <c r="E93">
        <v>70232</v>
      </c>
      <c r="F93">
        <v>73550</v>
      </c>
      <c r="G93">
        <v>85232</v>
      </c>
      <c r="H93">
        <v>15000</v>
      </c>
      <c r="I93">
        <v>122734</v>
      </c>
      <c r="J93" t="str">
        <f>HYPERLINK("https://driffle.com/es/it-takes-two-steam-altergift-p53426","Abrir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30</v>
      </c>
      <c r="M93" t="s">
        <v>70</v>
      </c>
      <c r="N93" t="s">
        <v>32</v>
      </c>
      <c r="O93" t="s">
        <v>732</v>
      </c>
      <c r="P93" t="s">
        <v>733</v>
      </c>
      <c r="Q93" t="s">
        <v>32</v>
      </c>
      <c r="R93" t="s">
        <v>734</v>
      </c>
      <c r="S93" t="s">
        <v>36</v>
      </c>
      <c r="T93" t="s">
        <v>735</v>
      </c>
      <c r="U93" t="s">
        <v>736</v>
      </c>
      <c r="V93" t="s">
        <v>36</v>
      </c>
      <c r="W93" t="s">
        <v>737</v>
      </c>
      <c r="X93" t="s">
        <v>738</v>
      </c>
      <c r="Y93" t="s">
        <v>739</v>
      </c>
      <c r="Z93" t="s">
        <v>36</v>
      </c>
    </row>
    <row r="94">
      <c r="A94" t="s">
        <v>731</v>
      </c>
      <c r="B94" t="s">
        <v>62</v>
      </c>
      <c r="C94" t="s">
        <v>28</v>
      </c>
      <c r="D94" t="s">
        <v>29</v>
      </c>
      <c r="E94">
        <v>8843</v>
      </c>
      <c r="F94">
        <v>73550</v>
      </c>
      <c r="G94">
        <v>35843</v>
      </c>
      <c r="H94">
        <v>27000</v>
      </c>
      <c r="I94">
        <v>51614</v>
      </c>
      <c r="J94" t="str">
        <f>HYPERLINK("https://driffle.com/es/it-takes-two-global-pc-steam-account-p9945671","Abrir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30</v>
      </c>
      <c r="M94" t="s">
        <v>70</v>
      </c>
      <c r="N94" t="s">
        <v>32</v>
      </c>
      <c r="O94" t="s">
        <v>740</v>
      </c>
      <c r="P94" t="s">
        <v>741</v>
      </c>
      <c r="Q94" t="s">
        <v>32</v>
      </c>
      <c r="R94" t="s">
        <v>742</v>
      </c>
      <c r="S94" t="s">
        <v>36</v>
      </c>
      <c r="T94" t="s">
        <v>36</v>
      </c>
      <c r="U94" t="s">
        <v>743</v>
      </c>
      <c r="V94" t="s">
        <v>36</v>
      </c>
      <c r="W94" t="s">
        <v>744</v>
      </c>
      <c r="X94" t="s">
        <v>36</v>
      </c>
      <c r="Y94" t="s">
        <v>745</v>
      </c>
      <c r="Z94" t="s">
        <v>36</v>
      </c>
    </row>
    <row r="95">
      <c r="A95" t="s">
        <v>746</v>
      </c>
      <c r="B95" t="s">
        <v>413</v>
      </c>
      <c r="C95" t="s">
        <v>32</v>
      </c>
      <c r="D95" t="s">
        <v>41</v>
      </c>
      <c r="E95">
        <v>91426</v>
      </c>
      <c r="F95">
        <v>147118</v>
      </c>
      <c r="G95">
        <v>108774</v>
      </c>
      <c r="H95">
        <v>17348</v>
      </c>
      <c r="I95">
        <v>156635</v>
      </c>
      <c r="J95" t="str">
        <f>HYPERLINK("https://www.eneba.com/latam/steam-lego-r-batmantm-legacy-of-the-dark-knight-deluxe-edition-steam-key-pc-latam","Abrir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42</v>
      </c>
      <c r="M95" t="s">
        <v>31</v>
      </c>
      <c r="N95" t="s">
        <v>32</v>
      </c>
      <c r="O95" t="s">
        <v>747</v>
      </c>
      <c r="P95" t="s">
        <v>748</v>
      </c>
      <c r="Q95" t="s">
        <v>32</v>
      </c>
      <c r="R95" t="s">
        <v>749</v>
      </c>
      <c r="S95" t="s">
        <v>36</v>
      </c>
      <c r="T95" t="s">
        <v>750</v>
      </c>
      <c r="U95" t="s">
        <v>751</v>
      </c>
      <c r="V95" t="s">
        <v>36</v>
      </c>
      <c r="W95" t="s">
        <v>752</v>
      </c>
      <c r="X95" t="s">
        <v>753</v>
      </c>
      <c r="Y95" t="s">
        <v>754</v>
      </c>
      <c r="Z95" t="s">
        <v>755</v>
      </c>
    </row>
    <row r="96">
      <c r="A96" t="s">
        <v>746</v>
      </c>
      <c r="B96" t="s">
        <v>52</v>
      </c>
      <c r="C96" t="s">
        <v>32</v>
      </c>
      <c r="D96" t="s">
        <v>41</v>
      </c>
      <c r="E96">
        <v>67909</v>
      </c>
      <c r="F96">
        <v>110334</v>
      </c>
      <c r="G96">
        <v>82909</v>
      </c>
      <c r="H96">
        <v>15000</v>
      </c>
      <c r="I96">
        <v>119389</v>
      </c>
      <c r="J96" t="str">
        <f>HYPERLINK("https://www.eneba.com/latam/steam-lego-r-batmantm-legacy-of-the-dark-knight-steam-key-pc-latam","Abrir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42</v>
      </c>
      <c r="M96" t="s">
        <v>31</v>
      </c>
      <c r="N96" t="s">
        <v>32</v>
      </c>
      <c r="O96" t="s">
        <v>756</v>
      </c>
      <c r="P96" t="s">
        <v>757</v>
      </c>
      <c r="Q96" t="s">
        <v>32</v>
      </c>
      <c r="R96" t="s">
        <v>758</v>
      </c>
      <c r="S96" t="s">
        <v>36</v>
      </c>
      <c r="T96" t="s">
        <v>759</v>
      </c>
      <c r="U96" t="s">
        <v>760</v>
      </c>
      <c r="V96" t="s">
        <v>36</v>
      </c>
      <c r="W96" t="s">
        <v>761</v>
      </c>
      <c r="X96" t="s">
        <v>762</v>
      </c>
      <c r="Y96" t="s">
        <v>763</v>
      </c>
      <c r="Z96" t="s">
        <v>764</v>
      </c>
    </row>
    <row r="97">
      <c r="A97" t="s">
        <v>765</v>
      </c>
      <c r="B97" t="s">
        <v>413</v>
      </c>
      <c r="C97" t="s">
        <v>32</v>
      </c>
      <c r="D97" t="s">
        <v>41</v>
      </c>
      <c r="E97">
        <v>69078</v>
      </c>
      <c r="F97">
        <v>91942</v>
      </c>
      <c r="G97">
        <v>84078</v>
      </c>
      <c r="H97">
        <v>15000</v>
      </c>
      <c r="I97">
        <v>121072</v>
      </c>
      <c r="J97" t="str">
        <f>HYPERLINK("https://driffle.com/es/marvels-spider-man-2-deluxe-edition-latam-pc-steam-digital-key-p9930164","Abrir compra")</f>
        <v>Abrir compra</v>
      </c>
      <c r="K97" t="str">
        <f>HYPERLINK("https://store.steampowered.com/app/2651280/Marvels_SpiderMan_2/","Abrir Steam")</f>
        <v>Abrir Steam</v>
      </c>
      <c r="L97" t="s">
        <v>30</v>
      </c>
      <c r="M97" t="s">
        <v>31</v>
      </c>
      <c r="N97" t="s">
        <v>32</v>
      </c>
      <c r="O97" t="s">
        <v>766</v>
      </c>
      <c r="P97" t="s">
        <v>767</v>
      </c>
      <c r="Q97" t="s">
        <v>32</v>
      </c>
      <c r="R97" t="s">
        <v>768</v>
      </c>
      <c r="S97" t="s">
        <v>36</v>
      </c>
      <c r="T97" t="s">
        <v>36</v>
      </c>
      <c r="U97" t="s">
        <v>769</v>
      </c>
      <c r="V97" t="s">
        <v>36</v>
      </c>
      <c r="W97" t="s">
        <v>770</v>
      </c>
      <c r="X97" t="s">
        <v>771</v>
      </c>
      <c r="Y97" t="s">
        <v>772</v>
      </c>
      <c r="Z97" t="s">
        <v>36</v>
      </c>
    </row>
    <row r="98">
      <c r="A98" t="s">
        <v>765</v>
      </c>
      <c r="B98" t="s">
        <v>52</v>
      </c>
      <c r="C98" t="s">
        <v>32</v>
      </c>
      <c r="D98" t="s">
        <v>41</v>
      </c>
      <c r="E98">
        <v>52786</v>
      </c>
      <c r="F98">
        <v>91942</v>
      </c>
      <c r="G98">
        <v>68957</v>
      </c>
      <c r="H98">
        <v>16171</v>
      </c>
      <c r="I98">
        <v>99298</v>
      </c>
      <c r="J98" t="str">
        <f>HYPERLINK("https://www.eneba.com/latam/steam-marvels-spider-man-2-pc-steam-key-latam","Abrir compra")</f>
        <v>Abrir compra</v>
      </c>
      <c r="K98" t="str">
        <f>HYPERLINK("https://store.steampowered.com/app/2651280/Marvels_SpiderMan_2/","Abrir Steam")</f>
        <v>Abrir Steam</v>
      </c>
      <c r="L98" t="s">
        <v>42</v>
      </c>
      <c r="M98" t="s">
        <v>31</v>
      </c>
      <c r="N98" t="s">
        <v>32</v>
      </c>
      <c r="O98" t="s">
        <v>773</v>
      </c>
      <c r="P98" t="s">
        <v>774</v>
      </c>
      <c r="Q98" t="s">
        <v>32</v>
      </c>
      <c r="R98" t="s">
        <v>775</v>
      </c>
      <c r="S98" t="s">
        <v>36</v>
      </c>
      <c r="T98" t="s">
        <v>776</v>
      </c>
      <c r="U98" t="s">
        <v>777</v>
      </c>
      <c r="V98" t="s">
        <v>36</v>
      </c>
      <c r="W98" t="s">
        <v>778</v>
      </c>
      <c r="X98" t="s">
        <v>779</v>
      </c>
      <c r="Y98" t="s">
        <v>780</v>
      </c>
      <c r="Z98" t="s">
        <v>36</v>
      </c>
    </row>
    <row r="99">
      <c r="A99" t="s">
        <v>765</v>
      </c>
      <c r="B99" t="s">
        <v>62</v>
      </c>
      <c r="C99" t="s">
        <v>28</v>
      </c>
      <c r="D99" t="s">
        <v>29</v>
      </c>
      <c r="E99">
        <v>68694</v>
      </c>
      <c r="F99">
        <v>91942</v>
      </c>
      <c r="G99">
        <v>83694</v>
      </c>
      <c r="H99">
        <v>15000</v>
      </c>
      <c r="I99">
        <v>120519</v>
      </c>
      <c r="J99" t="str">
        <f>HYPERLINK("https://driffle.com/es/marvels-spider-man-2-global-pc-steam-account-p9979525","Abrir compra")</f>
        <v>Abrir compra</v>
      </c>
      <c r="K99" t="str">
        <f>HYPERLINK("https://store.steampowered.com/app/2651280/Marvels_SpiderMan_2/","Abrir Steam")</f>
        <v>Abrir Steam</v>
      </c>
      <c r="L99" t="s">
        <v>30</v>
      </c>
      <c r="M99" t="s">
        <v>31</v>
      </c>
      <c r="N99" t="s">
        <v>32</v>
      </c>
      <c r="O99" t="s">
        <v>781</v>
      </c>
      <c r="P99" t="s">
        <v>782</v>
      </c>
      <c r="Q99" t="s">
        <v>32</v>
      </c>
      <c r="R99" t="s">
        <v>783</v>
      </c>
      <c r="S99" t="s">
        <v>36</v>
      </c>
      <c r="T99" t="s">
        <v>36</v>
      </c>
      <c r="U99" t="s">
        <v>784</v>
      </c>
      <c r="V99" t="s">
        <v>36</v>
      </c>
      <c r="W99" t="s">
        <v>785</v>
      </c>
      <c r="X99" t="s">
        <v>36</v>
      </c>
      <c r="Y99" t="s">
        <v>786</v>
      </c>
      <c r="Z99" t="s">
        <v>36</v>
      </c>
    </row>
    <row r="100">
      <c r="A100" t="s">
        <v>787</v>
      </c>
      <c r="B100" t="s">
        <v>52</v>
      </c>
      <c r="C100" t="s">
        <v>32</v>
      </c>
      <c r="D100" t="s">
        <v>41</v>
      </c>
      <c r="E100">
        <v>27586</v>
      </c>
      <c r="F100">
        <v>110334</v>
      </c>
      <c r="G100">
        <v>54586</v>
      </c>
      <c r="H100">
        <v>27000</v>
      </c>
      <c r="I100">
        <v>78604</v>
      </c>
      <c r="J100" t="str">
        <f>HYPERLINK("https://driffle.com/es/marvels-spider-man-remastered-latam-pc-steam-digital-key-p9973449","Abrir compra")</f>
        <v>Abrir compra</v>
      </c>
      <c r="K100" t="str">
        <f>HYPERLINK("https://store.steampowered.com/app/1817070/Marvels_SpiderMan_Remastered/","Abrir Steam")</f>
        <v>Abrir Steam</v>
      </c>
      <c r="L100" t="s">
        <v>30</v>
      </c>
      <c r="M100" t="s">
        <v>31</v>
      </c>
      <c r="N100" t="s">
        <v>32</v>
      </c>
      <c r="O100" t="s">
        <v>788</v>
      </c>
      <c r="P100" t="s">
        <v>789</v>
      </c>
      <c r="Q100" t="s">
        <v>32</v>
      </c>
      <c r="R100" t="s">
        <v>790</v>
      </c>
      <c r="S100" t="s">
        <v>36</v>
      </c>
      <c r="T100" t="s">
        <v>791</v>
      </c>
      <c r="U100" t="s">
        <v>792</v>
      </c>
      <c r="V100" t="s">
        <v>36</v>
      </c>
      <c r="W100" t="s">
        <v>793</v>
      </c>
      <c r="X100" t="s">
        <v>794</v>
      </c>
      <c r="Y100" t="s">
        <v>795</v>
      </c>
      <c r="Z100" t="s">
        <v>796</v>
      </c>
    </row>
    <row r="101">
      <c r="A101" t="s">
        <v>797</v>
      </c>
      <c r="B101" t="s">
        <v>52</v>
      </c>
      <c r="C101" t="s">
        <v>32</v>
      </c>
      <c r="D101" t="s">
        <v>41</v>
      </c>
      <c r="E101">
        <v>24447</v>
      </c>
      <c r="F101">
        <v>91942</v>
      </c>
      <c r="G101">
        <v>51447</v>
      </c>
      <c r="H101">
        <v>27000</v>
      </c>
      <c r="I101">
        <v>74084</v>
      </c>
      <c r="J101" t="str">
        <f>HYPERLINK("https://driffle.com/es/marvels-spider-man-miles-morales-pc-steam-digital-code-p9882675","Abrir compra")</f>
        <v>Abrir compra</v>
      </c>
      <c r="K101" t="str">
        <f>HYPERLINK("https://store.steampowered.com/app/1817190/Marvels_SpiderMan_Miles_Morales/","Abrir Steam")</f>
        <v>Abrir Steam</v>
      </c>
      <c r="L101" t="s">
        <v>30</v>
      </c>
      <c r="M101" t="s">
        <v>70</v>
      </c>
      <c r="N101" t="s">
        <v>32</v>
      </c>
      <c r="O101" t="s">
        <v>798</v>
      </c>
      <c r="P101" t="s">
        <v>799</v>
      </c>
      <c r="Q101" t="s">
        <v>32</v>
      </c>
      <c r="R101" t="s">
        <v>800</v>
      </c>
      <c r="S101" t="s">
        <v>36</v>
      </c>
      <c r="T101" t="s">
        <v>801</v>
      </c>
      <c r="U101" t="s">
        <v>802</v>
      </c>
      <c r="V101" t="s">
        <v>36</v>
      </c>
      <c r="W101" t="s">
        <v>803</v>
      </c>
      <c r="X101" t="s">
        <v>804</v>
      </c>
      <c r="Y101" t="s">
        <v>805</v>
      </c>
      <c r="Z101" t="s">
        <v>806</v>
      </c>
    </row>
    <row r="102">
      <c r="A102" t="s">
        <v>807</v>
      </c>
      <c r="B102" t="s">
        <v>808</v>
      </c>
      <c r="C102" t="s">
        <v>32</v>
      </c>
      <c r="D102" t="s">
        <v>41</v>
      </c>
      <c r="E102">
        <v>192224</v>
      </c>
      <c r="F102">
        <v>239078</v>
      </c>
      <c r="G102">
        <v>207224</v>
      </c>
      <c r="H102">
        <v>15000</v>
      </c>
      <c r="I102">
        <v>298403</v>
      </c>
      <c r="J102" t="str">
        <f>HYPERLINK("https://www.loaded.com/es_es/microsoft-flight-simulator-2024-premium-deluxe-edition-pc-steam","Abrir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809</v>
      </c>
      <c r="M102" t="s">
        <v>70</v>
      </c>
      <c r="N102" t="s">
        <v>32</v>
      </c>
      <c r="O102" t="s">
        <v>810</v>
      </c>
      <c r="P102" t="s">
        <v>811</v>
      </c>
      <c r="Q102" t="s">
        <v>32</v>
      </c>
      <c r="R102" t="s">
        <v>812</v>
      </c>
      <c r="S102" t="s">
        <v>36</v>
      </c>
      <c r="T102" t="s">
        <v>36</v>
      </c>
      <c r="U102" t="s">
        <v>36</v>
      </c>
      <c r="V102" t="s">
        <v>813</v>
      </c>
      <c r="W102" t="s">
        <v>36</v>
      </c>
      <c r="X102" t="s">
        <v>36</v>
      </c>
      <c r="Y102" t="s">
        <v>36</v>
      </c>
      <c r="Z102" t="s">
        <v>814</v>
      </c>
    </row>
    <row r="103">
      <c r="A103" t="s">
        <v>815</v>
      </c>
      <c r="B103" t="s">
        <v>413</v>
      </c>
      <c r="C103" t="s">
        <v>32</v>
      </c>
      <c r="D103" t="s">
        <v>41</v>
      </c>
      <c r="E103">
        <v>42854</v>
      </c>
      <c r="F103">
        <v>124128</v>
      </c>
      <c r="G103">
        <v>69854</v>
      </c>
      <c r="H103">
        <v>27000</v>
      </c>
      <c r="I103">
        <v>100590</v>
      </c>
      <c r="J103" t="str">
        <f>HYPERLINK("https://www.eneba.com/latam/steam-monster-hunter-wilds-deluxe-edition-pc-steam-key-latam","Abrir compra")</f>
        <v>Abrir compra</v>
      </c>
      <c r="K103" t="str">
        <f>HYPERLINK("https://store.steampowered.com/app/2246340/Monster_Hunter_Wilds/?curator_clanid=4777282","Abrir Steam")</f>
        <v>Abrir Steam</v>
      </c>
      <c r="L103" t="s">
        <v>42</v>
      </c>
      <c r="M103" t="s">
        <v>31</v>
      </c>
      <c r="N103" t="s">
        <v>32</v>
      </c>
      <c r="O103" t="s">
        <v>816</v>
      </c>
      <c r="P103" t="s">
        <v>817</v>
      </c>
      <c r="Q103" t="s">
        <v>32</v>
      </c>
      <c r="R103" t="s">
        <v>818</v>
      </c>
      <c r="S103" t="s">
        <v>36</v>
      </c>
      <c r="T103" t="s">
        <v>819</v>
      </c>
      <c r="U103" t="s">
        <v>820</v>
      </c>
      <c r="V103" t="s">
        <v>36</v>
      </c>
      <c r="W103" t="s">
        <v>821</v>
      </c>
      <c r="X103" t="s">
        <v>822</v>
      </c>
      <c r="Y103" t="s">
        <v>823</v>
      </c>
      <c r="Z103" t="s">
        <v>36</v>
      </c>
    </row>
    <row r="104">
      <c r="A104" t="s">
        <v>815</v>
      </c>
      <c r="B104" t="s">
        <v>52</v>
      </c>
      <c r="C104" t="s">
        <v>32</v>
      </c>
      <c r="D104" t="s">
        <v>41</v>
      </c>
      <c r="E104">
        <v>30070</v>
      </c>
      <c r="F104">
        <v>96540</v>
      </c>
      <c r="G104">
        <v>65070</v>
      </c>
      <c r="H104">
        <v>35000</v>
      </c>
      <c r="I104">
        <v>93701</v>
      </c>
      <c r="J104" t="str">
        <f>HYPERLINK("https://www.eneba.com/latam/steam-monster-hunter-wilds-pc-steam-key-latam","Abrir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42</v>
      </c>
      <c r="M104" t="s">
        <v>31</v>
      </c>
      <c r="N104" t="s">
        <v>32</v>
      </c>
      <c r="O104" t="s">
        <v>824</v>
      </c>
      <c r="P104" t="s">
        <v>825</v>
      </c>
      <c r="Q104" t="s">
        <v>32</v>
      </c>
      <c r="R104" t="s">
        <v>826</v>
      </c>
      <c r="S104" t="s">
        <v>36</v>
      </c>
      <c r="T104" t="s">
        <v>827</v>
      </c>
      <c r="U104" t="s">
        <v>828</v>
      </c>
      <c r="V104" t="s">
        <v>36</v>
      </c>
      <c r="W104" t="s">
        <v>829</v>
      </c>
      <c r="X104" t="s">
        <v>830</v>
      </c>
      <c r="Y104" t="s">
        <v>831</v>
      </c>
      <c r="Z104" t="s">
        <v>36</v>
      </c>
    </row>
    <row r="105">
      <c r="A105" t="s">
        <v>815</v>
      </c>
      <c r="B105" t="s">
        <v>62</v>
      </c>
      <c r="C105" t="s">
        <v>28</v>
      </c>
      <c r="D105" t="s">
        <v>29</v>
      </c>
      <c r="E105">
        <v>32601</v>
      </c>
      <c r="F105">
        <v>96540</v>
      </c>
      <c r="G105">
        <v>56691</v>
      </c>
      <c r="H105">
        <v>24090</v>
      </c>
      <c r="I105">
        <v>81635</v>
      </c>
      <c r="J105" t="str">
        <f>HYPERLINK("https://driffle.com/es/monster-hunter-wilds-global-pc-steam-account-p9979523","Abrir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30</v>
      </c>
      <c r="M105" t="s">
        <v>31</v>
      </c>
      <c r="N105" t="s">
        <v>32</v>
      </c>
      <c r="O105" t="s">
        <v>832</v>
      </c>
      <c r="P105" t="s">
        <v>833</v>
      </c>
      <c r="Q105" t="s">
        <v>32</v>
      </c>
      <c r="R105" t="s">
        <v>834</v>
      </c>
      <c r="S105" t="s">
        <v>36</v>
      </c>
      <c r="T105" t="s">
        <v>36</v>
      </c>
      <c r="U105" t="s">
        <v>835</v>
      </c>
      <c r="V105" t="s">
        <v>36</v>
      </c>
      <c r="W105" t="s">
        <v>836</v>
      </c>
      <c r="X105" t="s">
        <v>36</v>
      </c>
      <c r="Y105" t="s">
        <v>837</v>
      </c>
      <c r="Z105" t="s">
        <v>36</v>
      </c>
    </row>
    <row r="106">
      <c r="A106" t="s">
        <v>838</v>
      </c>
      <c r="B106" t="s">
        <v>839</v>
      </c>
      <c r="C106" t="s">
        <v>32</v>
      </c>
      <c r="D106" t="s">
        <v>41</v>
      </c>
      <c r="E106">
        <v>20089</v>
      </c>
      <c r="F106">
        <v>110334</v>
      </c>
      <c r="G106">
        <v>47089</v>
      </c>
      <c r="H106">
        <v>27000</v>
      </c>
      <c r="I106">
        <v>67808</v>
      </c>
      <c r="J106" t="str">
        <f>HYPERLINK("https://www.eneba.com/latam/steam-mortal-kombat-1-definitive-edition-steam-key-pc-latam","Abrir compra")</f>
        <v>Abrir compra</v>
      </c>
      <c r="K106" t="str">
        <f>HYPERLINK("https://store.steampowered.com/app/1971870/Mortal_Kombat_1/?curator_clanid=4777282","Abrir Steam")</f>
        <v>Abrir Steam</v>
      </c>
      <c r="L106" t="s">
        <v>42</v>
      </c>
      <c r="M106" t="s">
        <v>31</v>
      </c>
      <c r="N106" t="s">
        <v>32</v>
      </c>
      <c r="O106" t="s">
        <v>840</v>
      </c>
      <c r="P106" t="s">
        <v>841</v>
      </c>
      <c r="Q106" t="s">
        <v>32</v>
      </c>
      <c r="R106" t="s">
        <v>842</v>
      </c>
      <c r="S106" t="s">
        <v>36</v>
      </c>
      <c r="T106" t="s">
        <v>843</v>
      </c>
      <c r="U106" t="s">
        <v>844</v>
      </c>
      <c r="V106" t="s">
        <v>845</v>
      </c>
      <c r="W106" t="s">
        <v>846</v>
      </c>
      <c r="X106" t="s">
        <v>847</v>
      </c>
      <c r="Y106" t="s">
        <v>848</v>
      </c>
      <c r="Z106" t="s">
        <v>849</v>
      </c>
    </row>
    <row r="107">
      <c r="A107" t="s">
        <v>838</v>
      </c>
      <c r="B107" t="s">
        <v>52</v>
      </c>
      <c r="C107" t="s">
        <v>32</v>
      </c>
      <c r="D107" t="s">
        <v>41</v>
      </c>
      <c r="E107">
        <v>13889</v>
      </c>
      <c r="F107">
        <v>73550</v>
      </c>
      <c r="G107">
        <v>40889</v>
      </c>
      <c r="H107">
        <v>27000</v>
      </c>
      <c r="I107">
        <v>58880</v>
      </c>
      <c r="J107" t="str">
        <f>HYPERLINK("https://www.eneba.com/latam/steam-mortal-kombat-1-pc-steam-key-latam","Abrir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850</v>
      </c>
      <c r="P107" t="s">
        <v>851</v>
      </c>
      <c r="Q107" t="s">
        <v>32</v>
      </c>
      <c r="R107" t="s">
        <v>852</v>
      </c>
      <c r="S107" t="s">
        <v>853</v>
      </c>
      <c r="T107" t="s">
        <v>854</v>
      </c>
      <c r="U107" t="s">
        <v>855</v>
      </c>
      <c r="V107" t="s">
        <v>36</v>
      </c>
      <c r="W107" t="s">
        <v>856</v>
      </c>
      <c r="X107" t="s">
        <v>857</v>
      </c>
      <c r="Y107" t="s">
        <v>858</v>
      </c>
      <c r="Z107" t="s">
        <v>859</v>
      </c>
    </row>
    <row r="108">
      <c r="A108" t="s">
        <v>860</v>
      </c>
      <c r="B108" t="s">
        <v>52</v>
      </c>
      <c r="C108" t="s">
        <v>32</v>
      </c>
      <c r="D108" t="s">
        <v>41</v>
      </c>
      <c r="E108">
        <v>13120</v>
      </c>
      <c r="F108">
        <v>128726</v>
      </c>
      <c r="G108">
        <v>45605</v>
      </c>
      <c r="H108">
        <v>32485</v>
      </c>
      <c r="I108">
        <v>65671</v>
      </c>
      <c r="J108" t="str">
        <f>HYPERLINK("https://driffle.com/es/nba-2k26-global-pc-steam-digital-key-p9949948","Abrir compra")</f>
        <v>Abrir compra</v>
      </c>
      <c r="K108" t="str">
        <f>HYPERLINK("https://store.steampowered.com/app/3472040/NBA_2K26/","Abrir Steam")</f>
        <v>Abrir Steam</v>
      </c>
      <c r="L108" t="s">
        <v>30</v>
      </c>
      <c r="M108" t="s">
        <v>70</v>
      </c>
      <c r="N108" t="s">
        <v>32</v>
      </c>
      <c r="O108" t="s">
        <v>861</v>
      </c>
      <c r="P108" t="s">
        <v>862</v>
      </c>
      <c r="Q108" t="s">
        <v>32</v>
      </c>
      <c r="R108" t="s">
        <v>863</v>
      </c>
      <c r="S108" t="s">
        <v>36</v>
      </c>
      <c r="T108" t="s">
        <v>864</v>
      </c>
      <c r="U108" t="s">
        <v>865</v>
      </c>
      <c r="V108" t="s">
        <v>866</v>
      </c>
      <c r="W108" t="s">
        <v>867</v>
      </c>
      <c r="X108" t="s">
        <v>868</v>
      </c>
      <c r="Y108" t="s">
        <v>869</v>
      </c>
      <c r="Z108" t="s">
        <v>870</v>
      </c>
    </row>
    <row r="109">
      <c r="A109" t="s">
        <v>860</v>
      </c>
      <c r="B109" t="s">
        <v>62</v>
      </c>
      <c r="C109" t="s">
        <v>28</v>
      </c>
      <c r="D109" t="s">
        <v>29</v>
      </c>
      <c r="E109">
        <v>10605</v>
      </c>
      <c r="F109">
        <v>128726</v>
      </c>
      <c r="G109">
        <v>37605</v>
      </c>
      <c r="H109">
        <v>27000</v>
      </c>
      <c r="I109">
        <v>54151</v>
      </c>
      <c r="J109" t="str">
        <f>HYPERLINK("https://driffle.com/es/nba-2k26-global-pc-steam-account-p9979521","Abrir compra")</f>
        <v>Abrir compra</v>
      </c>
      <c r="K109" t="str">
        <f>HYPERLINK("https://store.steampowered.com/app/3472040/NBA_2K26/","Abrir Steam")</f>
        <v>Abrir Steam</v>
      </c>
      <c r="L109" t="s">
        <v>30</v>
      </c>
      <c r="M109" t="s">
        <v>70</v>
      </c>
      <c r="N109" t="s">
        <v>32</v>
      </c>
      <c r="O109" t="s">
        <v>871</v>
      </c>
      <c r="P109" t="s">
        <v>872</v>
      </c>
      <c r="Q109" t="s">
        <v>32</v>
      </c>
      <c r="R109" t="s">
        <v>873</v>
      </c>
      <c r="S109" t="s">
        <v>36</v>
      </c>
      <c r="T109" t="s">
        <v>36</v>
      </c>
      <c r="U109" t="s">
        <v>874</v>
      </c>
      <c r="V109" t="s">
        <v>36</v>
      </c>
      <c r="W109" t="s">
        <v>875</v>
      </c>
      <c r="X109" t="s">
        <v>36</v>
      </c>
      <c r="Y109" t="s">
        <v>876</v>
      </c>
      <c r="Z109" t="s">
        <v>36</v>
      </c>
    </row>
    <row r="110">
      <c r="A110" t="s">
        <v>860</v>
      </c>
      <c r="B110" t="s">
        <v>877</v>
      </c>
      <c r="C110" t="s">
        <v>32</v>
      </c>
      <c r="D110" t="s">
        <v>41</v>
      </c>
      <c r="E110">
        <v>21675</v>
      </c>
      <c r="F110">
        <v>147118</v>
      </c>
      <c r="G110">
        <v>56675</v>
      </c>
      <c r="H110">
        <v>35000</v>
      </c>
      <c r="I110">
        <v>81612</v>
      </c>
      <c r="J110" t="str">
        <f>HYPERLINK("https://www.eneba.com/latam/steam-nba-2k26-slam-edition-steam-key-pc-global","Abrir compra")</f>
        <v>Abrir compra</v>
      </c>
      <c r="K110" t="str">
        <f>HYPERLINK("https://store.steampowered.com/app/3472040/NBA_2K26/","Abrir Steam")</f>
        <v>Abrir Steam</v>
      </c>
      <c r="L110" t="s">
        <v>42</v>
      </c>
      <c r="M110" t="s">
        <v>70</v>
      </c>
      <c r="N110" t="s">
        <v>32</v>
      </c>
      <c r="O110" t="s">
        <v>878</v>
      </c>
      <c r="P110" t="s">
        <v>879</v>
      </c>
      <c r="Q110" t="s">
        <v>32</v>
      </c>
      <c r="R110" t="s">
        <v>880</v>
      </c>
      <c r="S110" t="s">
        <v>36</v>
      </c>
      <c r="T110" t="s">
        <v>881</v>
      </c>
      <c r="U110" t="s">
        <v>882</v>
      </c>
      <c r="V110" t="s">
        <v>883</v>
      </c>
      <c r="W110" t="s">
        <v>884</v>
      </c>
      <c r="X110" t="s">
        <v>885</v>
      </c>
      <c r="Y110" t="s">
        <v>886</v>
      </c>
      <c r="Z110" t="s">
        <v>887</v>
      </c>
    </row>
    <row r="111">
      <c r="A111" t="s">
        <v>860</v>
      </c>
      <c r="B111" t="s">
        <v>888</v>
      </c>
      <c r="C111" t="s">
        <v>32</v>
      </c>
      <c r="D111" t="s">
        <v>41</v>
      </c>
      <c r="E111">
        <v>27234</v>
      </c>
      <c r="F111">
        <v>183902</v>
      </c>
      <c r="G111">
        <v>54234</v>
      </c>
      <c r="H111">
        <v>27000</v>
      </c>
      <c r="I111">
        <v>78097</v>
      </c>
      <c r="J111" t="str">
        <f>HYPERLINK("https://www.eneba.com/latam/steam-nba-2k26-superstar-edition-steam-key-pc-global","Abrir compra")</f>
        <v>Abrir compra</v>
      </c>
      <c r="K111" t="str">
        <f>HYPERLINK("https://store.steampowered.com/app/3472040/NBA_2K26/","Abrir Steam")</f>
        <v>Abrir Steam</v>
      </c>
      <c r="L111" t="s">
        <v>42</v>
      </c>
      <c r="M111" t="s">
        <v>70</v>
      </c>
      <c r="N111" t="s">
        <v>32</v>
      </c>
      <c r="O111" t="s">
        <v>889</v>
      </c>
      <c r="P111" t="s">
        <v>890</v>
      </c>
      <c r="Q111" t="s">
        <v>32</v>
      </c>
      <c r="R111" t="s">
        <v>891</v>
      </c>
      <c r="S111" t="s">
        <v>36</v>
      </c>
      <c r="T111" t="s">
        <v>892</v>
      </c>
      <c r="U111" t="s">
        <v>893</v>
      </c>
      <c r="V111" t="s">
        <v>894</v>
      </c>
      <c r="W111" t="s">
        <v>895</v>
      </c>
      <c r="X111" t="s">
        <v>896</v>
      </c>
      <c r="Y111" t="s">
        <v>897</v>
      </c>
      <c r="Z111" t="s">
        <v>898</v>
      </c>
    </row>
    <row r="112">
      <c r="A112" t="s">
        <v>899</v>
      </c>
      <c r="B112" t="s">
        <v>900</v>
      </c>
      <c r="C112" t="s">
        <v>32</v>
      </c>
      <c r="D112" t="s">
        <v>41</v>
      </c>
      <c r="E112">
        <v>18711</v>
      </c>
      <c r="F112">
        <v>58836</v>
      </c>
      <c r="G112">
        <v>42047</v>
      </c>
      <c r="H112">
        <v>23336</v>
      </c>
      <c r="I112">
        <v>60548</v>
      </c>
      <c r="J112" t="str">
        <f>HYPERLINK("https://www.eneba.com/latam/steam-nier-automata-game-of-the-yorha-edition-steam-key-pc-latam","Abrir compra")</f>
        <v>Abrir compra</v>
      </c>
      <c r="K112" t="str">
        <f>HYPERLINK("https://store.steampowered.com/app/524220/NieRAutomata/?curator_clanid=4777282","Abrir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904</v>
      </c>
      <c r="T112" t="s">
        <v>905</v>
      </c>
      <c r="U112" t="s">
        <v>906</v>
      </c>
      <c r="V112" t="s">
        <v>894</v>
      </c>
      <c r="W112" t="s">
        <v>907</v>
      </c>
      <c r="X112" t="s">
        <v>908</v>
      </c>
      <c r="Y112" t="s">
        <v>909</v>
      </c>
      <c r="Z112" t="s">
        <v>910</v>
      </c>
    </row>
    <row r="113">
      <c r="A113" t="s">
        <v>899</v>
      </c>
      <c r="B113" t="s">
        <v>911</v>
      </c>
      <c r="C113" t="s">
        <v>28</v>
      </c>
      <c r="D113" t="s">
        <v>29</v>
      </c>
      <c r="E113">
        <v>12752</v>
      </c>
      <c r="F113">
        <v>58836</v>
      </c>
      <c r="G113">
        <v>34047</v>
      </c>
      <c r="H113">
        <v>21295</v>
      </c>
      <c r="I113">
        <v>49028</v>
      </c>
      <c r="J113" t="str">
        <f>HYPERLINK("https://driffle.com/es/nier-automata-game-of-the-yorha-edition-global-pc-steam-account-p9979549","Abrir compra")</f>
        <v>Abrir compra</v>
      </c>
      <c r="K113" t="str">
        <f>HYPERLINK("https://store.steampowered.com/app/524220/NieRAutomata/?curator_clanid=4777282","Abrir Steam")</f>
        <v>Abrir Steam</v>
      </c>
      <c r="L113" t="s">
        <v>30</v>
      </c>
      <c r="M113" t="s">
        <v>70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36</v>
      </c>
      <c r="T113" t="s">
        <v>36</v>
      </c>
      <c r="U113" t="s">
        <v>915</v>
      </c>
      <c r="V113" t="s">
        <v>36</v>
      </c>
      <c r="W113" t="s">
        <v>916</v>
      </c>
      <c r="X113" t="s">
        <v>36</v>
      </c>
      <c r="Y113" t="s">
        <v>917</v>
      </c>
      <c r="Z113" t="s">
        <v>36</v>
      </c>
    </row>
    <row r="114">
      <c r="A114" t="s">
        <v>918</v>
      </c>
      <c r="B114" t="s">
        <v>413</v>
      </c>
      <c r="C114" t="s">
        <v>32</v>
      </c>
      <c r="D114" t="s">
        <v>41</v>
      </c>
      <c r="E114">
        <v>46394</v>
      </c>
      <c r="F114">
        <v>102977</v>
      </c>
      <c r="G114">
        <v>70897</v>
      </c>
      <c r="H114">
        <v>24503</v>
      </c>
      <c r="I114">
        <v>102092</v>
      </c>
      <c r="J114" t="str">
        <f>HYPERLINK("https://driffle.com/es/persona-3-reload-deluxe-edition-pc-steam-digital-code-p9889103","Abrir compra")</f>
        <v>Abrir compra</v>
      </c>
      <c r="K114" t="str">
        <f>HYPERLINK("https://store.steampowered.com/app/2161700/Persona_3_Reload/","Abrir Steam")</f>
        <v>Abrir Steam</v>
      </c>
      <c r="L114" t="s">
        <v>30</v>
      </c>
      <c r="M114" t="s">
        <v>70</v>
      </c>
      <c r="N114" t="s">
        <v>32</v>
      </c>
      <c r="O114" t="s">
        <v>919</v>
      </c>
      <c r="P114" t="s">
        <v>920</v>
      </c>
      <c r="Q114" t="s">
        <v>32</v>
      </c>
      <c r="R114" t="s">
        <v>921</v>
      </c>
      <c r="S114" t="s">
        <v>36</v>
      </c>
      <c r="T114" t="s">
        <v>36</v>
      </c>
      <c r="U114" t="s">
        <v>922</v>
      </c>
      <c r="V114" t="s">
        <v>36</v>
      </c>
      <c r="W114" t="s">
        <v>923</v>
      </c>
      <c r="X114" t="s">
        <v>924</v>
      </c>
      <c r="Y114" t="s">
        <v>925</v>
      </c>
      <c r="Z114" t="s">
        <v>926</v>
      </c>
    </row>
    <row r="115">
      <c r="A115" t="s">
        <v>918</v>
      </c>
      <c r="B115" t="s">
        <v>52</v>
      </c>
      <c r="C115" t="s">
        <v>32</v>
      </c>
      <c r="D115" t="s">
        <v>41</v>
      </c>
      <c r="E115">
        <v>30871</v>
      </c>
      <c r="F115">
        <v>88263</v>
      </c>
      <c r="G115">
        <v>57871</v>
      </c>
      <c r="H115">
        <v>27000</v>
      </c>
      <c r="I115">
        <v>83334</v>
      </c>
      <c r="J115" t="str">
        <f>HYPERLINK("https://driffle.com/es/persona-3-reload-pc-steam-digital-code-p9889101","Abrir compra")</f>
        <v>Abrir compra</v>
      </c>
      <c r="K115" t="str">
        <f>HYPERLINK("https://store.steampowered.com/app/2161700/Persona_3_Reload/","Abrir Steam")</f>
        <v>Abrir Steam</v>
      </c>
      <c r="L115" t="s">
        <v>30</v>
      </c>
      <c r="M115" t="s">
        <v>70</v>
      </c>
      <c r="N115" t="s">
        <v>32</v>
      </c>
      <c r="O115" t="s">
        <v>927</v>
      </c>
      <c r="P115" t="s">
        <v>928</v>
      </c>
      <c r="Q115" t="s">
        <v>32</v>
      </c>
      <c r="R115" t="s">
        <v>929</v>
      </c>
      <c r="S115" t="s">
        <v>36</v>
      </c>
      <c r="T115" t="s">
        <v>930</v>
      </c>
      <c r="U115" t="s">
        <v>931</v>
      </c>
      <c r="V115" t="s">
        <v>175</v>
      </c>
      <c r="W115" t="s">
        <v>932</v>
      </c>
      <c r="X115" t="s">
        <v>933</v>
      </c>
      <c r="Y115" t="s">
        <v>934</v>
      </c>
      <c r="Z115" t="s">
        <v>935</v>
      </c>
    </row>
    <row r="116">
      <c r="A116" t="s">
        <v>936</v>
      </c>
      <c r="B116" t="s">
        <v>413</v>
      </c>
      <c r="C116" t="s">
        <v>32</v>
      </c>
      <c r="D116" t="s">
        <v>41</v>
      </c>
      <c r="E116">
        <v>75246</v>
      </c>
      <c r="F116">
        <v>97478</v>
      </c>
      <c r="G116">
        <v>90246</v>
      </c>
      <c r="H116">
        <v>15000</v>
      </c>
      <c r="I116">
        <v>129954</v>
      </c>
      <c r="J116" t="str">
        <f>HYPERLINK("https://www.eneba.com/latam/steam-pragmata-deluxe-edition-steam-key-pc-latam","Abrir compra")</f>
        <v>Abrir compra</v>
      </c>
      <c r="K116" t="str">
        <f>HYPERLINK("https://store.steampowered.com/app/3357650/PRAGMATA/","Abrir Steam")</f>
        <v>Abrir Steam</v>
      </c>
      <c r="L116" t="s">
        <v>42</v>
      </c>
      <c r="M116" t="s">
        <v>31</v>
      </c>
      <c r="N116" t="s">
        <v>32</v>
      </c>
      <c r="O116" t="s">
        <v>937</v>
      </c>
      <c r="P116" t="s">
        <v>938</v>
      </c>
      <c r="Q116" t="s">
        <v>32</v>
      </c>
      <c r="R116" t="s">
        <v>939</v>
      </c>
      <c r="S116" t="s">
        <v>36</v>
      </c>
      <c r="T116" t="s">
        <v>940</v>
      </c>
      <c r="U116" t="s">
        <v>941</v>
      </c>
      <c r="V116" t="s">
        <v>36</v>
      </c>
      <c r="W116" t="s">
        <v>942</v>
      </c>
      <c r="X116" t="s">
        <v>943</v>
      </c>
      <c r="Y116" t="s">
        <v>944</v>
      </c>
      <c r="Z116" t="s">
        <v>945</v>
      </c>
    </row>
    <row r="117">
      <c r="A117" t="s">
        <v>946</v>
      </c>
      <c r="B117" t="s">
        <v>52</v>
      </c>
      <c r="C117" t="s">
        <v>32</v>
      </c>
      <c r="D117" t="s">
        <v>41</v>
      </c>
      <c r="E117">
        <v>16597</v>
      </c>
      <c r="F117">
        <v>60675</v>
      </c>
      <c r="G117">
        <v>45201</v>
      </c>
      <c r="H117">
        <v>28604</v>
      </c>
      <c r="I117">
        <v>65089</v>
      </c>
      <c r="J117" t="str">
        <f>HYPERLINK("https://www.eneba.com/latam/steam-ready-or-not-pc-steam-key-latam","Abrir compra")</f>
        <v>Abrir compra</v>
      </c>
      <c r="K117" t="str">
        <f>HYPERLINK("https://store.steampowered.com/app/1144200/Ready_or_Not/","Abrir Steam")</f>
        <v>Abrir Steam</v>
      </c>
      <c r="L117" t="s">
        <v>42</v>
      </c>
      <c r="M117" t="s">
        <v>31</v>
      </c>
      <c r="N117" t="s">
        <v>32</v>
      </c>
      <c r="O117" t="s">
        <v>947</v>
      </c>
      <c r="P117" t="s">
        <v>948</v>
      </c>
      <c r="Q117" t="s">
        <v>32</v>
      </c>
      <c r="R117" t="s">
        <v>949</v>
      </c>
      <c r="S117" t="s">
        <v>36</v>
      </c>
      <c r="T117" t="s">
        <v>950</v>
      </c>
      <c r="U117" t="s">
        <v>951</v>
      </c>
      <c r="V117" t="s">
        <v>952</v>
      </c>
      <c r="W117" t="s">
        <v>953</v>
      </c>
      <c r="X117" t="s">
        <v>954</v>
      </c>
      <c r="Y117" t="s">
        <v>955</v>
      </c>
      <c r="Z117" t="s">
        <v>956</v>
      </c>
    </row>
    <row r="118">
      <c r="A118" t="s">
        <v>946</v>
      </c>
      <c r="B118" t="s">
        <v>62</v>
      </c>
      <c r="C118" t="s">
        <v>28</v>
      </c>
      <c r="D118" t="s">
        <v>29</v>
      </c>
      <c r="E118">
        <v>11166</v>
      </c>
      <c r="F118">
        <v>60675</v>
      </c>
      <c r="G118">
        <v>34130</v>
      </c>
      <c r="H118">
        <v>22964</v>
      </c>
      <c r="I118">
        <v>49147</v>
      </c>
      <c r="J118" t="str">
        <f>HYPERLINK("https://driffle.com/es/ready-or-not-global-pc-steam-account-p9943438","Abrir compra")</f>
        <v>Abrir compra</v>
      </c>
      <c r="K118" t="str">
        <f>HYPERLINK("https://store.steampowered.com/app/1144200/Ready_or_Not/","Abrir Steam")</f>
        <v>Abrir Steam</v>
      </c>
      <c r="L118" t="s">
        <v>30</v>
      </c>
      <c r="M118" t="s">
        <v>70</v>
      </c>
      <c r="N118" t="s">
        <v>32</v>
      </c>
      <c r="O118" t="s">
        <v>957</v>
      </c>
      <c r="P118" t="s">
        <v>958</v>
      </c>
      <c r="Q118" t="s">
        <v>32</v>
      </c>
      <c r="R118" t="s">
        <v>959</v>
      </c>
      <c r="S118" t="s">
        <v>36</v>
      </c>
      <c r="T118" t="s">
        <v>36</v>
      </c>
      <c r="U118" t="s">
        <v>960</v>
      </c>
      <c r="V118" t="s">
        <v>36</v>
      </c>
      <c r="W118" t="s">
        <v>961</v>
      </c>
      <c r="X118" t="s">
        <v>36</v>
      </c>
      <c r="Y118" t="s">
        <v>962</v>
      </c>
      <c r="Z118" t="s">
        <v>36</v>
      </c>
    </row>
    <row r="119">
      <c r="A119" t="s">
        <v>963</v>
      </c>
      <c r="B119" t="s">
        <v>413</v>
      </c>
      <c r="C119" t="s">
        <v>32</v>
      </c>
      <c r="D119" t="s">
        <v>41</v>
      </c>
      <c r="E119">
        <v>12079</v>
      </c>
      <c r="F119">
        <v>71729</v>
      </c>
      <c r="G119">
        <v>39079</v>
      </c>
      <c r="H119">
        <v>27000</v>
      </c>
      <c r="I119">
        <v>56274</v>
      </c>
      <c r="J119" t="str">
        <f>HYPERLINK("https://www.eneba.com/latam/steam-resident-evil-2-biohazard-re-2-deluxe-edition-steam-key-latam","Abrir compra")</f>
        <v>Abrir compra</v>
      </c>
      <c r="K119" t="str">
        <f>HYPERLINK("https://store.steampowered.com/app/883710/Resident_Evil_2/?curator_clanid=4777282","Abrir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964</v>
      </c>
      <c r="P119" t="s">
        <v>965</v>
      </c>
      <c r="Q119" t="s">
        <v>32</v>
      </c>
      <c r="R119" t="s">
        <v>966</v>
      </c>
      <c r="S119" t="s">
        <v>36</v>
      </c>
      <c r="T119" t="s">
        <v>967</v>
      </c>
      <c r="U119" t="s">
        <v>968</v>
      </c>
      <c r="V119" t="s">
        <v>36</v>
      </c>
      <c r="W119" t="s">
        <v>969</v>
      </c>
      <c r="X119" t="s">
        <v>970</v>
      </c>
      <c r="Y119" t="s">
        <v>971</v>
      </c>
      <c r="Z119" t="s">
        <v>36</v>
      </c>
    </row>
    <row r="120">
      <c r="A120" t="s">
        <v>963</v>
      </c>
      <c r="B120" t="s">
        <v>52</v>
      </c>
      <c r="C120" t="s">
        <v>32</v>
      </c>
      <c r="D120" t="s">
        <v>41</v>
      </c>
      <c r="E120">
        <v>8459</v>
      </c>
      <c r="F120">
        <v>53337</v>
      </c>
      <c r="G120">
        <v>34801</v>
      </c>
      <c r="H120">
        <v>26342</v>
      </c>
      <c r="I120">
        <v>50113</v>
      </c>
      <c r="J120" t="str">
        <f>HYPERLINK("https://driffle.com/es/resident-evil-2-biohazard-re-2-latam-pc-steam-digital-code-p9887138","Abrir compra")</f>
        <v>Abrir compra</v>
      </c>
      <c r="K120" t="str">
        <f>HYPERLINK("https://store.steampowered.com/app/883710/Resident_Evil_2/?curator_clanid=4777282","Abrir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972</v>
      </c>
      <c r="P120" t="s">
        <v>973</v>
      </c>
      <c r="Q120" t="s">
        <v>32</v>
      </c>
      <c r="R120" t="s">
        <v>974</v>
      </c>
      <c r="S120" t="s">
        <v>36</v>
      </c>
      <c r="T120" t="s">
        <v>975</v>
      </c>
      <c r="U120" t="s">
        <v>976</v>
      </c>
      <c r="V120" t="s">
        <v>36</v>
      </c>
      <c r="W120" t="s">
        <v>977</v>
      </c>
      <c r="X120" t="s">
        <v>978</v>
      </c>
      <c r="Y120" t="s">
        <v>979</v>
      </c>
      <c r="Z120" t="s">
        <v>36</v>
      </c>
    </row>
    <row r="121">
      <c r="A121" t="s">
        <v>980</v>
      </c>
      <c r="B121" t="s">
        <v>52</v>
      </c>
      <c r="C121" t="s">
        <v>32</v>
      </c>
      <c r="D121" t="s">
        <v>41</v>
      </c>
      <c r="E121">
        <v>8715</v>
      </c>
      <c r="F121">
        <v>53337</v>
      </c>
      <c r="G121">
        <v>37441</v>
      </c>
      <c r="H121">
        <v>28726</v>
      </c>
      <c r="I121">
        <v>53915</v>
      </c>
      <c r="J121" t="str">
        <f>HYPERLINK("https://www.eneba.com/latam/steam-resident-evil-3-steam-key-latam","Abrir compra")</f>
        <v>Abrir compra</v>
      </c>
      <c r="K121" t="str">
        <f>HYPERLINK("https://store.steampowered.com/app/952060/Resident_Evil_3/?curator_clanid=4777282","Abrir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981</v>
      </c>
      <c r="P121" t="s">
        <v>982</v>
      </c>
      <c r="Q121" t="s">
        <v>32</v>
      </c>
      <c r="R121" t="s">
        <v>983</v>
      </c>
      <c r="S121" t="s">
        <v>36</v>
      </c>
      <c r="T121" t="s">
        <v>984</v>
      </c>
      <c r="U121" t="s">
        <v>985</v>
      </c>
      <c r="V121" t="s">
        <v>36</v>
      </c>
      <c r="W121" t="s">
        <v>986</v>
      </c>
      <c r="X121" t="s">
        <v>987</v>
      </c>
      <c r="Y121" t="s">
        <v>988</v>
      </c>
      <c r="Z121" t="s">
        <v>36</v>
      </c>
    </row>
    <row r="122">
      <c r="A122" t="s">
        <v>980</v>
      </c>
      <c r="B122" t="s">
        <v>62</v>
      </c>
      <c r="C122" t="s">
        <v>28</v>
      </c>
      <c r="D122" t="s">
        <v>29</v>
      </c>
      <c r="E122">
        <v>6600</v>
      </c>
      <c r="F122">
        <v>53337</v>
      </c>
      <c r="G122">
        <v>29441</v>
      </c>
      <c r="H122">
        <v>22841</v>
      </c>
      <c r="I122">
        <v>42395</v>
      </c>
      <c r="J122" t="str">
        <f>HYPERLINK("https://driffle.com/es/resident-evil-3-global-pc-steam-account-p9997169","Abrir compra")</f>
        <v>Abrir compra</v>
      </c>
      <c r="K122" t="str">
        <f>HYPERLINK("https://store.steampowered.com/app/952060/Resident_Evil_3/?curator_clanid=4777282","Abrir Steam")</f>
        <v>Abrir Steam</v>
      </c>
      <c r="L122" t="s">
        <v>30</v>
      </c>
      <c r="M122" t="s">
        <v>70</v>
      </c>
      <c r="N122" t="s">
        <v>32</v>
      </c>
      <c r="O122" t="s">
        <v>989</v>
      </c>
      <c r="P122" t="s">
        <v>990</v>
      </c>
      <c r="Q122" t="s">
        <v>32</v>
      </c>
      <c r="R122" t="s">
        <v>991</v>
      </c>
      <c r="S122" t="s">
        <v>36</v>
      </c>
      <c r="T122" t="s">
        <v>36</v>
      </c>
      <c r="U122" t="s">
        <v>992</v>
      </c>
      <c r="V122" t="s">
        <v>36</v>
      </c>
      <c r="W122" t="s">
        <v>993</v>
      </c>
      <c r="X122" t="s">
        <v>36</v>
      </c>
      <c r="Y122" t="s">
        <v>994</v>
      </c>
      <c r="Z122" t="s">
        <v>36</v>
      </c>
    </row>
    <row r="123">
      <c r="A123" t="s">
        <v>995</v>
      </c>
      <c r="B123" t="s">
        <v>996</v>
      </c>
      <c r="C123" t="s">
        <v>32</v>
      </c>
      <c r="D123" t="s">
        <v>41</v>
      </c>
      <c r="E123">
        <v>34059</v>
      </c>
      <c r="F123">
        <v>71729</v>
      </c>
      <c r="G123">
        <v>51902</v>
      </c>
      <c r="H123">
        <v>17843</v>
      </c>
      <c r="I123">
        <v>74739</v>
      </c>
      <c r="J123" t="str">
        <f>HYPERLINK("https://www.eneba.com/latam/steam-resident-evil-7-gold-edition-village-gold-edition-pc-steam-key-latam","Abrir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42</v>
      </c>
      <c r="M123" t="s">
        <v>31</v>
      </c>
      <c r="N123" t="s">
        <v>32</v>
      </c>
      <c r="O123" t="s">
        <v>997</v>
      </c>
      <c r="P123" t="s">
        <v>998</v>
      </c>
      <c r="Q123" t="s">
        <v>32</v>
      </c>
      <c r="R123" t="s">
        <v>999</v>
      </c>
      <c r="S123" t="s">
        <v>36</v>
      </c>
      <c r="T123" t="s">
        <v>1000</v>
      </c>
      <c r="U123" t="s">
        <v>36</v>
      </c>
      <c r="V123" t="s">
        <v>36</v>
      </c>
      <c r="W123" t="s">
        <v>1001</v>
      </c>
      <c r="X123" t="s">
        <v>1002</v>
      </c>
      <c r="Y123" t="s">
        <v>1003</v>
      </c>
      <c r="Z123" t="s">
        <v>36</v>
      </c>
    </row>
    <row r="124">
      <c r="A124" t="s">
        <v>1004</v>
      </c>
      <c r="B124" t="s">
        <v>52</v>
      </c>
      <c r="C124" t="s">
        <v>32</v>
      </c>
      <c r="D124" t="s">
        <v>41</v>
      </c>
      <c r="E124">
        <v>9980</v>
      </c>
      <c r="F124">
        <v>27588</v>
      </c>
      <c r="G124">
        <v>24980</v>
      </c>
      <c r="H124">
        <v>15000</v>
      </c>
      <c r="I124">
        <v>35971</v>
      </c>
      <c r="J124" t="str">
        <f>HYPERLINK("https://www.eneba.com/latam/steam-resident-evil-7-biohazard-steam-key-latam","Abrir compra")</f>
        <v>Abrir compra</v>
      </c>
      <c r="K124" t="str">
        <f>HYPERLINK("https://store.steampowered.com/app/418370/Resident_Evil_7_Biohazard/","Abrir Steam")</f>
        <v>Abrir Steam</v>
      </c>
      <c r="L124" t="s">
        <v>42</v>
      </c>
      <c r="M124" t="s">
        <v>31</v>
      </c>
      <c r="N124" t="s">
        <v>32</v>
      </c>
      <c r="O124" t="s">
        <v>1005</v>
      </c>
      <c r="P124" t="s">
        <v>1006</v>
      </c>
      <c r="Q124" t="s">
        <v>32</v>
      </c>
      <c r="R124" t="s">
        <v>1007</v>
      </c>
      <c r="S124" t="s">
        <v>36</v>
      </c>
      <c r="T124" t="s">
        <v>1008</v>
      </c>
      <c r="U124" t="s">
        <v>1009</v>
      </c>
      <c r="V124" t="s">
        <v>36</v>
      </c>
      <c r="W124" t="s">
        <v>1010</v>
      </c>
      <c r="X124" t="s">
        <v>1011</v>
      </c>
      <c r="Y124" t="s">
        <v>1012</v>
      </c>
      <c r="Z124" t="s">
        <v>36</v>
      </c>
    </row>
    <row r="125">
      <c r="A125" t="s">
        <v>1004</v>
      </c>
      <c r="B125" t="s">
        <v>1013</v>
      </c>
      <c r="C125" t="s">
        <v>32</v>
      </c>
      <c r="D125" t="s">
        <v>41</v>
      </c>
      <c r="E125">
        <v>12207</v>
      </c>
      <c r="F125">
        <v>110334</v>
      </c>
      <c r="G125">
        <v>39207</v>
      </c>
      <c r="H125">
        <v>27000</v>
      </c>
      <c r="I125">
        <v>56458</v>
      </c>
      <c r="J125" t="str">
        <f>HYPERLINK("https://www.eneba.com/latam/steam-resident-evil-7-biohazard-gold-edition-steam-key-latam","Abrir compra")</f>
        <v>Abrir compra</v>
      </c>
      <c r="K125" t="str">
        <f>HYPERLINK("https://store.steampowered.com/app/418370/Resident_Evil_7_Biohazard/","Abrir Steam")</f>
        <v>Abrir Steam</v>
      </c>
      <c r="L125" t="s">
        <v>42</v>
      </c>
      <c r="M125" t="s">
        <v>31</v>
      </c>
      <c r="N125" t="s">
        <v>32</v>
      </c>
      <c r="O125" t="s">
        <v>1014</v>
      </c>
      <c r="P125" t="s">
        <v>1015</v>
      </c>
      <c r="Q125" t="s">
        <v>32</v>
      </c>
      <c r="R125" t="s">
        <v>1016</v>
      </c>
      <c r="S125" t="s">
        <v>36</v>
      </c>
      <c r="T125" t="s">
        <v>1017</v>
      </c>
      <c r="U125" t="s">
        <v>1018</v>
      </c>
      <c r="V125" t="s">
        <v>36</v>
      </c>
      <c r="W125" t="s">
        <v>1019</v>
      </c>
      <c r="X125" t="s">
        <v>1020</v>
      </c>
      <c r="Y125" t="s">
        <v>1021</v>
      </c>
      <c r="Z125" t="s">
        <v>36</v>
      </c>
    </row>
    <row r="126">
      <c r="A126" t="s">
        <v>1022</v>
      </c>
      <c r="B126" t="s">
        <v>413</v>
      </c>
      <c r="C126" t="s">
        <v>32</v>
      </c>
      <c r="D126" t="s">
        <v>41</v>
      </c>
      <c r="E126">
        <v>69511</v>
      </c>
      <c r="F126">
        <v>110334</v>
      </c>
      <c r="G126">
        <v>84511</v>
      </c>
      <c r="H126">
        <v>15000</v>
      </c>
      <c r="I126">
        <v>121696</v>
      </c>
      <c r="J126" t="str">
        <f>HYPERLINK("https://www.eneba.com/latam/steam-resident-evil-requiem-deluxe-edition-steam-key-pc-latam","Abrir compra")</f>
        <v>Abrir compra</v>
      </c>
      <c r="K126" t="str">
        <f>HYPERLINK("https://store.steampowered.com/app/3764200/Resident_Evil_Requiem/","Abrir Steam")</f>
        <v>Abrir Steam</v>
      </c>
      <c r="L126" t="s">
        <v>42</v>
      </c>
      <c r="M126" t="s">
        <v>31</v>
      </c>
      <c r="N126" t="s">
        <v>32</v>
      </c>
      <c r="O126" t="s">
        <v>1023</v>
      </c>
      <c r="P126" t="s">
        <v>1024</v>
      </c>
      <c r="Q126" t="s">
        <v>32</v>
      </c>
      <c r="R126" t="s">
        <v>1025</v>
      </c>
      <c r="S126" t="s">
        <v>36</v>
      </c>
      <c r="T126" t="s">
        <v>1026</v>
      </c>
      <c r="U126" t="s">
        <v>1027</v>
      </c>
      <c r="V126" t="s">
        <v>36</v>
      </c>
      <c r="W126" t="s">
        <v>1028</v>
      </c>
      <c r="X126" t="s">
        <v>1029</v>
      </c>
      <c r="Y126" t="s">
        <v>1030</v>
      </c>
      <c r="Z126" t="s">
        <v>1031</v>
      </c>
    </row>
    <row r="127">
      <c r="A127" t="s">
        <v>1022</v>
      </c>
      <c r="B127" t="s">
        <v>52</v>
      </c>
      <c r="C127" t="s">
        <v>32</v>
      </c>
      <c r="D127" t="s">
        <v>41</v>
      </c>
      <c r="E127">
        <v>59739</v>
      </c>
      <c r="F127">
        <v>97478</v>
      </c>
      <c r="G127">
        <v>74739</v>
      </c>
      <c r="H127">
        <v>15000</v>
      </c>
      <c r="I127">
        <v>107624</v>
      </c>
      <c r="J127" t="str">
        <f>HYPERLINK("https://www.eneba.com/latam/steam-resident-evil-requiem-steam-key-pc-latam","Abrir compra")</f>
        <v>Abrir compra</v>
      </c>
      <c r="K127" t="str">
        <f>HYPERLINK("https://store.steampowered.com/app/3764200/Resident_Evil_Requiem/","Abrir Steam")</f>
        <v>Abrir Steam</v>
      </c>
      <c r="L127" t="s">
        <v>42</v>
      </c>
      <c r="M127" t="s">
        <v>31</v>
      </c>
      <c r="N127" t="s">
        <v>32</v>
      </c>
      <c r="O127" t="s">
        <v>1032</v>
      </c>
      <c r="P127" t="s">
        <v>1033</v>
      </c>
      <c r="Q127" t="s">
        <v>32</v>
      </c>
      <c r="R127" t="s">
        <v>1034</v>
      </c>
      <c r="S127" t="s">
        <v>36</v>
      </c>
      <c r="T127" t="s">
        <v>1035</v>
      </c>
      <c r="U127" t="s">
        <v>1036</v>
      </c>
      <c r="V127" t="s">
        <v>36</v>
      </c>
      <c r="W127" t="s">
        <v>1037</v>
      </c>
      <c r="X127" t="s">
        <v>1038</v>
      </c>
      <c r="Y127" t="s">
        <v>1039</v>
      </c>
      <c r="Z127" t="s">
        <v>1040</v>
      </c>
    </row>
    <row r="128">
      <c r="A128" t="s">
        <v>1041</v>
      </c>
      <c r="B128" t="s">
        <v>52</v>
      </c>
      <c r="C128" t="s">
        <v>32</v>
      </c>
      <c r="D128" t="s">
        <v>41</v>
      </c>
      <c r="E128">
        <v>12175</v>
      </c>
      <c r="F128">
        <v>53337</v>
      </c>
      <c r="G128">
        <v>34872</v>
      </c>
      <c r="H128">
        <v>22697</v>
      </c>
      <c r="I128">
        <v>50216</v>
      </c>
      <c r="J128" t="str">
        <f>HYPERLINK("https://www.eneba.com/latam/steam-resident-evil-village-resident-evil-8-steam-key-latam","Abrir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42</v>
      </c>
      <c r="M128" t="s">
        <v>31</v>
      </c>
      <c r="N128" t="s">
        <v>32</v>
      </c>
      <c r="O128" t="s">
        <v>1042</v>
      </c>
      <c r="P128" t="s">
        <v>1043</v>
      </c>
      <c r="Q128" t="s">
        <v>32</v>
      </c>
      <c r="R128" t="s">
        <v>1044</v>
      </c>
      <c r="S128" t="s">
        <v>36</v>
      </c>
      <c r="T128" t="s">
        <v>685</v>
      </c>
      <c r="U128" t="s">
        <v>1045</v>
      </c>
      <c r="V128" t="s">
        <v>36</v>
      </c>
      <c r="W128" t="s">
        <v>1046</v>
      </c>
      <c r="X128" t="s">
        <v>1047</v>
      </c>
      <c r="Y128" t="s">
        <v>1048</v>
      </c>
      <c r="Z128" t="s">
        <v>1049</v>
      </c>
    </row>
    <row r="129">
      <c r="A129" t="s">
        <v>1041</v>
      </c>
      <c r="B129" t="s">
        <v>1013</v>
      </c>
      <c r="C129" t="s">
        <v>32</v>
      </c>
      <c r="D129" t="s">
        <v>41</v>
      </c>
      <c r="E129">
        <v>17590</v>
      </c>
      <c r="F129">
        <v>71729</v>
      </c>
      <c r="G129">
        <v>44590</v>
      </c>
      <c r="H129">
        <v>27000</v>
      </c>
      <c r="I129">
        <v>64210</v>
      </c>
      <c r="J129" t="str">
        <f>HYPERLINK("https://www.eneba.com/latam/steam-resident-evil-village-resident-evil-8-gold-edition-pc-steam-key-latam","Abrir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42</v>
      </c>
      <c r="M129" t="s">
        <v>31</v>
      </c>
      <c r="N129" t="s">
        <v>32</v>
      </c>
      <c r="O129" t="s">
        <v>1050</v>
      </c>
      <c r="P129" t="s">
        <v>1051</v>
      </c>
      <c r="Q129" t="s">
        <v>32</v>
      </c>
      <c r="R129" t="s">
        <v>1052</v>
      </c>
      <c r="S129" t="s">
        <v>36</v>
      </c>
      <c r="T129" t="s">
        <v>1053</v>
      </c>
      <c r="U129" t="s">
        <v>1054</v>
      </c>
      <c r="V129" t="s">
        <v>36</v>
      </c>
      <c r="W129" t="s">
        <v>1055</v>
      </c>
      <c r="X129" t="s">
        <v>1056</v>
      </c>
      <c r="Y129" t="s">
        <v>1057</v>
      </c>
      <c r="Z129" t="s">
        <v>1058</v>
      </c>
    </row>
    <row r="130">
      <c r="A130" t="s">
        <v>1059</v>
      </c>
      <c r="B130" t="s">
        <v>1060</v>
      </c>
      <c r="C130" t="s">
        <v>28</v>
      </c>
      <c r="D130" t="s">
        <v>29</v>
      </c>
      <c r="E130">
        <v>12704</v>
      </c>
      <c r="F130">
        <v>51479</v>
      </c>
      <c r="G130">
        <v>31158</v>
      </c>
      <c r="H130">
        <v>18454</v>
      </c>
      <c r="I130">
        <v>44868</v>
      </c>
      <c r="J130" t="str">
        <f>HYPERLINK("https://driffle.com/es/sea-of-thieves-2026-edition-global-pc-steam-account-p9992474","Abrir compra")</f>
        <v>Abrir compra</v>
      </c>
      <c r="K130" t="str">
        <f>HYPERLINK("https://store.steampowered.com/app/1172620/Sea_of_Thieves_2026_Edition/","Abrir Steam")</f>
        <v>Abrir Steam</v>
      </c>
      <c r="L130" t="s">
        <v>30</v>
      </c>
      <c r="M130" t="s">
        <v>31</v>
      </c>
      <c r="N130" t="s">
        <v>32</v>
      </c>
      <c r="O130" t="s">
        <v>1061</v>
      </c>
      <c r="P130" t="s">
        <v>1062</v>
      </c>
      <c r="Q130" t="s">
        <v>32</v>
      </c>
      <c r="R130" t="s">
        <v>1063</v>
      </c>
      <c r="S130" t="s">
        <v>36</v>
      </c>
      <c r="T130" t="s">
        <v>36</v>
      </c>
      <c r="U130" t="s">
        <v>1064</v>
      </c>
      <c r="V130" t="s">
        <v>36</v>
      </c>
      <c r="W130" t="s">
        <v>1065</v>
      </c>
      <c r="X130" t="s">
        <v>36</v>
      </c>
      <c r="Y130" t="s">
        <v>1066</v>
      </c>
      <c r="Z130" t="s">
        <v>36</v>
      </c>
    </row>
    <row r="131">
      <c r="A131" t="s">
        <v>1059</v>
      </c>
      <c r="B131" t="s">
        <v>27</v>
      </c>
      <c r="C131" t="s">
        <v>28</v>
      </c>
      <c r="D131" t="s">
        <v>29</v>
      </c>
      <c r="E131">
        <v>63407</v>
      </c>
      <c r="F131">
        <v>64354</v>
      </c>
      <c r="G131">
        <v>78407</v>
      </c>
      <c r="H131">
        <v>15000</v>
      </c>
      <c r="I131">
        <v>112906</v>
      </c>
      <c r="J131" t="str">
        <f>HYPERLINK("https://driffle.com/es/sea-of-thieves-2026-deluxe-edition-global-pc-steam-account-p9992475","Abrir compra")</f>
        <v>Abrir compra</v>
      </c>
      <c r="K131" t="str">
        <f>HYPERLINK("https://store.steampowered.com/app/1172620/Sea_of_Thieves_2026_Edition/","Abrir Steam")</f>
        <v>Abrir Steam</v>
      </c>
      <c r="L131" t="s">
        <v>30</v>
      </c>
      <c r="M131" t="s">
        <v>31</v>
      </c>
      <c r="N131" t="s">
        <v>32</v>
      </c>
      <c r="O131" t="s">
        <v>1067</v>
      </c>
      <c r="P131" t="s">
        <v>1068</v>
      </c>
      <c r="Q131" t="s">
        <v>32</v>
      </c>
      <c r="R131" t="s">
        <v>1069</v>
      </c>
      <c r="S131" t="s">
        <v>36</v>
      </c>
      <c r="T131" t="s">
        <v>36</v>
      </c>
      <c r="U131" t="s">
        <v>1070</v>
      </c>
      <c r="V131" t="s">
        <v>36</v>
      </c>
      <c r="W131" t="s">
        <v>1071</v>
      </c>
      <c r="X131" t="s">
        <v>36</v>
      </c>
      <c r="Y131" t="s">
        <v>1072</v>
      </c>
      <c r="Z131" t="s">
        <v>36</v>
      </c>
    </row>
    <row r="132">
      <c r="A132" t="s">
        <v>1059</v>
      </c>
      <c r="B132" t="s">
        <v>553</v>
      </c>
      <c r="C132" t="s">
        <v>28</v>
      </c>
      <c r="D132" t="s">
        <v>29</v>
      </c>
      <c r="E132">
        <v>76271</v>
      </c>
      <c r="F132">
        <v>73550</v>
      </c>
      <c r="G132">
        <v>91271</v>
      </c>
      <c r="H132">
        <v>15000</v>
      </c>
      <c r="I132">
        <v>131430</v>
      </c>
      <c r="J132" t="str">
        <f>HYPERLINK("https://driffle.com/es/sea-of-thieves-2026-premium-edition-global-pc-steam-account-p9992476","Abrir compra")</f>
        <v>Abrir compra</v>
      </c>
      <c r="K132" t="str">
        <f>HYPERLINK("https://store.steampowered.com/app/1172620/Sea_of_Thieves_2026_Edition/","Abrir Steam")</f>
        <v>Abrir Steam</v>
      </c>
      <c r="L132" t="s">
        <v>30</v>
      </c>
      <c r="M132" t="s">
        <v>31</v>
      </c>
      <c r="N132" t="s">
        <v>32</v>
      </c>
      <c r="O132" t="s">
        <v>1073</v>
      </c>
      <c r="P132" t="s">
        <v>1074</v>
      </c>
      <c r="Q132" t="s">
        <v>32</v>
      </c>
      <c r="R132" t="s">
        <v>1075</v>
      </c>
      <c r="S132" t="s">
        <v>36</v>
      </c>
      <c r="T132" t="s">
        <v>36</v>
      </c>
      <c r="U132" t="s">
        <v>1076</v>
      </c>
      <c r="V132" t="s">
        <v>36</v>
      </c>
      <c r="W132" t="s">
        <v>1077</v>
      </c>
      <c r="X132" t="s">
        <v>36</v>
      </c>
      <c r="Y132" t="s">
        <v>1078</v>
      </c>
      <c r="Z132" t="s">
        <v>36</v>
      </c>
    </row>
    <row r="133">
      <c r="A133" t="s">
        <v>1079</v>
      </c>
      <c r="B133" t="s">
        <v>52</v>
      </c>
      <c r="C133" t="s">
        <v>32</v>
      </c>
      <c r="D133" t="s">
        <v>41</v>
      </c>
      <c r="E133">
        <v>40755</v>
      </c>
      <c r="F133">
        <v>60675</v>
      </c>
      <c r="G133">
        <v>57566</v>
      </c>
      <c r="H133">
        <v>16811</v>
      </c>
      <c r="I133">
        <v>82895</v>
      </c>
      <c r="J133" t="str">
        <f>HYPERLINK("https://www.eneba.com/latam/steam-silent-hill-2-pc-steam-key-global","Abrir compra")</f>
        <v>Abrir compra</v>
      </c>
      <c r="K133" t="str">
        <f>HYPERLINK("https://store.steampowered.com/app/2124490/SILENT_HILL_2/","Abrir Steam")</f>
        <v>Abrir Steam</v>
      </c>
      <c r="L133" t="s">
        <v>42</v>
      </c>
      <c r="M133" t="s">
        <v>70</v>
      </c>
      <c r="N133" t="s">
        <v>32</v>
      </c>
      <c r="O133" t="s">
        <v>1080</v>
      </c>
      <c r="P133" t="s">
        <v>1081</v>
      </c>
      <c r="Q133" t="s">
        <v>32</v>
      </c>
      <c r="R133" t="s">
        <v>1082</v>
      </c>
      <c r="S133" t="s">
        <v>36</v>
      </c>
      <c r="T133" t="s">
        <v>1083</v>
      </c>
      <c r="U133" t="s">
        <v>1084</v>
      </c>
      <c r="V133" t="s">
        <v>36</v>
      </c>
      <c r="W133" t="s">
        <v>1085</v>
      </c>
      <c r="X133" t="s">
        <v>1086</v>
      </c>
      <c r="Y133" t="s">
        <v>1087</v>
      </c>
      <c r="Z133" t="s">
        <v>1088</v>
      </c>
    </row>
    <row r="134">
      <c r="A134" t="s">
        <v>1089</v>
      </c>
      <c r="B134" t="s">
        <v>52</v>
      </c>
      <c r="C134" t="s">
        <v>32</v>
      </c>
      <c r="D134" t="s">
        <v>41</v>
      </c>
      <c r="E134">
        <v>35372</v>
      </c>
      <c r="F134">
        <v>60675</v>
      </c>
      <c r="G134">
        <v>50372</v>
      </c>
      <c r="H134">
        <v>15000</v>
      </c>
      <c r="I134">
        <v>72536</v>
      </c>
      <c r="J134" t="str">
        <f>HYPERLINK("https://www.eneba.com/latam/steam-silent-hill-f-steam-key-pc-latam","Abrir compra")</f>
        <v>Abrir compra</v>
      </c>
      <c r="K134" t="str">
        <f>HYPERLINK("https://store.steampowered.com/app/2947440/SILENT_HILL_f/","Abrir Steam")</f>
        <v>Abrir Steam</v>
      </c>
      <c r="L134" t="s">
        <v>42</v>
      </c>
      <c r="M134" t="s">
        <v>31</v>
      </c>
      <c r="N134" t="s">
        <v>32</v>
      </c>
      <c r="O134" t="s">
        <v>1090</v>
      </c>
      <c r="P134" t="s">
        <v>1091</v>
      </c>
      <c r="Q134" t="s">
        <v>32</v>
      </c>
      <c r="R134" t="s">
        <v>1092</v>
      </c>
      <c r="S134" t="s">
        <v>36</v>
      </c>
      <c r="T134" t="s">
        <v>1093</v>
      </c>
      <c r="U134" t="s">
        <v>1094</v>
      </c>
      <c r="V134" t="s">
        <v>36</v>
      </c>
      <c r="W134" t="s">
        <v>1095</v>
      </c>
      <c r="X134" t="s">
        <v>1096</v>
      </c>
      <c r="Y134" t="s">
        <v>1097</v>
      </c>
      <c r="Z134" t="s">
        <v>36</v>
      </c>
    </row>
    <row r="135">
      <c r="A135" t="s">
        <v>1089</v>
      </c>
      <c r="B135" t="s">
        <v>62</v>
      </c>
      <c r="C135" t="s">
        <v>28</v>
      </c>
      <c r="D135" t="s">
        <v>29</v>
      </c>
      <c r="E135">
        <v>23005</v>
      </c>
      <c r="F135">
        <v>60675</v>
      </c>
      <c r="G135">
        <v>38865</v>
      </c>
      <c r="H135">
        <v>15860</v>
      </c>
      <c r="I135">
        <v>55966</v>
      </c>
      <c r="J135" t="str">
        <f>HYPERLINK("https://driffle.com/es/silent-hill-f-global-pc-steam-account-p9964460","Abrir compra")</f>
        <v>Abrir compra</v>
      </c>
      <c r="K135" t="str">
        <f>HYPERLINK("https://store.steampowered.com/app/2947440/SILENT_HILL_f/","Abrir Steam")</f>
        <v>Abrir Steam</v>
      </c>
      <c r="L135" t="s">
        <v>30</v>
      </c>
      <c r="M135" t="s">
        <v>31</v>
      </c>
      <c r="N135" t="s">
        <v>32</v>
      </c>
      <c r="O135" t="s">
        <v>1098</v>
      </c>
      <c r="P135" t="s">
        <v>1099</v>
      </c>
      <c r="Q135" t="s">
        <v>32</v>
      </c>
      <c r="R135" t="s">
        <v>1100</v>
      </c>
      <c r="S135" t="s">
        <v>36</v>
      </c>
      <c r="T135" t="s">
        <v>36</v>
      </c>
      <c r="U135" t="s">
        <v>1101</v>
      </c>
      <c r="V135" t="s">
        <v>36</v>
      </c>
      <c r="W135" t="s">
        <v>1102</v>
      </c>
      <c r="X135" t="s">
        <v>36</v>
      </c>
      <c r="Y135" t="s">
        <v>1103</v>
      </c>
      <c r="Z135" t="s">
        <v>36</v>
      </c>
    </row>
    <row r="136">
      <c r="A136" t="s">
        <v>1104</v>
      </c>
      <c r="B136" t="s">
        <v>52</v>
      </c>
      <c r="C136" t="s">
        <v>32</v>
      </c>
      <c r="D136" t="s">
        <v>41</v>
      </c>
      <c r="E136">
        <v>71033</v>
      </c>
      <c r="F136">
        <v>91942</v>
      </c>
      <c r="G136">
        <v>88186</v>
      </c>
      <c r="H136">
        <v>17153</v>
      </c>
      <c r="I136">
        <v>126988</v>
      </c>
      <c r="J136" t="str">
        <f>HYPERLINK("https://driffle.com/es/split-fiction-global-pc-steam-digital-key-p9929426","Abrir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30</v>
      </c>
      <c r="M136" t="s">
        <v>70</v>
      </c>
      <c r="N136" t="s">
        <v>32</v>
      </c>
      <c r="O136" t="s">
        <v>1105</v>
      </c>
      <c r="P136" t="s">
        <v>1106</v>
      </c>
      <c r="Q136" t="s">
        <v>32</v>
      </c>
      <c r="R136" t="s">
        <v>1107</v>
      </c>
      <c r="S136" t="s">
        <v>36</v>
      </c>
      <c r="T136" t="s">
        <v>1108</v>
      </c>
      <c r="U136" t="s">
        <v>1109</v>
      </c>
      <c r="V136" t="s">
        <v>36</v>
      </c>
      <c r="W136" t="s">
        <v>1110</v>
      </c>
      <c r="X136" t="s">
        <v>1111</v>
      </c>
      <c r="Y136" t="s">
        <v>1112</v>
      </c>
      <c r="Z136" t="s">
        <v>36</v>
      </c>
    </row>
    <row r="137">
      <c r="A137" t="s">
        <v>1104</v>
      </c>
      <c r="B137" t="s">
        <v>62</v>
      </c>
      <c r="C137" t="s">
        <v>28</v>
      </c>
      <c r="D137" t="s">
        <v>29</v>
      </c>
      <c r="E137">
        <v>23069</v>
      </c>
      <c r="F137">
        <v>91942</v>
      </c>
      <c r="G137">
        <v>50069</v>
      </c>
      <c r="H137">
        <v>27000</v>
      </c>
      <c r="I137">
        <v>72099</v>
      </c>
      <c r="J137" t="str">
        <f>HYPERLINK("https://driffle.com/es/split-fiction-global-pc-steam-account-p9945656","Abrir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30</v>
      </c>
      <c r="M137" t="s">
        <v>70</v>
      </c>
      <c r="N137" t="s">
        <v>32</v>
      </c>
      <c r="O137" t="s">
        <v>1113</v>
      </c>
      <c r="P137" t="s">
        <v>1114</v>
      </c>
      <c r="Q137" t="s">
        <v>32</v>
      </c>
      <c r="R137" t="s">
        <v>1115</v>
      </c>
      <c r="S137" t="s">
        <v>36</v>
      </c>
      <c r="T137" t="s">
        <v>36</v>
      </c>
      <c r="U137" t="s">
        <v>1116</v>
      </c>
      <c r="V137" t="s">
        <v>36</v>
      </c>
      <c r="W137" t="s">
        <v>1117</v>
      </c>
      <c r="X137" t="s">
        <v>36</v>
      </c>
      <c r="Y137" t="s">
        <v>1118</v>
      </c>
      <c r="Z137" t="s">
        <v>36</v>
      </c>
    </row>
    <row r="138">
      <c r="A138" t="s">
        <v>1119</v>
      </c>
      <c r="B138" t="s">
        <v>413</v>
      </c>
      <c r="C138" t="s">
        <v>32</v>
      </c>
      <c r="D138" t="s">
        <v>41</v>
      </c>
      <c r="E138">
        <v>163612</v>
      </c>
      <c r="F138">
        <v>165510</v>
      </c>
      <c r="G138">
        <v>178612</v>
      </c>
      <c r="H138">
        <v>15000</v>
      </c>
      <c r="I138">
        <v>257201</v>
      </c>
      <c r="J138" t="str">
        <f>HYPERLINK("https://www.eneba.com/latam/steam-star-wars-jedi-survivortm-deluxe-edition-pc-steam-key-global","Abrir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42</v>
      </c>
      <c r="M138" t="s">
        <v>70</v>
      </c>
      <c r="N138" t="s">
        <v>32</v>
      </c>
      <c r="O138" t="s">
        <v>1120</v>
      </c>
      <c r="P138" t="s">
        <v>1121</v>
      </c>
      <c r="Q138" t="s">
        <v>32</v>
      </c>
      <c r="R138" t="s">
        <v>1122</v>
      </c>
      <c r="S138" t="s">
        <v>36</v>
      </c>
      <c r="T138" t="s">
        <v>1123</v>
      </c>
      <c r="U138" t="s">
        <v>36</v>
      </c>
      <c r="V138" t="s">
        <v>36</v>
      </c>
      <c r="W138" t="s">
        <v>36</v>
      </c>
      <c r="X138" t="s">
        <v>1124</v>
      </c>
      <c r="Y138" t="s">
        <v>1125</v>
      </c>
      <c r="Z138" t="s">
        <v>36</v>
      </c>
    </row>
    <row r="139">
      <c r="A139" t="s">
        <v>1119</v>
      </c>
      <c r="B139" t="s">
        <v>52</v>
      </c>
      <c r="C139" t="s">
        <v>32</v>
      </c>
      <c r="D139" t="s">
        <v>41</v>
      </c>
      <c r="E139">
        <v>17622</v>
      </c>
      <c r="F139">
        <v>128726</v>
      </c>
      <c r="G139">
        <v>48056</v>
      </c>
      <c r="H139">
        <v>30434</v>
      </c>
      <c r="I139">
        <v>69201</v>
      </c>
      <c r="J139" t="str">
        <f>HYPERLINK("https://www.eneba.com/latam/steam-star-wars-jedi-survivortm-pc-steam-key-global","Abrir compra")</f>
        <v>Abrir compra</v>
      </c>
      <c r="K139" t="str">
        <f>HYPERLINK("https://store.steampowered.com/app/1774580/STAR_WARS_Jedi_Survivor/?curator_clanid=4777282","Abrir Steam")</f>
        <v>Abrir Steam</v>
      </c>
      <c r="L139" t="s">
        <v>42</v>
      </c>
      <c r="M139" t="s">
        <v>70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36</v>
      </c>
      <c r="T139" t="s">
        <v>449</v>
      </c>
      <c r="U139" t="s">
        <v>36</v>
      </c>
      <c r="V139" t="s">
        <v>36</v>
      </c>
      <c r="W139" t="s">
        <v>36</v>
      </c>
      <c r="X139" t="s">
        <v>1129</v>
      </c>
      <c r="Y139" t="s">
        <v>36</v>
      </c>
      <c r="Z139" t="s">
        <v>36</v>
      </c>
    </row>
    <row r="140">
      <c r="A140" t="s">
        <v>1119</v>
      </c>
      <c r="B140" t="s">
        <v>62</v>
      </c>
      <c r="C140" t="s">
        <v>28</v>
      </c>
      <c r="D140" t="s">
        <v>29</v>
      </c>
      <c r="E140">
        <v>13056</v>
      </c>
      <c r="F140">
        <v>128726</v>
      </c>
      <c r="G140">
        <v>40056</v>
      </c>
      <c r="H140">
        <v>27000</v>
      </c>
      <c r="I140">
        <v>57681</v>
      </c>
      <c r="J140" t="str">
        <f>HYPERLINK("https://driffle.com/es/star-wars-jedi-survivor-global-pc-steam-account-p9971599","Abrir compra")</f>
        <v>Abrir compra</v>
      </c>
      <c r="K140" t="str">
        <f>HYPERLINK("https://store.steampowered.com/app/1774580/STAR_WARS_Jedi_Survivor/?curator_clanid=4777282","Abrir Steam")</f>
        <v>Abrir Steam</v>
      </c>
      <c r="L140" t="s">
        <v>30</v>
      </c>
      <c r="M140" t="s">
        <v>70</v>
      </c>
      <c r="N140" t="s">
        <v>32</v>
      </c>
      <c r="O140" t="s">
        <v>1130</v>
      </c>
      <c r="P140" t="s">
        <v>1131</v>
      </c>
      <c r="Q140" t="s">
        <v>32</v>
      </c>
      <c r="R140" t="s">
        <v>1132</v>
      </c>
      <c r="S140" t="s">
        <v>36</v>
      </c>
      <c r="T140" t="s">
        <v>36</v>
      </c>
      <c r="U140" t="s">
        <v>1133</v>
      </c>
      <c r="V140" t="s">
        <v>36</v>
      </c>
      <c r="W140" t="s">
        <v>1134</v>
      </c>
      <c r="X140" t="s">
        <v>36</v>
      </c>
      <c r="Y140" t="s">
        <v>1135</v>
      </c>
      <c r="Z140" t="s">
        <v>36</v>
      </c>
    </row>
    <row r="141">
      <c r="A141" t="s">
        <v>1136</v>
      </c>
      <c r="B141" t="s">
        <v>1137</v>
      </c>
      <c r="C141" t="s">
        <v>32</v>
      </c>
      <c r="D141" t="s">
        <v>41</v>
      </c>
      <c r="E141">
        <v>61373</v>
      </c>
      <c r="F141">
        <v>128726</v>
      </c>
      <c r="G141">
        <v>96373</v>
      </c>
      <c r="H141">
        <v>35000</v>
      </c>
      <c r="I141">
        <v>138777</v>
      </c>
      <c r="J141" t="str">
        <f>HYPERLINK("https://driffle.com/es/stellar-blade-complete-edition-latam-pc-steam-digital-key-p9938572","Abrir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32</v>
      </c>
      <c r="O141" t="s">
        <v>1138</v>
      </c>
      <c r="P141" t="s">
        <v>1139</v>
      </c>
      <c r="Q141" t="s">
        <v>32</v>
      </c>
      <c r="R141" t="s">
        <v>1140</v>
      </c>
      <c r="S141" t="s">
        <v>36</v>
      </c>
      <c r="T141" t="s">
        <v>1141</v>
      </c>
      <c r="U141" t="s">
        <v>1142</v>
      </c>
      <c r="V141" t="s">
        <v>1143</v>
      </c>
      <c r="W141" t="s">
        <v>1144</v>
      </c>
      <c r="X141" t="s">
        <v>1145</v>
      </c>
      <c r="Y141" t="s">
        <v>1146</v>
      </c>
      <c r="Z141" t="s">
        <v>1147</v>
      </c>
    </row>
    <row r="142">
      <c r="A142" t="s">
        <v>1136</v>
      </c>
      <c r="B142" t="s">
        <v>1148</v>
      </c>
      <c r="C142" t="s">
        <v>28</v>
      </c>
      <c r="D142" t="s">
        <v>29</v>
      </c>
      <c r="E142">
        <v>107238</v>
      </c>
      <c r="F142">
        <v>128726</v>
      </c>
      <c r="G142">
        <v>122238</v>
      </c>
      <c r="H142">
        <v>15000</v>
      </c>
      <c r="I142">
        <v>176023</v>
      </c>
      <c r="J142" t="str">
        <f>HYPERLINK("https://driffle.com/es/stellar-blade-complete-edition-global-pc-steam-account-p9979471","Abrir compra")</f>
        <v>Abrir compra</v>
      </c>
      <c r="K142" t="str">
        <f>HYPERLINK("https://store.steampowered.com/app/3489700/Stellar_Blade/","Abrir Steam")</f>
        <v>Abrir Steam</v>
      </c>
      <c r="L142" t="s">
        <v>30</v>
      </c>
      <c r="M142" t="s">
        <v>31</v>
      </c>
      <c r="N142" t="s">
        <v>32</v>
      </c>
      <c r="O142" t="s">
        <v>1149</v>
      </c>
      <c r="P142" t="s">
        <v>1150</v>
      </c>
      <c r="Q142" t="s">
        <v>32</v>
      </c>
      <c r="R142" t="s">
        <v>1151</v>
      </c>
      <c r="S142" t="s">
        <v>36</v>
      </c>
      <c r="T142" t="s">
        <v>36</v>
      </c>
      <c r="U142" t="s">
        <v>1152</v>
      </c>
      <c r="V142" t="s">
        <v>36</v>
      </c>
      <c r="W142" t="s">
        <v>1153</v>
      </c>
      <c r="X142" t="s">
        <v>36</v>
      </c>
      <c r="Y142" t="s">
        <v>1154</v>
      </c>
      <c r="Z142" t="s">
        <v>36</v>
      </c>
    </row>
    <row r="143">
      <c r="A143" t="s">
        <v>1136</v>
      </c>
      <c r="B143" t="s">
        <v>52</v>
      </c>
      <c r="C143" t="s">
        <v>32</v>
      </c>
      <c r="D143" t="s">
        <v>41</v>
      </c>
      <c r="E143">
        <v>47740</v>
      </c>
      <c r="F143">
        <v>110334</v>
      </c>
      <c r="G143">
        <v>79288</v>
      </c>
      <c r="H143">
        <v>31548</v>
      </c>
      <c r="I143">
        <v>114175</v>
      </c>
      <c r="J143" t="str">
        <f>HYPERLINK("https://www.eneba.com/latam/steam-stellar-blade-steam-key-pc-latam","Abrir compra")</f>
        <v>Abrir compra</v>
      </c>
      <c r="K143" t="str">
        <f>HYPERLINK("https://store.steampowered.com/app/3489700/Stellar_Blade/","Abrir Steam")</f>
        <v>Abrir Steam</v>
      </c>
      <c r="L143" t="s">
        <v>42</v>
      </c>
      <c r="M143" t="s">
        <v>31</v>
      </c>
      <c r="N143" t="s">
        <v>32</v>
      </c>
      <c r="O143" t="s">
        <v>1155</v>
      </c>
      <c r="P143" t="s">
        <v>1156</v>
      </c>
      <c r="Q143" t="s">
        <v>32</v>
      </c>
      <c r="R143" t="s">
        <v>1157</v>
      </c>
      <c r="S143" t="s">
        <v>36</v>
      </c>
      <c r="T143" t="s">
        <v>1158</v>
      </c>
      <c r="U143" t="s">
        <v>1159</v>
      </c>
      <c r="V143" t="s">
        <v>36</v>
      </c>
      <c r="W143" t="s">
        <v>1160</v>
      </c>
      <c r="X143" t="s">
        <v>1161</v>
      </c>
      <c r="Y143" t="s">
        <v>1162</v>
      </c>
      <c r="Z143" t="s">
        <v>1163</v>
      </c>
    </row>
    <row r="144">
      <c r="A144" t="s">
        <v>1136</v>
      </c>
      <c r="B144" t="s">
        <v>62</v>
      </c>
      <c r="C144" t="s">
        <v>28</v>
      </c>
      <c r="D144" t="s">
        <v>29</v>
      </c>
      <c r="E144">
        <v>49790</v>
      </c>
      <c r="F144">
        <v>110334</v>
      </c>
      <c r="G144">
        <v>68946</v>
      </c>
      <c r="H144">
        <v>19156</v>
      </c>
      <c r="I144">
        <v>99282</v>
      </c>
      <c r="J144" t="str">
        <f>HYPERLINK("https://driffle.com/es/stellar-blade-global-pc-steam-account-p9979470","Abrir compra")</f>
        <v>Abrir compra</v>
      </c>
      <c r="K144" t="str">
        <f>HYPERLINK("https://store.steampowered.com/app/3489700/Stellar_Blade/","Abrir Steam")</f>
        <v>Abrir Steam</v>
      </c>
      <c r="L144" t="s">
        <v>30</v>
      </c>
      <c r="M144" t="s">
        <v>31</v>
      </c>
      <c r="N144" t="s">
        <v>32</v>
      </c>
      <c r="O144" t="s">
        <v>1164</v>
      </c>
      <c r="P144" t="s">
        <v>1165</v>
      </c>
      <c r="Q144" t="s">
        <v>32</v>
      </c>
      <c r="R144" t="s">
        <v>1166</v>
      </c>
      <c r="S144" t="s">
        <v>36</v>
      </c>
      <c r="T144" t="s">
        <v>36</v>
      </c>
      <c r="U144" t="s">
        <v>1167</v>
      </c>
      <c r="V144" t="s">
        <v>36</v>
      </c>
      <c r="W144" t="s">
        <v>36</v>
      </c>
      <c r="X144" t="s">
        <v>36</v>
      </c>
      <c r="Y144" t="s">
        <v>1168</v>
      </c>
      <c r="Z144" t="s">
        <v>36</v>
      </c>
    </row>
    <row r="145">
      <c r="A145" t="s">
        <v>1169</v>
      </c>
      <c r="B145" t="s">
        <v>1170</v>
      </c>
      <c r="C145" t="s">
        <v>32</v>
      </c>
      <c r="D145" t="s">
        <v>41</v>
      </c>
      <c r="E145">
        <v>67172</v>
      </c>
      <c r="F145">
        <v>82764</v>
      </c>
      <c r="G145">
        <v>82172</v>
      </c>
      <c r="H145">
        <v>15000</v>
      </c>
      <c r="I145">
        <v>118328</v>
      </c>
      <c r="J145" t="str">
        <f>HYPERLINK("https://driffle.com/es/street-fighter-6-years-12-fighter-edition-latam-pc-steam-digital-key-p9940168","Abrir compra")</f>
        <v>Abrir compra</v>
      </c>
      <c r="K145" t="str">
        <f>HYPERLINK("https://store.steampowered.com/app/1364780/Street_Fighter_6/","Abrir Steam")</f>
        <v>Abrir Steam</v>
      </c>
      <c r="L145" t="s">
        <v>30</v>
      </c>
      <c r="M145" t="s">
        <v>31</v>
      </c>
      <c r="N145" t="s">
        <v>32</v>
      </c>
      <c r="O145" t="s">
        <v>1171</v>
      </c>
      <c r="P145" t="s">
        <v>1172</v>
      </c>
      <c r="Q145" t="s">
        <v>32</v>
      </c>
      <c r="R145" t="s">
        <v>1173</v>
      </c>
      <c r="S145" t="s">
        <v>36</v>
      </c>
      <c r="T145" t="s">
        <v>36</v>
      </c>
      <c r="U145" t="s">
        <v>167</v>
      </c>
      <c r="V145" t="s">
        <v>36</v>
      </c>
      <c r="W145" t="s">
        <v>1174</v>
      </c>
      <c r="X145" t="s">
        <v>1175</v>
      </c>
      <c r="Y145" t="s">
        <v>1176</v>
      </c>
      <c r="Z145" t="s">
        <v>36</v>
      </c>
    </row>
    <row r="146">
      <c r="A146" t="s">
        <v>1169</v>
      </c>
      <c r="B146" t="s">
        <v>52</v>
      </c>
      <c r="C146" t="s">
        <v>32</v>
      </c>
      <c r="D146" t="s">
        <v>41</v>
      </c>
      <c r="E146">
        <v>24607</v>
      </c>
      <c r="F146">
        <v>55158</v>
      </c>
      <c r="G146">
        <v>40664</v>
      </c>
      <c r="H146">
        <v>16057</v>
      </c>
      <c r="I146">
        <v>58556</v>
      </c>
      <c r="J146" t="str">
        <f>HYPERLINK("https://www.eneba.com/latam/steam-street-fighter-6-pc-steam-key-latam","Abrir compra")</f>
        <v>Abrir compra</v>
      </c>
      <c r="K146" t="str">
        <f>HYPERLINK("https://store.steampowered.com/app/1364780/Street_Fighter_6/","Abrir Steam")</f>
        <v>Abrir Steam</v>
      </c>
      <c r="L146" t="s">
        <v>42</v>
      </c>
      <c r="M146" t="s">
        <v>31</v>
      </c>
      <c r="N146" t="s">
        <v>32</v>
      </c>
      <c r="O146" t="s">
        <v>1177</v>
      </c>
      <c r="P146" t="s">
        <v>1178</v>
      </c>
      <c r="Q146" t="s">
        <v>32</v>
      </c>
      <c r="R146" t="s">
        <v>1179</v>
      </c>
      <c r="S146" t="s">
        <v>36</v>
      </c>
      <c r="T146" t="s">
        <v>1180</v>
      </c>
      <c r="U146" t="s">
        <v>36</v>
      </c>
      <c r="V146" t="s">
        <v>36</v>
      </c>
      <c r="W146" t="s">
        <v>1181</v>
      </c>
      <c r="X146" t="s">
        <v>1182</v>
      </c>
      <c r="Y146" t="s">
        <v>36</v>
      </c>
      <c r="Z146" t="s">
        <v>36</v>
      </c>
    </row>
    <row r="147">
      <c r="A147" t="s">
        <v>1183</v>
      </c>
      <c r="B147" t="s">
        <v>62</v>
      </c>
      <c r="C147" t="s">
        <v>28</v>
      </c>
      <c r="D147" t="s">
        <v>29</v>
      </c>
      <c r="E147">
        <v>20666</v>
      </c>
      <c r="F147">
        <v>38605</v>
      </c>
      <c r="G147">
        <v>35666</v>
      </c>
      <c r="H147">
        <v>15000</v>
      </c>
      <c r="I147">
        <v>51359</v>
      </c>
      <c r="J147" t="str">
        <f>HYPERLINK("https://driffle.com/es/subnautica-2-global-pc-steam-account-p9995025","Abrir compra")</f>
        <v>Abrir compra</v>
      </c>
      <c r="K147" t="str">
        <f>HYPERLINK("https://store.steampowered.com/app/1962700/Subnautica_2/","Abrir Steam")</f>
        <v>Abrir Steam</v>
      </c>
      <c r="L147" t="s">
        <v>30</v>
      </c>
      <c r="M147" t="s">
        <v>31</v>
      </c>
      <c r="N147" t="s">
        <v>32</v>
      </c>
      <c r="O147" t="s">
        <v>1184</v>
      </c>
      <c r="P147" t="s">
        <v>1185</v>
      </c>
      <c r="Q147" t="s">
        <v>32</v>
      </c>
      <c r="R147" t="s">
        <v>1186</v>
      </c>
      <c r="S147" t="s">
        <v>36</v>
      </c>
      <c r="T147" t="s">
        <v>36</v>
      </c>
      <c r="U147" t="s">
        <v>1187</v>
      </c>
      <c r="V147" t="s">
        <v>36</v>
      </c>
      <c r="W147" t="s">
        <v>1188</v>
      </c>
      <c r="X147" t="s">
        <v>36</v>
      </c>
      <c r="Y147" t="s">
        <v>1189</v>
      </c>
      <c r="Z147" t="s">
        <v>36</v>
      </c>
    </row>
    <row r="148">
      <c r="A148" t="s">
        <v>1190</v>
      </c>
      <c r="B148" t="s">
        <v>52</v>
      </c>
      <c r="C148" t="s">
        <v>32</v>
      </c>
      <c r="D148" t="s">
        <v>41</v>
      </c>
      <c r="E148">
        <v>32505</v>
      </c>
      <c r="F148">
        <v>58836</v>
      </c>
      <c r="G148">
        <v>63252</v>
      </c>
      <c r="H148">
        <v>30747</v>
      </c>
      <c r="I148">
        <v>91083</v>
      </c>
      <c r="J148" t="str">
        <f>HYPERLINK("https://www.loaded.com/es_es/tekken-8-pc-steam","Abrir compra")</f>
        <v>Abrir compra</v>
      </c>
      <c r="K148" t="str">
        <f>HYPERLINK("https://store.steampowered.com/app/1778820/TEKKEN_8/?curator_clanid=4777282","Abrir Steam")</f>
        <v>Abrir Steam</v>
      </c>
      <c r="L148" t="s">
        <v>809</v>
      </c>
      <c r="M148" t="s">
        <v>318</v>
      </c>
      <c r="N148" t="s">
        <v>32</v>
      </c>
      <c r="O148" t="s">
        <v>1191</v>
      </c>
      <c r="P148" t="s">
        <v>1192</v>
      </c>
      <c r="Q148" t="s">
        <v>32</v>
      </c>
      <c r="R148" t="s">
        <v>1193</v>
      </c>
      <c r="S148" t="s">
        <v>36</v>
      </c>
      <c r="T148" t="s">
        <v>1194</v>
      </c>
      <c r="U148" t="s">
        <v>1195</v>
      </c>
      <c r="V148" t="s">
        <v>1196</v>
      </c>
      <c r="W148" t="s">
        <v>1197</v>
      </c>
      <c r="X148" t="s">
        <v>1198</v>
      </c>
      <c r="Y148" t="s">
        <v>1199</v>
      </c>
      <c r="Z148" t="s">
        <v>1200</v>
      </c>
    </row>
    <row r="149">
      <c r="A149" t="s">
        <v>1190</v>
      </c>
      <c r="B149" t="s">
        <v>62</v>
      </c>
      <c r="C149" t="s">
        <v>28</v>
      </c>
      <c r="D149" t="s">
        <v>29</v>
      </c>
      <c r="E149">
        <v>40002</v>
      </c>
      <c r="F149">
        <v>58836</v>
      </c>
      <c r="G149">
        <v>55002</v>
      </c>
      <c r="H149">
        <v>15000</v>
      </c>
      <c r="I149">
        <v>79203</v>
      </c>
      <c r="J149" t="str">
        <f>HYPERLINK("https://driffle.com/es/tekken-8-global-pc-steam-account-p9997873","Abrir compra")</f>
        <v>Abrir compra</v>
      </c>
      <c r="K149" t="str">
        <f>HYPERLINK("https://store.steampowered.com/app/1778820/TEKKEN_8/?curator_clanid=4777282","Abrir Steam")</f>
        <v>Abrir Steam</v>
      </c>
      <c r="L149" t="s">
        <v>30</v>
      </c>
      <c r="M149" t="s">
        <v>70</v>
      </c>
      <c r="N149" t="s">
        <v>32</v>
      </c>
      <c r="O149" t="s">
        <v>1201</v>
      </c>
      <c r="P149" t="s">
        <v>1202</v>
      </c>
      <c r="Q149" t="s">
        <v>32</v>
      </c>
      <c r="R149" t="s">
        <v>1203</v>
      </c>
      <c r="S149" t="s">
        <v>36</v>
      </c>
      <c r="T149" t="s">
        <v>36</v>
      </c>
      <c r="U149" t="s">
        <v>1204</v>
      </c>
      <c r="V149" t="s">
        <v>36</v>
      </c>
      <c r="W149" t="s">
        <v>1205</v>
      </c>
      <c r="X149" t="s">
        <v>36</v>
      </c>
      <c r="Y149" t="s">
        <v>1206</v>
      </c>
      <c r="Z149" t="s">
        <v>36</v>
      </c>
    </row>
    <row r="150">
      <c r="A150" t="s">
        <v>1207</v>
      </c>
      <c r="B150" t="s">
        <v>52</v>
      </c>
      <c r="C150" t="s">
        <v>32</v>
      </c>
      <c r="D150" t="s">
        <v>41</v>
      </c>
      <c r="E150">
        <v>12608</v>
      </c>
      <c r="F150">
        <v>44122</v>
      </c>
      <c r="G150">
        <v>31207</v>
      </c>
      <c r="H150">
        <v>18599</v>
      </c>
      <c r="I150">
        <v>44938</v>
      </c>
      <c r="J150" t="str">
        <f>HYPERLINK("https://driffle.com/es/the-elder-scrolls-v-skyrim-special-edition-latam-pc-steam-digital-key-p9981028","Abrir compra")</f>
        <v>Abrir compra</v>
      </c>
      <c r="K150" t="str">
        <f>HYPERLINK("https://store.steampowered.com/app/489830/The_Elder_Scrolls_V_Skyrim_Special_Edition/","Abrir Steam")</f>
        <v>Abrir Steam</v>
      </c>
      <c r="L150" t="s">
        <v>30</v>
      </c>
      <c r="M150" t="s">
        <v>31</v>
      </c>
      <c r="N150" t="s">
        <v>32</v>
      </c>
      <c r="O150" t="s">
        <v>1208</v>
      </c>
      <c r="P150" t="s">
        <v>1209</v>
      </c>
      <c r="Q150" t="s">
        <v>32</v>
      </c>
      <c r="R150" t="s">
        <v>1210</v>
      </c>
      <c r="S150" t="s">
        <v>36</v>
      </c>
      <c r="T150" t="s">
        <v>1211</v>
      </c>
      <c r="U150" t="s">
        <v>1212</v>
      </c>
      <c r="V150" t="s">
        <v>1213</v>
      </c>
      <c r="W150" t="s">
        <v>1214</v>
      </c>
      <c r="X150" t="s">
        <v>1215</v>
      </c>
      <c r="Y150" t="s">
        <v>1216</v>
      </c>
      <c r="Z150" t="s">
        <v>1217</v>
      </c>
    </row>
    <row r="151">
      <c r="A151" t="s">
        <v>1218</v>
      </c>
      <c r="B151" t="s">
        <v>52</v>
      </c>
      <c r="C151" t="s">
        <v>32</v>
      </c>
      <c r="D151" t="s">
        <v>41</v>
      </c>
      <c r="E151">
        <v>17990</v>
      </c>
      <c r="F151">
        <v>91942</v>
      </c>
      <c r="G151">
        <v>44990</v>
      </c>
      <c r="H151">
        <v>27000</v>
      </c>
      <c r="I151">
        <v>64786</v>
      </c>
      <c r="J151" t="str">
        <f>HYPERLINK("https://www.eneba.com/latam/steam-uncharted-legacy-of-thieves-collection-pc-steam-key-latam","Abrir compra")</f>
        <v>Abrir compra</v>
      </c>
      <c r="K151" t="str">
        <f>HYPERLINK("https://store.steampowered.com/app/1659420/UNCHARTED_Coleccin_Legado_de_los_Ladrones/?curator_clanid=4777282","Abrir Steam")</f>
        <v>Abrir Steam</v>
      </c>
      <c r="L151" t="s">
        <v>42</v>
      </c>
      <c r="M151" t="s">
        <v>31</v>
      </c>
      <c r="N151" t="s">
        <v>32</v>
      </c>
      <c r="O151" t="s">
        <v>1219</v>
      </c>
      <c r="P151" t="s">
        <v>1220</v>
      </c>
      <c r="Q151" t="s">
        <v>32</v>
      </c>
      <c r="R151" t="s">
        <v>1221</v>
      </c>
      <c r="S151" t="s">
        <v>36</v>
      </c>
      <c r="T151" t="s">
        <v>1222</v>
      </c>
      <c r="U151" t="s">
        <v>1223</v>
      </c>
      <c r="V151" t="s">
        <v>36</v>
      </c>
      <c r="W151" t="s">
        <v>1224</v>
      </c>
      <c r="X151" t="s">
        <v>1225</v>
      </c>
      <c r="Y151" t="s">
        <v>1226</v>
      </c>
      <c r="Z151" t="s">
        <v>1227</v>
      </c>
    </row>
    <row r="152">
      <c r="A152" t="s">
        <v>1228</v>
      </c>
      <c r="B152" t="s">
        <v>52</v>
      </c>
      <c r="C152" t="s">
        <v>32</v>
      </c>
      <c r="D152" t="s">
        <v>41</v>
      </c>
      <c r="E152">
        <v>37679</v>
      </c>
      <c r="F152">
        <v>110334</v>
      </c>
      <c r="G152">
        <v>64679</v>
      </c>
      <c r="H152">
        <v>27000</v>
      </c>
      <c r="I152">
        <v>93138</v>
      </c>
      <c r="J152" t="str">
        <f>HYPERLINK("https://www.eneba.com/latam/steam-until-dawn-pc-steam-key-latam","Abrir compra")</f>
        <v>Abrir compra</v>
      </c>
      <c r="K152" t="str">
        <f>HYPERLINK("https://store.steampowered.com/app/2172010/Until_Dawn/?curator_clanid=4777282","Abrir Steam")</f>
        <v>Abrir Steam</v>
      </c>
      <c r="L152" t="s">
        <v>42</v>
      </c>
      <c r="M152" t="s">
        <v>31</v>
      </c>
      <c r="N152" t="s">
        <v>32</v>
      </c>
      <c r="O152" t="s">
        <v>1229</v>
      </c>
      <c r="P152" t="s">
        <v>1230</v>
      </c>
      <c r="Q152" t="s">
        <v>32</v>
      </c>
      <c r="R152" t="s">
        <v>1231</v>
      </c>
      <c r="S152" t="s">
        <v>36</v>
      </c>
      <c r="T152" t="s">
        <v>1232</v>
      </c>
      <c r="U152" t="s">
        <v>1233</v>
      </c>
      <c r="V152" t="s">
        <v>36</v>
      </c>
      <c r="W152" t="s">
        <v>1234</v>
      </c>
      <c r="X152" t="s">
        <v>1235</v>
      </c>
      <c r="Y152" t="s">
        <v>1236</v>
      </c>
      <c r="Z152" t="s">
        <v>36</v>
      </c>
    </row>
    <row r="153">
      <c r="A153" t="s">
        <v>1237</v>
      </c>
      <c r="B153" t="s">
        <v>1238</v>
      </c>
      <c r="C153" t="s">
        <v>32</v>
      </c>
      <c r="D153" t="s">
        <v>41</v>
      </c>
      <c r="E153">
        <v>188187</v>
      </c>
      <c r="F153">
        <v>239078</v>
      </c>
      <c r="G153">
        <v>203187</v>
      </c>
      <c r="H153">
        <v>15000</v>
      </c>
      <c r="I153">
        <v>292589</v>
      </c>
      <c r="J153" t="str">
        <f>HYPERLINK("https://driffle.com/es/wwe-2k25-the-bloodline-edition-global-pc-steam-digital-key-p9930284","Abrir compra")</f>
        <v>Abrir compra</v>
      </c>
      <c r="K153" t="str">
        <f>HYPERLINK("https://store.steampowered.com/app/2878960/WWE_2K25/","Abrir Steam")</f>
        <v>Abrir Steam</v>
      </c>
      <c r="L153" t="s">
        <v>30</v>
      </c>
      <c r="M153" t="s">
        <v>70</v>
      </c>
      <c r="N153" t="s">
        <v>32</v>
      </c>
      <c r="O153" t="s">
        <v>1239</v>
      </c>
      <c r="P153" t="s">
        <v>1240</v>
      </c>
      <c r="Q153" t="s">
        <v>32</v>
      </c>
      <c r="R153" t="s">
        <v>1241</v>
      </c>
      <c r="S153" t="s">
        <v>36</v>
      </c>
      <c r="T153" t="s">
        <v>36</v>
      </c>
      <c r="U153" t="s">
        <v>1242</v>
      </c>
      <c r="V153" t="s">
        <v>36</v>
      </c>
      <c r="W153" t="s">
        <v>1243</v>
      </c>
      <c r="X153" t="s">
        <v>36</v>
      </c>
      <c r="Y153" t="s">
        <v>1244</v>
      </c>
      <c r="Z153" t="s">
        <v>36</v>
      </c>
    </row>
    <row r="154">
      <c r="A154" t="s">
        <v>1237</v>
      </c>
      <c r="B154" t="s">
        <v>52</v>
      </c>
      <c r="C154" t="s">
        <v>32</v>
      </c>
      <c r="D154" t="s">
        <v>41</v>
      </c>
      <c r="E154">
        <v>24110</v>
      </c>
      <c r="F154">
        <v>110334</v>
      </c>
      <c r="G154">
        <v>51110</v>
      </c>
      <c r="H154">
        <v>27000</v>
      </c>
      <c r="I154">
        <v>73598</v>
      </c>
      <c r="J154" t="str">
        <f>HYPERLINK("https://driffle.com/es/wwe-2k25-global-pc-steam-digital-key-p9930153","Abrir compra")</f>
        <v>Abrir compra</v>
      </c>
      <c r="K154" t="str">
        <f>HYPERLINK("https://store.steampowered.com/app/2878960/WWE_2K25/","Abrir Steam")</f>
        <v>Abrir Steam</v>
      </c>
      <c r="L154" t="s">
        <v>30</v>
      </c>
      <c r="M154" t="s">
        <v>70</v>
      </c>
      <c r="N154" t="s">
        <v>32</v>
      </c>
      <c r="O154" t="s">
        <v>1245</v>
      </c>
      <c r="P154" t="s">
        <v>1246</v>
      </c>
      <c r="Q154" t="s">
        <v>32</v>
      </c>
      <c r="R154" t="s">
        <v>1247</v>
      </c>
      <c r="S154" t="s">
        <v>36</v>
      </c>
      <c r="T154" t="s">
        <v>1248</v>
      </c>
      <c r="U154" t="s">
        <v>1249</v>
      </c>
      <c r="V154" t="s">
        <v>36</v>
      </c>
      <c r="W154" t="s">
        <v>1250</v>
      </c>
      <c r="X154" t="s">
        <v>1251</v>
      </c>
      <c r="Y154" t="s">
        <v>1252</v>
      </c>
      <c r="Z154" t="s">
        <v>36</v>
      </c>
    </row>
    <row r="155">
      <c r="A155" t="s">
        <v>1253</v>
      </c>
      <c r="B155" t="s">
        <v>52</v>
      </c>
      <c r="C155" t="s">
        <v>32</v>
      </c>
      <c r="D155" t="s">
        <v>41</v>
      </c>
      <c r="E155">
        <v>62398</v>
      </c>
      <c r="F155">
        <v>128726</v>
      </c>
      <c r="G155">
        <v>88886</v>
      </c>
      <c r="H155">
        <v>26488</v>
      </c>
      <c r="I155">
        <v>127996</v>
      </c>
      <c r="J155" t="str">
        <f>HYPERLINK("https://www.eneba.com/latam/steam-wwe-2k26-steam-key-pc-global","Abrir compra")</f>
        <v>Abrir compra</v>
      </c>
      <c r="K155" t="str">
        <f>HYPERLINK("https://store.steampowered.com/app/3717070/WWE_2K26/","Abrir Steam")</f>
        <v>Abrir Steam</v>
      </c>
      <c r="L155" t="s">
        <v>42</v>
      </c>
      <c r="M155" t="s">
        <v>70</v>
      </c>
      <c r="N155" t="s">
        <v>32</v>
      </c>
      <c r="O155" t="s">
        <v>1254</v>
      </c>
      <c r="P155" t="s">
        <v>1255</v>
      </c>
      <c r="Q155" t="s">
        <v>32</v>
      </c>
      <c r="R155" t="s">
        <v>1256</v>
      </c>
      <c r="S155" t="s">
        <v>36</v>
      </c>
      <c r="T155" t="s">
        <v>1257</v>
      </c>
      <c r="U155" t="s">
        <v>36</v>
      </c>
      <c r="V155" t="s">
        <v>36</v>
      </c>
      <c r="W155" t="s">
        <v>1258</v>
      </c>
      <c r="X155" t="s">
        <v>1259</v>
      </c>
      <c r="Y155" t="s">
        <v>36</v>
      </c>
      <c r="Z155" t="s">
        <v>36</v>
      </c>
    </row>
  </sheetData>
</worksheet>
</file>