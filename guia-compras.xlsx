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<sst xmlns="http://schemas.openxmlformats.org/spreadsheetml/2006/main" count="1143" uniqueCount="1143">
  <si>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</si>
  <si>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</si>
  <si>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</si>
  <si>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</si>
  <si>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</si>
  <si>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</si>
  <si>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</si>
  <si>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</si>
  <si>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</si>
  <si>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</si>
  <si>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</si>
  <si>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</si>
  <si>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</si>
  <si>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</si>
  <si>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</si>
  <si>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</si>
  <si>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</si>
  <si>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</si>
  <si>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</si>
  <si>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</si>
  <si>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</si>
  <si>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</si>
  <si>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</si>
  <si>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</si>
  <si>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</si>
  <si>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</si>
  <si>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</si>
  <si>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</si>
  <si>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</si>
  <si>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</si>
  <si>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</si>
  <si>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</si>
  <si>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</si>
  <si>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</si>
  <si>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2026-08-25T00:59:19.460Z</t>
  </si>
  <si>
    <t>kinguin:73989 | driffle:85695</t>
  </si>
  <si>
    <t>73989</t>
  </si>
  <si>
    <t/>
  </si>
  <si>
    <t>85695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</si>
  <si>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</si>
  <si>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</si>
  <si>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</si>
  <si>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</si>
  <si>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driffle</t>
  </si>
  <si>
    <t>global</t>
  </si>
  <si>
    <t>A Way Out (Global) (PC) - Steam Account</t>
  </si>
  <si>
    <t>2026-08-25T00:59:53.068Z</t>
  </si>
  <si>
    <t>driffle:7234</t>
  </si>
  <si>
    <t>7234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</si>
  <si>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</si>
  <si>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</si>
  <si>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</si>
  <si>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</si>
  <si>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</si>
  <si>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eneba</t>
  </si>
  <si>
    <t>ARC Raiders - Deluxe Edition Steam Código de (PC) GLOBAL</t>
  </si>
  <si>
    <t>2026-08-25T01:03:16.421Z</t>
  </si>
  <si>
    <t>driffle:55240 | loaded:56518 | eneba:55144</t>
  </si>
  <si>
    <t>55144</t>
  </si>
  <si>
    <t>55240</t>
  </si>
  <si>
    <t>56518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</si>
  <si>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</si>
  <si>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</si>
  <si>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</si>
  <si>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</si>
  <si>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</si>
  <si>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loaded</t>
  </si>
  <si>
    <t>ARC Raiders PC Key</t>
  </si>
  <si>
    <t>2026-08-25T01:01:34.288Z</t>
  </si>
  <si>
    <t>driffle:39973 | loaded:39111 | eneba:40612</t>
  </si>
  <si>
    <t>40612</t>
  </si>
  <si>
    <t>39973</t>
  </si>
  <si>
    <t>39111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</si>
  <si>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</si>
  <si>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</si>
  <si>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</si>
  <si>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</si>
  <si>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</si>
  <si>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</si>
  <si>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2026-08-25T01:04:22.628Z</t>
  </si>
  <si>
    <t>driffle:83555</t>
  </si>
  <si>
    <t>83555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</si>
  <si>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</si>
  <si>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</si>
  <si>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</si>
  <si>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</si>
  <si>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2026-08-25T01:04:58.007Z</t>
  </si>
  <si>
    <t>driffle:13766</t>
  </si>
  <si>
    <t>13766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</si>
  <si>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</si>
  <si>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</si>
  <si>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</si>
  <si>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</si>
  <si>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2026-08-25T01:09:26.716Z</t>
  </si>
  <si>
    <t>driffle:38200</t>
  </si>
  <si>
    <t>38200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</si>
  <si>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</si>
  <si>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</si>
  <si>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</si>
  <si>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</si>
  <si>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2026-08-25T01:13:26.924Z</t>
  </si>
  <si>
    <t>driffle:22645</t>
  </si>
  <si>
    <t>22645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</si>
  <si>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</si>
  <si>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</si>
  <si>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</si>
  <si>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</si>
  <si>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</si>
  <si>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2026-08-25T01:15:35.614Z</t>
  </si>
  <si>
    <t>driffle:77502</t>
  </si>
  <si>
    <t>77502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</si>
  <si>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</si>
  <si>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</si>
  <si>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</si>
  <si>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</si>
  <si>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</si>
  <si>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2026-08-25T01:16:09.018Z</t>
  </si>
  <si>
    <t>driffle:27133</t>
  </si>
  <si>
    <t>27133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</si>
  <si>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</si>
  <si>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</si>
  <si>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</si>
  <si>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</si>
  <si>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2026-08-25T01:19:11.423Z</t>
  </si>
  <si>
    <t>driffle:98774</t>
  </si>
  <si>
    <t>98774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</si>
  <si>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</si>
  <si>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</si>
  <si>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</si>
  <si>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</si>
  <si>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2026-08-25T01:20:24.166Z</t>
  </si>
  <si>
    <t>driffle:66547 | loaded:60830 | eneba:60510</t>
  </si>
  <si>
    <t>60510</t>
  </si>
  <si>
    <t>66547</t>
  </si>
  <si>
    <t>60830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</si>
  <si>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</si>
  <si>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</si>
  <si>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</si>
  <si>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</si>
  <si>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</si>
  <si>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2026-08-25T01:20:57.488Z</t>
  </si>
  <si>
    <t>driffle:39526</t>
  </si>
  <si>
    <t>39526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</si>
  <si>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</si>
  <si>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</si>
  <si>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</si>
  <si>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</si>
  <si>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2026-08-25T01:26:18.283Z</t>
  </si>
  <si>
    <t>driffle:69342 | eneba:64183</t>
  </si>
  <si>
    <t>64183</t>
  </si>
  <si>
    <t>69342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</si>
  <si>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</si>
  <si>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</si>
  <si>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</si>
  <si>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</si>
  <si>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2026-08-25T01:25:12.142Z</t>
  </si>
  <si>
    <t>driffle:51455 | loaded:48213 | eneba:50242</t>
  </si>
  <si>
    <t>50242</t>
  </si>
  <si>
    <t>51455</t>
  </si>
  <si>
    <t>48213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</si>
  <si>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</si>
  <si>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</si>
  <si>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</si>
  <si>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</si>
  <si>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</si>
  <si>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</si>
  <si>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2026-08-25T01:27:24.321Z</t>
  </si>
  <si>
    <t>driffle:95421 | eneba:97002</t>
  </si>
  <si>
    <t>97002</t>
  </si>
  <si>
    <t>95421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</si>
  <si>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</si>
  <si>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</si>
  <si>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</si>
  <si>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</si>
  <si>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</si>
  <si>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2026-08-25T01:28:26.473Z</t>
  </si>
  <si>
    <t>driffle:48437</t>
  </si>
  <si>
    <t>48437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</si>
  <si>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</si>
  <si>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</si>
  <si>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</si>
  <si>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</si>
  <si>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</si>
  <si>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2026-08-25T01:29:28.434Z</t>
  </si>
  <si>
    <t>driffle:32515</t>
  </si>
  <si>
    <t>32515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</si>
  <si>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</si>
  <si>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</si>
  <si>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</si>
  <si>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</si>
  <si>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2026-08-25T01:34:21.355Z</t>
  </si>
  <si>
    <t>driffle:51312 | loaded:51088 | eneba:50976</t>
  </si>
  <si>
    <t>50976</t>
  </si>
  <si>
    <t>51312</t>
  </si>
  <si>
    <t>51088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</si>
  <si>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</si>
  <si>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</si>
  <si>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</si>
  <si>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</si>
  <si>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</si>
  <si>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2026-08-25T01:32:31.476Z</t>
  </si>
  <si>
    <t>driffle:41778 | eneba:41298</t>
  </si>
  <si>
    <t>41298</t>
  </si>
  <si>
    <t>41778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</si>
  <si>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</si>
  <si>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</si>
  <si>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</si>
  <si>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</si>
  <si>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</si>
  <si>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</si>
  <si>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2026-08-25T01:39:41.980Z</t>
  </si>
  <si>
    <t>driffle:65158</t>
  </si>
  <si>
    <t>65158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</si>
  <si>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</si>
  <si>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</si>
  <si>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</si>
  <si>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2026-08-25T01:39:08.863Z</t>
  </si>
  <si>
    <t>loaded:45658 | driffle:61996 | eneba:62411</t>
  </si>
  <si>
    <t>62411</t>
  </si>
  <si>
    <t>61996</t>
  </si>
  <si>
    <t>45658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</si>
  <si>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</si>
  <si>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</si>
  <si>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</si>
  <si>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</si>
  <si>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(Global) (PC / Mac) - Steam Account</t>
  </si>
  <si>
    <t>2026-08-25T01:37:56.588Z</t>
  </si>
  <si>
    <t>driffle:53995</t>
  </si>
  <si>
    <t>53995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</si>
  <si>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</si>
  <si>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</si>
  <si>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</si>
  <si>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</si>
  <si>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</si>
  <si>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2026-08-25T01:41:31.420Z</t>
  </si>
  <si>
    <t>eneba:24147 | driffle:25265</t>
  </si>
  <si>
    <t>24147</t>
  </si>
  <si>
    <t>25265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</si>
  <si>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</si>
  <si>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</si>
  <si>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</si>
  <si>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</si>
  <si>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2026-08-25T01:40:20.401Z</t>
  </si>
  <si>
    <t>eneba:20426 | driffle:21256</t>
  </si>
  <si>
    <t>20426</t>
  </si>
  <si>
    <t>21256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</si>
  <si>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</si>
  <si>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</si>
  <si>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</si>
  <si>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</si>
  <si>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2026-08-25T01:40:53.744Z</t>
  </si>
  <si>
    <t>driffle:6468</t>
  </si>
  <si>
    <t>6468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</si>
  <si>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</si>
  <si>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</si>
  <si>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</si>
  <si>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</si>
  <si>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2026-08-25T01:42:33.191Z</t>
  </si>
  <si>
    <t>driffle:14325</t>
  </si>
  <si>
    <t>14325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</si>
  <si>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</si>
  <si>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</si>
  <si>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</si>
  <si>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</si>
  <si>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2026-08-25T01:43:06.986Z</t>
  </si>
  <si>
    <t>driffle:23396</t>
  </si>
  <si>
    <t>23396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</si>
  <si>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</si>
  <si>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</si>
  <si>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</si>
  <si>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</si>
  <si>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(Global) (PC) - Steam - Digital Key</t>
  </si>
  <si>
    <t>2026-08-25T01:46:46.621Z</t>
  </si>
  <si>
    <t>driffle:63656 | eneba:66291</t>
  </si>
  <si>
    <t>66291</t>
  </si>
  <si>
    <t>63656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</si>
  <si>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</si>
  <si>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</si>
  <si>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</si>
  <si>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</si>
  <si>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</si>
  <si>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2026-08-25T01:43:44.232Z</t>
  </si>
  <si>
    <t>eneba:26079 | driffle:34926</t>
  </si>
  <si>
    <t>26079</t>
  </si>
  <si>
    <t>34926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</si>
  <si>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</si>
  <si>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</si>
  <si>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</si>
  <si>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</si>
  <si>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2026-08-25T01:44:17.796Z</t>
  </si>
  <si>
    <t>driffle:22534</t>
  </si>
  <si>
    <t>22534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</si>
  <si>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</si>
  <si>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</si>
  <si>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</si>
  <si>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</si>
  <si>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</si>
  <si>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2026-08-25T01:49:04.953Z</t>
  </si>
  <si>
    <t>kinguin:73781</t>
  </si>
  <si>
    <t>73781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</si>
  <si>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</si>
  <si>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</si>
  <si>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</si>
  <si>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2026-08-25T01:49:42.653Z</t>
  </si>
  <si>
    <t>driffle:88809 | eneba:122107</t>
  </si>
  <si>
    <t>122107</t>
  </si>
  <si>
    <t>88809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</si>
  <si>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</si>
  <si>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</si>
  <si>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</si>
  <si>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</si>
  <si>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2026-08-25T01:49:47.755Z</t>
  </si>
  <si>
    <t>driffle:48788</t>
  </si>
  <si>
    <t>48788</t>
  </si>
  <si>
    <t>https://driffle.com/es/death-stranding-2-on-the-beach-global-pc-steam-account-p9986853</t>
  </si>
  <si>
    <t>Detroit: Become Human</t>
  </si>
  <si>
    <t>Detroit: Become Human Código de Steam LATAM</t>
  </si>
  <si>
    <t>2026-08-25T01:56:37.138Z</t>
  </si>
  <si>
    <t>driffle:9199 | eneba:8272</t>
  </si>
  <si>
    <t>8272</t>
  </si>
  <si>
    <t>9199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</si>
  <si>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</si>
  <si>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</si>
  <si>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</si>
  <si>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</si>
  <si>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</si>
  <si>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2026-08-25T01:56:47.042Z</t>
  </si>
  <si>
    <t>driffle:4408 | kinguin:6915</t>
  </si>
  <si>
    <t>6915</t>
  </si>
  <si>
    <t>4408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</si>
  <si>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</si>
  <si>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</si>
  <si>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</si>
  <si>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</si>
  <si>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2026-08-25T01:51:08.506Z</t>
  </si>
  <si>
    <t>driffle:38248 | kinguin:39111</t>
  </si>
  <si>
    <t>38248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</si>
  <si>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</si>
  <si>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</si>
  <si>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</si>
  <si>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</si>
  <si>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2026-08-25T01:57:20.586Z</t>
  </si>
  <si>
    <t>driffle:10588</t>
  </si>
  <si>
    <t>10588</t>
  </si>
  <si>
    <t>https://www.kinguin.net/es/category/403168/dispatch-pc-steam-account</t>
  </si>
  <si>
    <t>https://driffle.com/es/dispatch-global-pc-steam-account-p9969733</t>
  </si>
  <si>
    <t>Dying Light: The Beast</t>
  </si>
  <si>
    <t>Dying Light: The Beast PC Key</t>
  </si>
  <si>
    <t>2026-08-25T01:58:40.833Z</t>
  </si>
  <si>
    <t>driffle:62922 | loaded:62906</t>
  </si>
  <si>
    <t>62922</t>
  </si>
  <si>
    <t>62906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</si>
  <si>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</si>
  <si>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</si>
  <si>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</si>
  <si>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</si>
  <si>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</si>
  <si>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2026-08-25T01:59:13.901Z</t>
  </si>
  <si>
    <t>driffle:34815</t>
  </si>
  <si>
    <t>34815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</si>
  <si>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</si>
  <si>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</si>
  <si>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</si>
  <si>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</si>
  <si>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2026-08-25T02:02:42.635Z</t>
  </si>
  <si>
    <t>driffle:63193 | loaded:63385 | eneba:74500</t>
  </si>
  <si>
    <t>74500</t>
  </si>
  <si>
    <t>63193</t>
  </si>
  <si>
    <t>63385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</si>
  <si>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</si>
  <si>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</si>
  <si>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</si>
  <si>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</si>
  <si>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</si>
  <si>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</si>
  <si>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2026-08-25T02:06:45.865Z</t>
  </si>
  <si>
    <t>driffle:6675</t>
  </si>
  <si>
    <t>6675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</si>
  <si>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</si>
  <si>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</si>
  <si>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</si>
  <si>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</si>
  <si>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2026-08-25T02:07:23.773Z</t>
  </si>
  <si>
    <t>driffle:14629</t>
  </si>
  <si>
    <t>14629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</si>
  <si>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</si>
  <si>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</si>
  <si>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</si>
  <si>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</si>
  <si>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2026-08-25T02:07:57.181Z</t>
  </si>
  <si>
    <t>driffle:48964</t>
  </si>
  <si>
    <t>48964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</si>
  <si>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</si>
  <si>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</si>
  <si>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</si>
  <si>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</si>
  <si>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2026-08-25T02:09:31.830Z</t>
  </si>
  <si>
    <t>eneba:91205</t>
  </si>
  <si>
    <t>91205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</si>
  <si>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</si>
  <si>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</si>
  <si>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</si>
  <si>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F1 25</t>
  </si>
  <si>
    <t>2026 Season Edition - CD Key (Steam)</t>
  </si>
  <si>
    <t>titulo</t>
  </si>
  <si>
    <t>F1 25: 2026 Season Edition PC Steam CD Key</t>
  </si>
  <si>
    <t>2026-08-25T02:12:50.842Z</t>
  </si>
  <si>
    <t>kinguin:48277</t>
  </si>
  <si>
    <t>48277</t>
  </si>
  <si>
    <t>https://www.kinguin.net/es/category/549472/f1-25-2026-season-edition-pc-steam-cd-key</t>
  </si>
  <si>
    <t>Fallout 76</t>
  </si>
  <si>
    <t>Fallout 76 Steam Key (PC) LATAM</t>
  </si>
  <si>
    <t>2026-08-25T02:14:08.325Z</t>
  </si>
  <si>
    <t>eneba:12952 | driffle:15172 | loaded:14996</t>
  </si>
  <si>
    <t>12952</t>
  </si>
  <si>
    <t>15172</t>
  </si>
  <si>
    <t>14996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</si>
  <si>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</si>
  <si>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</si>
  <si>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</si>
  <si>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</si>
  <si>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</si>
  <si>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2026-08-25T02:14:41.693Z</t>
  </si>
  <si>
    <t>driffle:6739</t>
  </si>
  <si>
    <t>6739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</si>
  <si>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</si>
  <si>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</si>
  <si>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</si>
  <si>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</si>
  <si>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2026-08-25T02:16:29.312Z</t>
  </si>
  <si>
    <t>driffle:26830 | eneba:27532</t>
  </si>
  <si>
    <t>27532</t>
  </si>
  <si>
    <t>26830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</si>
  <si>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</si>
  <si>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</si>
  <si>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</si>
  <si>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</si>
  <si>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</si>
  <si>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</si>
  <si>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2026-08-25T02:18:10.140Z</t>
  </si>
  <si>
    <t>driffle:37370</t>
  </si>
  <si>
    <t>37370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</si>
  <si>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</si>
  <si>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</si>
  <si>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</si>
  <si>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2026-08-25T02:17:36.643Z</t>
  </si>
  <si>
    <t>driffle:20074</t>
  </si>
  <si>
    <t>20074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</si>
  <si>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</si>
  <si>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</si>
  <si>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</si>
  <si>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</si>
  <si>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2026-08-25T02:18:48.296Z</t>
  </si>
  <si>
    <t>driffle:36875</t>
  </si>
  <si>
    <t>36875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</si>
  <si>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</si>
  <si>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</si>
  <si>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</si>
  <si>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</si>
  <si>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2026-08-25T02:20:38.987Z</t>
  </si>
  <si>
    <t>kinguin:87212 | driffle:92897</t>
  </si>
  <si>
    <t>87212</t>
  </si>
  <si>
    <t>92897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</si>
  <si>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</si>
  <si>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</si>
  <si>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</si>
  <si>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2026-08-25T02:21:12.251Z</t>
  </si>
  <si>
    <t>driffle:131832</t>
  </si>
  <si>
    <t>131832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</si>
  <si>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</si>
  <si>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</si>
  <si>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</si>
  <si>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</si>
  <si>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</si>
  <si>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2026-08-25T02:21:56.372Z</t>
  </si>
  <si>
    <t>driffle:38631 | loaded:60830 | eneba:39302</t>
  </si>
  <si>
    <t>39302</t>
  </si>
  <si>
    <t>38631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</si>
  <si>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</si>
  <si>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</si>
  <si>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</si>
  <si>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</si>
  <si>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</si>
  <si>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</si>
  <si>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2026-08-25T02:22:05.925Z</t>
  </si>
  <si>
    <t>driffle:27165 | eneba:22294</t>
  </si>
  <si>
    <t>22294</t>
  </si>
  <si>
    <t>27165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</si>
  <si>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</si>
  <si>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</si>
  <si>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</si>
  <si>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2026-08-25T02:22:39.056Z</t>
  </si>
  <si>
    <t>driffle:29912</t>
  </si>
  <si>
    <t>29912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</si>
  <si>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</si>
  <si>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</si>
  <si>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</si>
  <si>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</si>
  <si>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2026-08-25T02:23:17.040Z</t>
  </si>
  <si>
    <t>driffle:49140</t>
  </si>
  <si>
    <t>49140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</si>
  <si>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</si>
  <si>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</si>
  <si>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</si>
  <si>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</si>
  <si>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2026-08-25T02:23:50.166Z</t>
  </si>
  <si>
    <t>driffle:40708</t>
  </si>
  <si>
    <t>40708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</si>
  <si>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</si>
  <si>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</si>
  <si>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</si>
  <si>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</si>
  <si>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2026-08-25T02:26:06.762Z</t>
  </si>
  <si>
    <t>loaded:39111 | driffle:50002</t>
  </si>
  <si>
    <t>50002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</si>
  <si>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</si>
  <si>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</si>
  <si>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</si>
  <si>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</si>
  <si>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</si>
  <si>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</si>
  <si>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</si>
  <si>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2026-08-25T02:26:46.381Z</t>
  </si>
  <si>
    <t>driffle:16241</t>
  </si>
  <si>
    <t>16241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</si>
  <si>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</si>
  <si>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</si>
  <si>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</si>
  <si>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- Premium Edition (Global) (PC) - Steam Account</t>
  </si>
  <si>
    <t>2026-08-25T02:27:53.916Z</t>
  </si>
  <si>
    <t>driffle:79914</t>
  </si>
  <si>
    <t>79914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</si>
  <si>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</si>
  <si>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</si>
  <si>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</si>
  <si>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</si>
  <si>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2026-08-25T02:29:06.196Z</t>
  </si>
  <si>
    <t>driffle:38631 | loaded:43422 | eneba:39398</t>
  </si>
  <si>
    <t>39398</t>
  </si>
  <si>
    <t>43422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</si>
  <si>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</si>
  <si>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</si>
  <si>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</si>
  <si>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</si>
  <si>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</si>
  <si>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2026-08-25T02:29:39.366Z</t>
  </si>
  <si>
    <t>driffle:30918</t>
  </si>
  <si>
    <t>30918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</si>
  <si>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</si>
  <si>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</si>
  <si>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</si>
  <si>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</si>
  <si>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2026-08-25T02:33:09.940Z</t>
  </si>
  <si>
    <t>driffle:30551</t>
  </si>
  <si>
    <t>30551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</si>
  <si>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</si>
  <si>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</si>
  <si>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</si>
  <si>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</si>
  <si>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2026-08-25T02:32:01.957Z</t>
  </si>
  <si>
    <t>driffle:35374</t>
  </si>
  <si>
    <t>35374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</si>
  <si>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</si>
  <si>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</si>
  <si>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</si>
  <si>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2026-08-25T02:32:06.991Z</t>
  </si>
  <si>
    <t>driffle:14102</t>
  </si>
  <si>
    <t>14102</t>
  </si>
  <si>
    <t>https://driffle.com/es/hitman-world-of-assassination-global-pc-steam-account-p9945630</t>
  </si>
  <si>
    <t>Hogwarts Legacy</t>
  </si>
  <si>
    <t>Hogwarts Legacy Deluxe Edition (PC) Código de Steam LATAM</t>
  </si>
  <si>
    <t>2026-08-25T02:37:07.300Z</t>
  </si>
  <si>
    <t>driffle:15651 | loaded:18509 | eneba:10492</t>
  </si>
  <si>
    <t>10492</t>
  </si>
  <si>
    <t>15651</t>
  </si>
  <si>
    <t>18509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</si>
  <si>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</si>
  <si>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</si>
  <si>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</si>
  <si>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</si>
  <si>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</si>
  <si>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2026-08-25T02:37:41.742Z</t>
  </si>
  <si>
    <t>driffle:10620</t>
  </si>
  <si>
    <t>10620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</si>
  <si>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</si>
  <si>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</si>
  <si>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</si>
  <si>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2026-08-25T02:34:25.528Z</t>
  </si>
  <si>
    <t>driffle:9055 | loaded:14038 | eneba:7634</t>
  </si>
  <si>
    <t>7634</t>
  </si>
  <si>
    <t>9055</t>
  </si>
  <si>
    <t>14038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</si>
  <si>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</si>
  <si>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</si>
  <si>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</si>
  <si>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</si>
  <si>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</si>
  <si>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2026-08-25T02:34:58.912Z</t>
  </si>
  <si>
    <t>driffle:5909</t>
  </si>
  <si>
    <t>5909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</si>
  <si>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</si>
  <si>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</si>
  <si>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</si>
  <si>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</si>
  <si>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2026-08-25T02:41:49.304Z</t>
  </si>
  <si>
    <t>kinguin:32659 | driffle:40292</t>
  </si>
  <si>
    <t>32659</t>
  </si>
  <si>
    <t>40292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</si>
  <si>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</si>
  <si>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</si>
  <si>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</si>
  <si>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2026-08-25T02:39:47.950Z</t>
  </si>
  <si>
    <t>driffle:22055 | kinguin:22757</t>
  </si>
  <si>
    <t>22757</t>
  </si>
  <si>
    <t>22055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</si>
  <si>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</si>
  <si>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</si>
  <si>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</si>
  <si>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</si>
  <si>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2026-08-25T02:42:27.162Z</t>
  </si>
  <si>
    <t>driffle:69997 | eneba:71562</t>
  </si>
  <si>
    <t>71562</t>
  </si>
  <si>
    <t>69997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</si>
  <si>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</si>
  <si>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</si>
  <si>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</si>
  <si>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</si>
  <si>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2026-08-25T02:42:36.839Z</t>
  </si>
  <si>
    <t>driffle:9023 | kinguin:9917</t>
  </si>
  <si>
    <t>9917</t>
  </si>
  <si>
    <t>9023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</si>
  <si>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</si>
  <si>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</si>
  <si>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</si>
  <si>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</si>
  <si>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2026-08-25T02:47:39.794Z</t>
  </si>
  <si>
    <t>eneba:90358 | driffle:105290</t>
  </si>
  <si>
    <t>90358</t>
  </si>
  <si>
    <t>105290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</si>
  <si>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</si>
  <si>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</si>
  <si>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</si>
  <si>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</si>
  <si>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</si>
  <si>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2026-08-25T02:45:06.123Z</t>
  </si>
  <si>
    <t>eneba:66882 | driffle:73909</t>
  </si>
  <si>
    <t>66882</t>
  </si>
  <si>
    <t>73909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</si>
  <si>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</si>
  <si>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</si>
  <si>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</si>
  <si>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</si>
  <si>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</si>
  <si>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2026-08-25T02:45:10.735Z</t>
  </si>
  <si>
    <t>kinguin:46233</t>
  </si>
  <si>
    <t>46233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</si>
  <si>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</si>
  <si>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</si>
  <si>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</si>
  <si>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</si>
  <si>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2026-08-25T02:48:13.383Z</t>
  </si>
  <si>
    <t>kinguin:148872</t>
  </si>
  <si>
    <t>148872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</si>
  <si>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</si>
  <si>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</si>
  <si>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</si>
  <si>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2026-08-25T02:51:24.571Z</t>
  </si>
  <si>
    <t>eneba:11706 | driffle:14964</t>
  </si>
  <si>
    <t>11706</t>
  </si>
  <si>
    <t>14964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</si>
  <si>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</si>
  <si>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</si>
  <si>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</si>
  <si>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</si>
  <si>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</si>
  <si>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2026-08-25T02:49:19.574Z</t>
  </si>
  <si>
    <t>driffle:9390 | eneba:6899</t>
  </si>
  <si>
    <t>6899</t>
  </si>
  <si>
    <t>9390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</si>
  <si>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</si>
  <si>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</si>
  <si>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</si>
  <si>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</si>
  <si>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</si>
  <si>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2026-08-25T02:53:13.348Z</t>
  </si>
  <si>
    <t>driffle:55272</t>
  </si>
  <si>
    <t>55272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</si>
  <si>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</si>
  <si>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</si>
  <si>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</si>
  <si>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</si>
  <si>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2026-08-25T02:52:02.604Z</t>
  </si>
  <si>
    <t>driffle:51360 | eneba:51982</t>
  </si>
  <si>
    <t>51982</t>
  </si>
  <si>
    <t>51360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</si>
  <si>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</si>
  <si>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</si>
  <si>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</si>
  <si>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</si>
  <si>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</si>
  <si>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2026-08-25T02:55:28.011Z</t>
  </si>
  <si>
    <t>eneba:37066</t>
  </si>
  <si>
    <t>37066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</si>
  <si>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</si>
  <si>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</si>
  <si>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</si>
  <si>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</si>
  <si>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</si>
  <si>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</si>
  <si>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2026-08-25T02:58:05.023Z</t>
  </si>
  <si>
    <t>driffle:35725</t>
  </si>
  <si>
    <t>35725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</si>
  <si>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</si>
  <si>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</si>
  <si>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</si>
  <si>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</si>
  <si>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</si>
  <si>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</si>
  <si>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</si>
  <si>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2026-08-25T03:01:08.298Z</t>
  </si>
  <si>
    <t>loaded:202803</t>
  </si>
  <si>
    <t>202803</t>
  </si>
  <si>
    <t>https://www.loaded.com/es_es/microsoft-flight-simulator-2024-aviator-edition-pc-steam</t>
  </si>
  <si>
    <t>Microsoft Flight Simulator 2024 - Deluxe Edition PC Key</t>
  </si>
  <si>
    <t>2026-08-25T02:59:48.692Z</t>
  </si>
  <si>
    <t>loaded:102192</t>
  </si>
  <si>
    <t>102192</t>
  </si>
  <si>
    <t>https://www.loaded.com/es_es/microsoft-flight-simulator-2024-deluxe-edition-pc-steam</t>
  </si>
  <si>
    <t>Microsoft Flight Simulator 2024 - Deluxe Edition (Global) (PC) - Steam Account</t>
  </si>
  <si>
    <t>2026-08-25T03:00:21.777Z</t>
  </si>
  <si>
    <t>driffle:143922</t>
  </si>
  <si>
    <t>143922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</si>
  <si>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</si>
  <si>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</si>
  <si>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PC Key</t>
  </si>
  <si>
    <t>2026-08-25T02:58:40.034Z</t>
  </si>
  <si>
    <t>loaded:73446</t>
  </si>
  <si>
    <t>73446</t>
  </si>
  <si>
    <t>https://www.loaded.com/es_es/microsoft-flight-simulator-2024-pc-steam</t>
  </si>
  <si>
    <t>Microsoft Flight Simulator 2024 (Global) (PC) - Steam Account</t>
  </si>
  <si>
    <t>2026-08-25T02:59:13.674Z</t>
  </si>
  <si>
    <t>driffle:66276</t>
  </si>
  <si>
    <t>66276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</si>
  <si>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</si>
  <si>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</si>
  <si>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</si>
  <si>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</si>
  <si>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2026-08-25T03:00:28.482Z</t>
  </si>
  <si>
    <t>loaded:132535</t>
  </si>
  <si>
    <t>132535</t>
  </si>
  <si>
    <t>https://www.loaded.com/es_es/microsoft-flight-simulator-2024-premium-deluxe-edition-pc-steam</t>
  </si>
  <si>
    <t>Monster Hunter Wilds</t>
  </si>
  <si>
    <t>Monster Hunter Wilds (PC) Código de Steam LATAM</t>
  </si>
  <si>
    <t>2026-08-25T03:02:14.283Z</t>
  </si>
  <si>
    <t>eneba:38376</t>
  </si>
  <si>
    <t>38376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</si>
  <si>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</si>
  <si>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</si>
  <si>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</si>
  <si>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</si>
  <si>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2026-08-25T03:02:47.660Z</t>
  </si>
  <si>
    <t>driffle:33537</t>
  </si>
  <si>
    <t>33537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</si>
  <si>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</si>
  <si>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</si>
  <si>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</si>
  <si>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</si>
  <si>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2026-08-25T03:04:26.495Z</t>
  </si>
  <si>
    <t>eneba:61948</t>
  </si>
  <si>
    <t>61948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</si>
  <si>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</si>
  <si>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</si>
  <si>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</si>
  <si>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</si>
  <si>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</si>
  <si>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2026-08-25T03:10:22.277Z</t>
  </si>
  <si>
    <t>eneba:22629 | driffle:29688</t>
  </si>
  <si>
    <t>22629</t>
  </si>
  <si>
    <t>29688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</si>
  <si>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</si>
  <si>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</si>
  <si>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</si>
  <si>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</si>
  <si>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</si>
  <si>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2026-08-25T03:07:24.080Z</t>
  </si>
  <si>
    <t>driffle:13415 | eneba:12728</t>
  </si>
  <si>
    <t>12728</t>
  </si>
  <si>
    <t>13415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</si>
  <si>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</si>
  <si>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</si>
  <si>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</si>
  <si>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</si>
  <si>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</si>
  <si>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</si>
  <si>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2026-08-25T03:13:19.927Z</t>
  </si>
  <si>
    <t>driffle:15619</t>
  </si>
  <si>
    <t>15619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</si>
  <si>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</si>
  <si>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</si>
  <si>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</si>
  <si>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</si>
  <si>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</si>
  <si>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2026-08-25T03:13:53.424Z</t>
  </si>
  <si>
    <t>driffle:10939</t>
  </si>
  <si>
    <t>10939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</si>
  <si>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</si>
  <si>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</si>
  <si>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</si>
  <si>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</si>
  <si>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2026-08-25T03:16:22.048Z</t>
  </si>
  <si>
    <t>eneba:25951 | driffle:26398</t>
  </si>
  <si>
    <t>25951</t>
  </si>
  <si>
    <t>26398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</si>
  <si>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</si>
  <si>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</si>
  <si>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</si>
  <si>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</si>
  <si>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</si>
  <si>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</si>
  <si>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2026-08-25T03:19:01.885Z</t>
  </si>
  <si>
    <t>driffle:38360 | eneba:39158 | loaded:28251</t>
  </si>
  <si>
    <t>39158</t>
  </si>
  <si>
    <t>38360</t>
  </si>
  <si>
    <t>28251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</si>
  <si>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</si>
  <si>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</si>
  <si>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</si>
  <si>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</si>
  <si>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</si>
  <si>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</si>
  <si>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</si>
  <si>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2026-08-25T03:20:42.996Z</t>
  </si>
  <si>
    <t>driffle:23188 | loaded:25217 | eneba:19132</t>
  </si>
  <si>
    <t>19132</t>
  </si>
  <si>
    <t>23188</t>
  </si>
  <si>
    <t>25217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</si>
  <si>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</si>
  <si>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</si>
  <si>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</si>
  <si>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</si>
  <si>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</si>
  <si>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</si>
  <si>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2026-08-25T03:21:16.106Z</t>
  </si>
  <si>
    <t>driffle:7570</t>
  </si>
  <si>
    <t>7570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</si>
  <si>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</si>
  <si>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</si>
  <si>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</si>
  <si>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</si>
  <si>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2026-08-25T03:27:26.037Z</t>
  </si>
  <si>
    <t>driffle:47431</t>
  </si>
  <si>
    <t>47431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</si>
  <si>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</si>
  <si>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</si>
  <si>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</si>
  <si>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</si>
  <si>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</si>
  <si>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2026-08-25T03:24:27.716Z</t>
  </si>
  <si>
    <t>driffle:31732 | loaded:28251 | eneba:29800</t>
  </si>
  <si>
    <t>29800</t>
  </si>
  <si>
    <t>31732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</si>
  <si>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</si>
  <si>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</si>
  <si>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</si>
  <si>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</si>
  <si>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</si>
  <si>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</si>
  <si>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2026-08-25T03:36:22.566Z</t>
  </si>
  <si>
    <t>eneba:76943 | driffle:81016</t>
  </si>
  <si>
    <t>76943</t>
  </si>
  <si>
    <t>81016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</si>
  <si>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</si>
  <si>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</si>
  <si>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</si>
  <si>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</si>
  <si>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</si>
  <si>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2026-08-25T03:36:32.019Z</t>
  </si>
  <si>
    <t>kinguin:87931</t>
  </si>
  <si>
    <t>87931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</si>
  <si>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</si>
  <si>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</si>
  <si>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</si>
  <si>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2026-08-25T03:33:52.959Z</t>
  </si>
  <si>
    <t>kinguin:53196</t>
  </si>
  <si>
    <t>53196</t>
  </si>
  <si>
    <t>https://www.kinguin.net/es/category/428363/pragmata-pc-steam-account</t>
  </si>
  <si>
    <t>https://driffle.com/es/pragmata-global-pc-steam-account-p9978287</t>
  </si>
  <si>
    <t>Ready Or Not</t>
  </si>
  <si>
    <t>Ready or Not (PC) Código de Steam LATAM</t>
  </si>
  <si>
    <t>2026-08-25T03:39:00.996Z</t>
  </si>
  <si>
    <t>driffle:19340 | eneba:18318</t>
  </si>
  <si>
    <t>18318</t>
  </si>
  <si>
    <t>19340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</si>
  <si>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</si>
  <si>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</si>
  <si>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</si>
  <si>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</si>
  <si>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</si>
  <si>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2026-08-25T03:39:11.590Z</t>
  </si>
  <si>
    <t>driffle:11291 | kinguin:11546</t>
  </si>
  <si>
    <t>11546</t>
  </si>
  <si>
    <t>11291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</si>
  <si>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</si>
  <si>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</si>
  <si>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</si>
  <si>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</si>
  <si>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2026-08-25T03:44:54.704Z</t>
  </si>
  <si>
    <t>eneba:12281 | driffle:23045</t>
  </si>
  <si>
    <t>12281</t>
  </si>
  <si>
    <t>23045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</si>
  <si>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</si>
  <si>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</si>
  <si>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</si>
  <si>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</si>
  <si>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2026-08-25T03:44:12.366Z</t>
  </si>
  <si>
    <t>driffle:14916 | eneba:9678</t>
  </si>
  <si>
    <t>9678</t>
  </si>
  <si>
    <t>14916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</si>
  <si>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</si>
  <si>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</si>
  <si>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</si>
  <si>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</si>
  <si>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2026-08-25T03:44:17.108Z</t>
  </si>
  <si>
    <t>kinguin:10428</t>
  </si>
  <si>
    <t>10428</t>
  </si>
  <si>
    <t>https://www.kinguin.net/es/category/199156/resident-evil-2-steam-account</t>
  </si>
  <si>
    <t>Resident Evil 3</t>
  </si>
  <si>
    <t>Resident Evil 3 Código de Steam LATAM</t>
  </si>
  <si>
    <t>2026-08-25T03:45:32.354Z</t>
  </si>
  <si>
    <t>driffle:15523 | eneba:8943</t>
  </si>
  <si>
    <t>8943</t>
  </si>
  <si>
    <t>15523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</si>
  <si>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</si>
  <si>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</si>
  <si>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</si>
  <si>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</si>
  <si>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2026-08-25T03:46:05.421Z</t>
  </si>
  <si>
    <t>driffle:5047</t>
  </si>
  <si>
    <t>5047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</si>
  <si>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</si>
  <si>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</si>
  <si>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</si>
  <si>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</si>
  <si>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2026-08-25T03:46:43.211Z</t>
  </si>
  <si>
    <t>driffle:24195 | eneba:11946</t>
  </si>
  <si>
    <t>11946</t>
  </si>
  <si>
    <t>24195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</si>
  <si>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</si>
  <si>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</si>
  <si>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</si>
  <si>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</si>
  <si>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</si>
  <si>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2026-08-25T03:47:44.231Z</t>
  </si>
  <si>
    <t>eneba:18126</t>
  </si>
  <si>
    <t>18126</t>
  </si>
  <si>
    <t>https://www.kinguin.net/es/category/325062/resident-evil-4-2023-gold-edition-latam-pc-steam-cd-key</t>
  </si>
  <si>
    <t>https://www.eneba.com/latam/steam-resident-evil-4-gold-edition-pc-steam-key-latam</t>
  </si>
  <si>
    <t>Resident Evil 7: Biohazard</t>
  </si>
  <si>
    <t>Resident Evil 7 - Biohazard (Gold Edition) Steam Key LATAM</t>
  </si>
  <si>
    <t>2026-08-25T03:50:39.767Z</t>
  </si>
  <si>
    <t>driffle:17743 | eneba:12409 | kinguin:13559</t>
  </si>
  <si>
    <t>13559</t>
  </si>
  <si>
    <t>12409</t>
  </si>
  <si>
    <t>17743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</si>
  <si>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</si>
  <si>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</si>
  <si>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</si>
  <si>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</si>
  <si>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Steam Key (PC) LATAM</t>
  </si>
  <si>
    <t>2026-08-25T03:52:45.362Z</t>
  </si>
  <si>
    <t>eneba:63704 | kinguin:69741 | driffle:70747</t>
  </si>
  <si>
    <t>69741</t>
  </si>
  <si>
    <t>63704</t>
  </si>
  <si>
    <t>70747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</si>
  <si>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</si>
  <si>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</si>
  <si>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</si>
  <si>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</si>
  <si>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</si>
  <si>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</si>
  <si>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2026-08-25T03:58:16.584Z</t>
  </si>
  <si>
    <t>driffle:22981 | eneba:11754</t>
  </si>
  <si>
    <t>11754</t>
  </si>
  <si>
    <t>22981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</si>
  <si>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</si>
  <si>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</si>
  <si>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</si>
  <si>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</si>
  <si>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</si>
  <si>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2026-08-25T04:01:14.085Z</t>
  </si>
  <si>
    <t>eneba:18509 | driffle:28219</t>
  </si>
  <si>
    <t>28219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</si>
  <si>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</si>
  <si>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</si>
  <si>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</si>
  <si>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</si>
  <si>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</si>
  <si>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</si>
  <si>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2026-08-25T04:02:23.040Z</t>
  </si>
  <si>
    <t>driffle:12089</t>
  </si>
  <si>
    <t>12089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</si>
  <si>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</si>
  <si>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</si>
  <si>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</si>
  <si>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</si>
  <si>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</si>
  <si>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</si>
  <si>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2026-08-25T04:02:56.529Z</t>
  </si>
  <si>
    <t>driffle:17823</t>
  </si>
  <si>
    <t>17823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</si>
  <si>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</si>
  <si>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</si>
  <si>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</si>
  <si>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</si>
  <si>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2026-08-25T04:06:31.842Z</t>
  </si>
  <si>
    <t>driffle:48453 | eneba:46010</t>
  </si>
  <si>
    <t>46010</t>
  </si>
  <si>
    <t>48453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</si>
  <si>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</si>
  <si>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</si>
  <si>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</si>
  <si>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</si>
  <si>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</si>
  <si>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2026-08-25T04:07:05.191Z</t>
  </si>
  <si>
    <t>driffle:34831</t>
  </si>
  <si>
    <t>34831</t>
  </si>
  <si>
    <t>https://www.kinguin.net/es/category/272532/silent-hill-2-pc-steam-account</t>
  </si>
  <si>
    <t>https://driffle.com/es/silent-hill-2-global-pc-steam-account-p9962323</t>
  </si>
  <si>
    <t>Split Fiction</t>
  </si>
  <si>
    <t>Split Fiction (Global) (PC) - Steam - Digital Key</t>
  </si>
  <si>
    <t>2026-08-25T04:16:59.701Z</t>
  </si>
  <si>
    <t>driffle:71929</t>
  </si>
  <si>
    <t>71929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</si>
  <si>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</si>
  <si>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</si>
  <si>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</si>
  <si>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</si>
  <si>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2026-08-25T04:17:33.347Z</t>
  </si>
  <si>
    <t>driffle:34128</t>
  </si>
  <si>
    <t>34128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</si>
  <si>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</si>
  <si>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</si>
  <si>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</si>
  <si>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</si>
  <si>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2026-08-25T04:18:11.038Z</t>
  </si>
  <si>
    <t>driffle:12377</t>
  </si>
  <si>
    <t>12377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</si>
  <si>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</si>
  <si>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</si>
  <si>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</si>
  <si>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</si>
  <si>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</si>
  <si>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2026-08-25T04:23:31.738Z</t>
  </si>
  <si>
    <t>driffle:70603 | loaded:82549 | eneba:69869</t>
  </si>
  <si>
    <t>69869</t>
  </si>
  <si>
    <t>70603</t>
  </si>
  <si>
    <t>82549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</si>
  <si>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</si>
  <si>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</si>
  <si>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</si>
  <si>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</si>
  <si>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</si>
  <si>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2026-08-25T04:21:18.063Z</t>
  </si>
  <si>
    <t>driffle:54011 | eneba:53963</t>
  </si>
  <si>
    <t>53963</t>
  </si>
  <si>
    <t>54011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</si>
  <si>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</si>
  <si>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</si>
  <si>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</si>
  <si>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</si>
  <si>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Street Fighter 6</t>
  </si>
  <si>
    <t>6 Years 1-2 Fighters Edition - CD Key LATAM (Steam)</t>
  </si>
  <si>
    <t>Street Fighter 6 Years 1–2 Fighter Edition (LATAM) (PC) - Steam - Digital Key</t>
  </si>
  <si>
    <t>2026-08-25T04:25:19.828Z</t>
  </si>
  <si>
    <t>driffle:50098</t>
  </si>
  <si>
    <t>50098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</si>
  <si>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</si>
  <si>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</si>
  <si>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</si>
  <si>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</si>
  <si>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2026-08-25T04:24:37.582Z</t>
  </si>
  <si>
    <t>eneba:24402</t>
  </si>
  <si>
    <t>24402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</si>
  <si>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</si>
  <si>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</si>
  <si>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</si>
  <si>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2026-08-25T04:24:42.265Z</t>
  </si>
  <si>
    <t>kinguin:24290</t>
  </si>
  <si>
    <t>24290</t>
  </si>
  <si>
    <t>https://www.kinguin.net/es/category/153297/street-fighter-6-steam-account</t>
  </si>
  <si>
    <t>TEKKEN 8</t>
  </si>
  <si>
    <t>TEKKEN 8 (PC) Código de Steam GLOBAL</t>
  </si>
  <si>
    <t>2026-08-25T04:29:01.957Z</t>
  </si>
  <si>
    <t>driffle:34256 | eneba:34224</t>
  </si>
  <si>
    <t>34224</t>
  </si>
  <si>
    <t>34256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</si>
  <si>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</si>
  <si>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</si>
  <si>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</si>
  <si>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</si>
  <si>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</si>
  <si>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</si>
  <si>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2026-08-25T04:32:05.227Z</t>
  </si>
  <si>
    <t>driffle:12409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</si>
  <si>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</si>
  <si>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</si>
  <si>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</si>
  <si>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</si>
  <si>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</si>
  <si>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</si>
  <si>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2026-08-25T04:43:08.090Z</t>
  </si>
  <si>
    <t>driffle:19372 | eneba:18397</t>
  </si>
  <si>
    <t>18397</t>
  </si>
  <si>
    <t>19372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</si>
  <si>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</si>
  <si>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</si>
  <si>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</si>
  <si>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</si>
  <si>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</si>
  <si>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</si>
  <si>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2026-08-25T04:43:45.915Z</t>
  </si>
  <si>
    <t>driffle:54777 | eneba:38695</t>
  </si>
  <si>
    <t>38695</t>
  </si>
  <si>
    <t>54777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</si>
  <si>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</si>
  <si>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</si>
  <si>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</si>
  <si>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</si>
  <si>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</si>
  <si>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2026-08-25T04:44:52.067Z</t>
  </si>
  <si>
    <t>driffle:29720 | eneba:30183</t>
  </si>
  <si>
    <t>30183</t>
  </si>
  <si>
    <t>29720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</si>
  <si>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</si>
  <si>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</si>
  <si>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</si>
  <si>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</si>
  <si>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</si>
  <si>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</si>
  <si>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2026-08-25T04:47:36.804Z</t>
  </si>
  <si>
    <t>kinguin:112445</t>
  </si>
  <si>
    <t>112445</t>
  </si>
  <si>
    <t>https://www.kinguin.net/es/category/476565/wwe-2k26-attitude-era-edition-pc-steam-cd-key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</si>
</sst>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73989</v>
      </c>
      <c r="F2">
        <v>85141</v>
      </c>
      <c r="G2">
        <v>88989</v>
      </c>
      <c r="H2">
        <v>15000</v>
      </c>
      <c r="I2">
        <v>128144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42</v>
      </c>
      <c r="C3" t="s">
        <v>28</v>
      </c>
      <c r="D3" t="s">
        <v>29</v>
      </c>
      <c r="E3">
        <v>7234</v>
      </c>
      <c r="F3">
        <v>55520</v>
      </c>
      <c r="G3">
        <v>30546</v>
      </c>
      <c r="H3">
        <v>23312</v>
      </c>
      <c r="I3">
        <v>43986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37</v>
      </c>
      <c r="U3" t="s">
        <v>48</v>
      </c>
      <c r="V3" t="s">
        <v>37</v>
      </c>
      <c r="W3" t="s">
        <v>49</v>
      </c>
      <c r="X3" t="s">
        <v>37</v>
      </c>
      <c r="Y3" t="s">
        <v>50</v>
      </c>
      <c r="Z3" t="s">
        <v>37</v>
      </c>
    </row>
    <row r="4">
      <c r="A4" t="s">
        <v>51</v>
      </c>
      <c r="B4" t="s">
        <v>52</v>
      </c>
      <c r="C4" t="s">
        <v>32</v>
      </c>
      <c r="D4" t="s">
        <v>53</v>
      </c>
      <c r="E4">
        <v>55144</v>
      </c>
      <c r="F4">
        <v>111059</v>
      </c>
      <c r="G4">
        <v>78034</v>
      </c>
      <c r="H4">
        <v>22890</v>
      </c>
      <c r="I4">
        <v>112369</v>
      </c>
      <c r="J4" t="str">
        <f>HYPERLINK("https://www.eneba.com/latam/steam-arc-raiders-deluxe-edition-steam-key-pc-global","Abrir compra")</f>
        <v>Abrir compra</v>
      </c>
      <c r="K4" t="str">
        <f>HYPERLINK("https://store.steampowered.com/app/1808500/ARC_Raiders/","Abrir Steam")</f>
        <v>Abrir Steam</v>
      </c>
      <c r="L4" t="s">
        <v>54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58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51</v>
      </c>
      <c r="B5" t="s">
        <v>65</v>
      </c>
      <c r="C5" t="s">
        <v>32</v>
      </c>
      <c r="D5" t="s">
        <v>53</v>
      </c>
      <c r="E5">
        <v>39111</v>
      </c>
      <c r="F5">
        <v>74033</v>
      </c>
      <c r="G5">
        <v>54959</v>
      </c>
      <c r="H5">
        <v>15848</v>
      </c>
      <c r="I5">
        <v>79141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66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37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77</v>
      </c>
      <c r="B6" t="s">
        <v>65</v>
      </c>
      <c r="C6" t="s">
        <v>32</v>
      </c>
      <c r="D6" t="s">
        <v>53</v>
      </c>
      <c r="E6">
        <v>83555</v>
      </c>
      <c r="F6">
        <v>83290</v>
      </c>
      <c r="G6">
        <v>98920</v>
      </c>
      <c r="H6">
        <v>15365</v>
      </c>
      <c r="I6">
        <v>142445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43</v>
      </c>
      <c r="M6" t="s">
        <v>44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37</v>
      </c>
      <c r="T6" t="s">
        <v>37</v>
      </c>
      <c r="U6" t="s">
        <v>81</v>
      </c>
      <c r="V6" t="s">
        <v>37</v>
      </c>
      <c r="W6" t="s">
        <v>82</v>
      </c>
      <c r="X6" t="s">
        <v>83</v>
      </c>
      <c r="Y6" t="s">
        <v>84</v>
      </c>
      <c r="Z6" t="s">
        <v>37</v>
      </c>
    </row>
    <row r="7">
      <c r="A7" t="s">
        <v>77</v>
      </c>
      <c r="B7" t="s">
        <v>42</v>
      </c>
      <c r="C7" t="s">
        <v>28</v>
      </c>
      <c r="D7" t="s">
        <v>29</v>
      </c>
      <c r="E7">
        <v>13766</v>
      </c>
      <c r="F7">
        <v>83290</v>
      </c>
      <c r="G7">
        <v>40766</v>
      </c>
      <c r="H7">
        <v>27000</v>
      </c>
      <c r="I7">
        <v>58703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43</v>
      </c>
      <c r="M7" t="s">
        <v>44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37</v>
      </c>
      <c r="T7" t="s">
        <v>37</v>
      </c>
      <c r="U7" t="s">
        <v>88</v>
      </c>
      <c r="V7" t="s">
        <v>37</v>
      </c>
      <c r="W7" t="s">
        <v>89</v>
      </c>
      <c r="X7" t="s">
        <v>37</v>
      </c>
      <c r="Y7" t="s">
        <v>90</v>
      </c>
      <c r="Z7" t="s">
        <v>37</v>
      </c>
    </row>
    <row r="8">
      <c r="A8" t="s">
        <v>91</v>
      </c>
      <c r="B8" t="s">
        <v>42</v>
      </c>
      <c r="C8" t="s">
        <v>28</v>
      </c>
      <c r="D8" t="s">
        <v>29</v>
      </c>
      <c r="E8">
        <v>38200</v>
      </c>
      <c r="F8">
        <v>103654</v>
      </c>
      <c r="G8">
        <v>61705</v>
      </c>
      <c r="H8">
        <v>23505</v>
      </c>
      <c r="I8">
        <v>88855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43</v>
      </c>
      <c r="M8" t="s">
        <v>44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37</v>
      </c>
      <c r="T8" t="s">
        <v>37</v>
      </c>
      <c r="U8" t="s">
        <v>95</v>
      </c>
      <c r="V8" t="s">
        <v>37</v>
      </c>
      <c r="W8" t="s">
        <v>96</v>
      </c>
      <c r="X8" t="s">
        <v>37</v>
      </c>
      <c r="Y8" t="s">
        <v>97</v>
      </c>
      <c r="Z8" t="s">
        <v>37</v>
      </c>
    </row>
    <row r="9">
      <c r="A9" t="s">
        <v>98</v>
      </c>
      <c r="B9" t="s">
        <v>42</v>
      </c>
      <c r="C9" t="s">
        <v>28</v>
      </c>
      <c r="D9" t="s">
        <v>29</v>
      </c>
      <c r="E9">
        <v>22645</v>
      </c>
      <c r="F9">
        <v>64777</v>
      </c>
      <c r="G9">
        <v>40321</v>
      </c>
      <c r="H9">
        <v>17676</v>
      </c>
      <c r="I9">
        <v>58062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43</v>
      </c>
      <c r="M9" t="s">
        <v>44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37</v>
      </c>
      <c r="U9" t="s">
        <v>102</v>
      </c>
      <c r="V9" t="s">
        <v>37</v>
      </c>
      <c r="W9" t="s">
        <v>103</v>
      </c>
      <c r="X9" t="s">
        <v>37</v>
      </c>
      <c r="Y9" t="s">
        <v>104</v>
      </c>
      <c r="Z9" t="s">
        <v>37</v>
      </c>
    </row>
    <row r="10">
      <c r="A10" t="s">
        <v>105</v>
      </c>
      <c r="B10" t="s">
        <v>65</v>
      </c>
      <c r="C10" t="s">
        <v>32</v>
      </c>
      <c r="D10" t="s">
        <v>53</v>
      </c>
      <c r="E10">
        <v>77502</v>
      </c>
      <c r="F10">
        <v>129572</v>
      </c>
      <c r="G10">
        <v>95928</v>
      </c>
      <c r="H10">
        <v>18426</v>
      </c>
      <c r="I10">
        <v>138136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43</v>
      </c>
      <c r="M10" t="s">
        <v>106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37</v>
      </c>
      <c r="T10" t="s">
        <v>37</v>
      </c>
      <c r="U10" t="s">
        <v>110</v>
      </c>
      <c r="V10" t="s">
        <v>37</v>
      </c>
      <c r="W10" t="s">
        <v>111</v>
      </c>
      <c r="X10" t="s">
        <v>112</v>
      </c>
      <c r="Y10" t="s">
        <v>113</v>
      </c>
      <c r="Z10" t="s">
        <v>114</v>
      </c>
    </row>
    <row r="11">
      <c r="A11" t="s">
        <v>105</v>
      </c>
      <c r="B11" t="s">
        <v>42</v>
      </c>
      <c r="C11" t="s">
        <v>28</v>
      </c>
      <c r="D11" t="s">
        <v>29</v>
      </c>
      <c r="E11">
        <v>27133</v>
      </c>
      <c r="F11">
        <v>129572</v>
      </c>
      <c r="G11">
        <v>54133</v>
      </c>
      <c r="H11">
        <v>27000</v>
      </c>
      <c r="I11">
        <v>77952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43</v>
      </c>
      <c r="M11" t="s">
        <v>106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37</v>
      </c>
      <c r="T11" t="s">
        <v>37</v>
      </c>
      <c r="U11" t="s">
        <v>118</v>
      </c>
      <c r="V11" t="s">
        <v>37</v>
      </c>
      <c r="W11" t="s">
        <v>119</v>
      </c>
      <c r="X11" t="s">
        <v>37</v>
      </c>
      <c r="Y11" t="s">
        <v>120</v>
      </c>
      <c r="Z11" t="s">
        <v>37</v>
      </c>
    </row>
    <row r="12">
      <c r="A12" t="s">
        <v>105</v>
      </c>
      <c r="B12" t="s">
        <v>121</v>
      </c>
      <c r="C12" t="s">
        <v>28</v>
      </c>
      <c r="D12" t="s">
        <v>29</v>
      </c>
      <c r="E12">
        <v>98774</v>
      </c>
      <c r="F12">
        <v>185111</v>
      </c>
      <c r="G12">
        <v>117703</v>
      </c>
      <c r="H12">
        <v>18929</v>
      </c>
      <c r="I12">
        <v>169492</v>
      </c>
      <c r="J12" t="str">
        <f>HYPERLINK("https://driffle.com/es/battlefield-6-phantom-edition-global-pc-steam-account-p9952026","Abrir compra")</f>
        <v>Abrir compra</v>
      </c>
      <c r="K12" t="str">
        <f>HYPERLINK("https://store.steampowered.com/app/2807960/Battlefield_6/","Abrir Steam")</f>
        <v>Abrir Steam</v>
      </c>
      <c r="L12" t="s">
        <v>43</v>
      </c>
      <c r="M12" t="s">
        <v>106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37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65</v>
      </c>
      <c r="C13" t="s">
        <v>32</v>
      </c>
      <c r="D13" t="s">
        <v>53</v>
      </c>
      <c r="E13">
        <v>60510</v>
      </c>
      <c r="F13">
        <v>111059</v>
      </c>
      <c r="G13">
        <v>80180</v>
      </c>
      <c r="H13">
        <v>19670</v>
      </c>
      <c r="I13">
        <v>115459</v>
      </c>
      <c r="J13" t="str">
        <f>HYPERLINK("https://www.eneba.com/latam/steam-black-myth-wukong-pc-steam-key-global","Abrir compra")</f>
        <v>Abrir compra</v>
      </c>
      <c r="K13" t="str">
        <f>HYPERLINK("https://store.steampowered.com/app/2358720/Black_Myth_Wukong/","Abrir Steam")</f>
        <v>Abrir Steam</v>
      </c>
      <c r="L13" t="s">
        <v>54</v>
      </c>
      <c r="M13" t="s">
        <v>44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37</v>
      </c>
      <c r="T13" t="s">
        <v>132</v>
      </c>
      <c r="U13" t="s">
        <v>133</v>
      </c>
      <c r="V13" t="s">
        <v>134</v>
      </c>
      <c r="W13" t="s">
        <v>135</v>
      </c>
      <c r="X13" t="s">
        <v>136</v>
      </c>
      <c r="Y13" t="s">
        <v>137</v>
      </c>
      <c r="Z13" t="s">
        <v>138</v>
      </c>
    </row>
    <row r="14">
      <c r="A14" t="s">
        <v>128</v>
      </c>
      <c r="B14" t="s">
        <v>42</v>
      </c>
      <c r="C14" t="s">
        <v>28</v>
      </c>
      <c r="D14" t="s">
        <v>29</v>
      </c>
      <c r="E14">
        <v>39526</v>
      </c>
      <c r="F14">
        <v>111059</v>
      </c>
      <c r="G14">
        <v>65123</v>
      </c>
      <c r="H14">
        <v>25597</v>
      </c>
      <c r="I14">
        <v>93777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43</v>
      </c>
      <c r="M14" t="s">
        <v>44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37</v>
      </c>
      <c r="T14" t="s">
        <v>37</v>
      </c>
      <c r="U14" t="s">
        <v>142</v>
      </c>
      <c r="V14" t="s">
        <v>37</v>
      </c>
      <c r="W14" t="s">
        <v>143</v>
      </c>
      <c r="X14" t="s">
        <v>37</v>
      </c>
      <c r="Y14" t="s">
        <v>144</v>
      </c>
      <c r="Z14" t="s">
        <v>37</v>
      </c>
    </row>
    <row r="15">
      <c r="A15" t="s">
        <v>145</v>
      </c>
      <c r="B15" t="s">
        <v>52</v>
      </c>
      <c r="C15" t="s">
        <v>32</v>
      </c>
      <c r="D15" t="s">
        <v>53</v>
      </c>
      <c r="E15">
        <v>64183</v>
      </c>
      <c r="F15">
        <v>185111</v>
      </c>
      <c r="G15">
        <v>91183</v>
      </c>
      <c r="H15">
        <v>27000</v>
      </c>
      <c r="I15">
        <v>131304</v>
      </c>
      <c r="J15" t="str">
        <f>HYPERLINK("https://www.eneba.com/latam/steam-borderlands-4-deluxe-edition-steam-key-pc-global","Abrir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54</v>
      </c>
      <c r="M15" t="s">
        <v>44</v>
      </c>
      <c r="N15" t="s">
        <v>32</v>
      </c>
      <c r="O15" t="s">
        <v>146</v>
      </c>
      <c r="P15" t="s">
        <v>147</v>
      </c>
      <c r="Q15" t="s">
        <v>32</v>
      </c>
      <c r="R15" t="s">
        <v>148</v>
      </c>
      <c r="S15" t="s">
        <v>37</v>
      </c>
      <c r="T15" t="s">
        <v>149</v>
      </c>
      <c r="U15" t="s">
        <v>150</v>
      </c>
      <c r="V15" t="s">
        <v>37</v>
      </c>
      <c r="W15" t="s">
        <v>151</v>
      </c>
      <c r="X15" t="s">
        <v>152</v>
      </c>
      <c r="Y15" t="s">
        <v>153</v>
      </c>
      <c r="Z15" t="s">
        <v>37</v>
      </c>
    </row>
    <row r="16">
      <c r="A16" t="s">
        <v>145</v>
      </c>
      <c r="B16" t="s">
        <v>65</v>
      </c>
      <c r="C16" t="s">
        <v>32</v>
      </c>
      <c r="D16" t="s">
        <v>53</v>
      </c>
      <c r="E16">
        <v>48213</v>
      </c>
      <c r="F16">
        <v>129572</v>
      </c>
      <c r="G16">
        <v>75213</v>
      </c>
      <c r="H16">
        <v>27000</v>
      </c>
      <c r="I16">
        <v>108307</v>
      </c>
      <c r="J16" t="str">
        <f>HYPERLINK("https://www.loaded.com/es_es/borderlands-4-pc-steam","Abrir compra")</f>
        <v>Abrir compra</v>
      </c>
      <c r="K16" t="str">
        <f>HYPERLINK("https://store.steampowered.com/app/1285190/Borderlands_4/","Abrir Steam")</f>
        <v>Abrir Steam</v>
      </c>
      <c r="L16" t="s">
        <v>66</v>
      </c>
      <c r="M16" t="s">
        <v>31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37</v>
      </c>
      <c r="T16" t="s">
        <v>157</v>
      </c>
      <c r="U16" t="s">
        <v>158</v>
      </c>
      <c r="V16" t="s">
        <v>159</v>
      </c>
      <c r="W16" t="s">
        <v>160</v>
      </c>
      <c r="X16" t="s">
        <v>161</v>
      </c>
      <c r="Y16" t="s">
        <v>162</v>
      </c>
      <c r="Z16" t="s">
        <v>163</v>
      </c>
    </row>
    <row r="17">
      <c r="A17" t="s">
        <v>145</v>
      </c>
      <c r="B17" t="s">
        <v>164</v>
      </c>
      <c r="C17" t="s">
        <v>32</v>
      </c>
      <c r="D17" t="s">
        <v>53</v>
      </c>
      <c r="E17">
        <v>95421</v>
      </c>
      <c r="F17">
        <v>240650</v>
      </c>
      <c r="G17">
        <v>122421</v>
      </c>
      <c r="H17">
        <v>27000</v>
      </c>
      <c r="I17">
        <v>176286</v>
      </c>
      <c r="J17" t="str">
        <f>HYPERLINK("https://driffle.com/es/borderlands-4-super-deluxe-edition-global-pc-steam-digital-key-p9941170","Abrir compra")</f>
        <v>Abrir compra</v>
      </c>
      <c r="K17" t="str">
        <f>HYPERLINK("https://store.steampowered.com/app/1285190/Borderlands_4/","Abrir Steam")</f>
        <v>Abrir Steam</v>
      </c>
      <c r="L17" t="s">
        <v>43</v>
      </c>
      <c r="M17" t="s">
        <v>44</v>
      </c>
      <c r="N17" t="s">
        <v>32</v>
      </c>
      <c r="O17" t="s">
        <v>165</v>
      </c>
      <c r="P17" t="s">
        <v>166</v>
      </c>
      <c r="Q17" t="s">
        <v>32</v>
      </c>
      <c r="R17" t="s">
        <v>167</v>
      </c>
      <c r="S17" t="s">
        <v>37</v>
      </c>
      <c r="T17" t="s">
        <v>168</v>
      </c>
      <c r="U17" t="s">
        <v>169</v>
      </c>
      <c r="V17" t="s">
        <v>37</v>
      </c>
      <c r="W17" t="s">
        <v>170</v>
      </c>
      <c r="X17" t="s">
        <v>171</v>
      </c>
      <c r="Y17" t="s">
        <v>172</v>
      </c>
      <c r="Z17" t="s">
        <v>37</v>
      </c>
    </row>
    <row r="18">
      <c r="A18" t="s">
        <v>173</v>
      </c>
      <c r="B18" t="s">
        <v>42</v>
      </c>
      <c r="C18" t="s">
        <v>28</v>
      </c>
      <c r="D18" t="s">
        <v>29</v>
      </c>
      <c r="E18">
        <v>48437</v>
      </c>
      <c r="F18">
        <v>129572</v>
      </c>
      <c r="G18">
        <v>75437</v>
      </c>
      <c r="H18">
        <v>27000</v>
      </c>
      <c r="I18">
        <v>108629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43</v>
      </c>
      <c r="M18" t="s">
        <v>106</v>
      </c>
      <c r="N18" t="s">
        <v>32</v>
      </c>
      <c r="O18" t="s">
        <v>174</v>
      </c>
      <c r="P18" t="s">
        <v>175</v>
      </c>
      <c r="Q18" t="s">
        <v>32</v>
      </c>
      <c r="R18" t="s">
        <v>176</v>
      </c>
      <c r="S18" t="s">
        <v>37</v>
      </c>
      <c r="T18" t="s">
        <v>37</v>
      </c>
      <c r="U18" t="s">
        <v>177</v>
      </c>
      <c r="V18" t="s">
        <v>37</v>
      </c>
      <c r="W18" t="s">
        <v>178</v>
      </c>
      <c r="X18" t="s">
        <v>37</v>
      </c>
      <c r="Y18" t="s">
        <v>179</v>
      </c>
      <c r="Z18" t="s">
        <v>37</v>
      </c>
    </row>
    <row r="19">
      <c r="A19" t="s">
        <v>180</v>
      </c>
      <c r="B19" t="s">
        <v>181</v>
      </c>
      <c r="C19" t="s">
        <v>28</v>
      </c>
      <c r="D19" t="s">
        <v>29</v>
      </c>
      <c r="E19">
        <v>32515</v>
      </c>
      <c r="F19">
        <v>111059</v>
      </c>
      <c r="G19">
        <v>59515</v>
      </c>
      <c r="H19">
        <v>27000</v>
      </c>
      <c r="I19">
        <v>85702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43</v>
      </c>
      <c r="M19" t="s">
        <v>44</v>
      </c>
      <c r="N19" t="s">
        <v>32</v>
      </c>
      <c r="O19" t="s">
        <v>182</v>
      </c>
      <c r="P19" t="s">
        <v>183</v>
      </c>
      <c r="Q19" t="s">
        <v>32</v>
      </c>
      <c r="R19" t="s">
        <v>184</v>
      </c>
      <c r="S19" t="s">
        <v>37</v>
      </c>
      <c r="T19" t="s">
        <v>37</v>
      </c>
      <c r="U19" t="s">
        <v>185</v>
      </c>
      <c r="V19" t="s">
        <v>37</v>
      </c>
      <c r="W19" t="s">
        <v>186</v>
      </c>
      <c r="X19" t="s">
        <v>37</v>
      </c>
      <c r="Y19" t="s">
        <v>187</v>
      </c>
      <c r="Z19" t="s">
        <v>37</v>
      </c>
    </row>
    <row r="20">
      <c r="A20" t="s">
        <v>188</v>
      </c>
      <c r="B20" t="s">
        <v>52</v>
      </c>
      <c r="C20" t="s">
        <v>32</v>
      </c>
      <c r="D20" t="s">
        <v>53</v>
      </c>
      <c r="E20">
        <v>50976</v>
      </c>
      <c r="F20">
        <v>77736</v>
      </c>
      <c r="G20">
        <v>65976</v>
      </c>
      <c r="H20">
        <v>15000</v>
      </c>
      <c r="I20">
        <v>95005</v>
      </c>
      <c r="J20" t="str">
        <f>HYPERLINK("https://www.eneba.com/latam/steam-clair-obscur-expedition-33-deluxe-edition-steam-key-pc-latam","Abrir compra")</f>
        <v>Abrir compra</v>
      </c>
      <c r="K20" t="str">
        <f>HYPERLINK("https://store.steampowered.com/app/1903340/Clair_Obscur_Expedition_33/","Abrir Steam")</f>
        <v>Abrir Steam</v>
      </c>
      <c r="L20" t="s">
        <v>54</v>
      </c>
      <c r="M20" t="s">
        <v>106</v>
      </c>
      <c r="N20" t="s">
        <v>32</v>
      </c>
      <c r="O20" t="s">
        <v>189</v>
      </c>
      <c r="P20" t="s">
        <v>190</v>
      </c>
      <c r="Q20" t="s">
        <v>32</v>
      </c>
      <c r="R20" t="s">
        <v>191</v>
      </c>
      <c r="S20" t="s">
        <v>37</v>
      </c>
      <c r="T20" t="s">
        <v>192</v>
      </c>
      <c r="U20" t="s">
        <v>193</v>
      </c>
      <c r="V20" t="s">
        <v>194</v>
      </c>
      <c r="W20" t="s">
        <v>195</v>
      </c>
      <c r="X20" t="s">
        <v>196</v>
      </c>
      <c r="Y20" t="s">
        <v>197</v>
      </c>
      <c r="Z20" t="s">
        <v>198</v>
      </c>
    </row>
    <row r="21">
      <c r="A21" t="s">
        <v>188</v>
      </c>
      <c r="B21" t="s">
        <v>65</v>
      </c>
      <c r="C21" t="s">
        <v>32</v>
      </c>
      <c r="D21" t="s">
        <v>53</v>
      </c>
      <c r="E21">
        <v>41298</v>
      </c>
      <c r="F21">
        <v>64777</v>
      </c>
      <c r="G21">
        <v>57179</v>
      </c>
      <c r="H21">
        <v>15881</v>
      </c>
      <c r="I21">
        <v>82338</v>
      </c>
      <c r="J21" t="str">
        <f>HYPERLINK("https://www.eneba.com/latam/steam-clair-obscur-expedition-33-steam-key-pc-latam","Abrir compra")</f>
        <v>Abrir compra</v>
      </c>
      <c r="K21" t="str">
        <f>HYPERLINK("https://store.steampowered.com/app/1903340/Clair_Obscur_Expedition_33/","Abrir Steam")</f>
        <v>Abrir Steam</v>
      </c>
      <c r="L21" t="s">
        <v>54</v>
      </c>
      <c r="M21" t="s">
        <v>106</v>
      </c>
      <c r="N21" t="s">
        <v>32</v>
      </c>
      <c r="O21" t="s">
        <v>199</v>
      </c>
      <c r="P21" t="s">
        <v>200</v>
      </c>
      <c r="Q21" t="s">
        <v>32</v>
      </c>
      <c r="R21" t="s">
        <v>201</v>
      </c>
      <c r="S21" t="s">
        <v>37</v>
      </c>
      <c r="T21" t="s">
        <v>202</v>
      </c>
      <c r="U21" t="s">
        <v>203</v>
      </c>
      <c r="V21" t="s">
        <v>37</v>
      </c>
      <c r="W21" t="s">
        <v>204</v>
      </c>
      <c r="X21" t="s">
        <v>205</v>
      </c>
      <c r="Y21" t="s">
        <v>206</v>
      </c>
      <c r="Z21" t="s">
        <v>207</v>
      </c>
    </row>
    <row r="22">
      <c r="A22" t="s">
        <v>208</v>
      </c>
      <c r="B22" t="s">
        <v>27</v>
      </c>
      <c r="C22" t="s">
        <v>28</v>
      </c>
      <c r="D22" t="s">
        <v>29</v>
      </c>
      <c r="E22">
        <v>65158</v>
      </c>
      <c r="F22">
        <v>148085</v>
      </c>
      <c r="G22">
        <v>89816</v>
      </c>
      <c r="H22">
        <v>24658</v>
      </c>
      <c r="I22">
        <v>129335</v>
      </c>
      <c r="J22" t="str">
        <f>HYPERLINK("https://driffle.com/es/crimson-desert-deluxe-edition-global-pc-steam-account-p9963797","Abrir compra")</f>
        <v>Abrir compra</v>
      </c>
      <c r="K22" t="str">
        <f>HYPERLINK("https://store.steampowered.com/app/3321460/Crimson_Desert/","Abrir Steam")</f>
        <v>Abrir Steam</v>
      </c>
      <c r="L22" t="s">
        <v>43</v>
      </c>
      <c r="M22" t="s">
        <v>106</v>
      </c>
      <c r="N22" t="s">
        <v>32</v>
      </c>
      <c r="O22" t="s">
        <v>209</v>
      </c>
      <c r="P22" t="s">
        <v>210</v>
      </c>
      <c r="Q22" t="s">
        <v>32</v>
      </c>
      <c r="R22" t="s">
        <v>211</v>
      </c>
      <c r="S22" t="s">
        <v>37</v>
      </c>
      <c r="T22" t="s">
        <v>37</v>
      </c>
      <c r="U22" t="s">
        <v>212</v>
      </c>
      <c r="V22" t="s">
        <v>37</v>
      </c>
      <c r="W22" t="s">
        <v>213</v>
      </c>
      <c r="X22" t="s">
        <v>37</v>
      </c>
      <c r="Y22" t="s">
        <v>214</v>
      </c>
      <c r="Z22" t="s">
        <v>37</v>
      </c>
    </row>
    <row r="23">
      <c r="A23" t="s">
        <v>208</v>
      </c>
      <c r="B23" t="s">
        <v>52</v>
      </c>
      <c r="C23" t="s">
        <v>32</v>
      </c>
      <c r="D23" t="s">
        <v>53</v>
      </c>
      <c r="E23">
        <v>45658</v>
      </c>
      <c r="F23">
        <v>148085</v>
      </c>
      <c r="G23">
        <v>72658</v>
      </c>
      <c r="H23">
        <v>27000</v>
      </c>
      <c r="I23">
        <v>104628</v>
      </c>
      <c r="J23" t="str">
        <f>HYPERLINK("https://www.loaded.com/es_es/crimson-desert-deluxe-edition-pc-steam-latam","Abrir compra")</f>
        <v>Abrir compra</v>
      </c>
      <c r="K23" t="str">
        <f>HYPERLINK("https://store.steampowered.com/app/3321460/Crimson_Desert/","Abrir Steam")</f>
        <v>Abrir Steam</v>
      </c>
      <c r="L23" t="s">
        <v>66</v>
      </c>
      <c r="M23" t="s">
        <v>106</v>
      </c>
      <c r="N23" t="s">
        <v>32</v>
      </c>
      <c r="O23" t="s">
        <v>215</v>
      </c>
      <c r="P23" t="s">
        <v>216</v>
      </c>
      <c r="Q23" t="s">
        <v>32</v>
      </c>
      <c r="R23" t="s">
        <v>217</v>
      </c>
      <c r="S23" t="s">
        <v>37</v>
      </c>
      <c r="T23" t="s">
        <v>218</v>
      </c>
      <c r="U23" t="s">
        <v>219</v>
      </c>
      <c r="V23" t="s">
        <v>220</v>
      </c>
      <c r="W23" t="s">
        <v>221</v>
      </c>
      <c r="X23" t="s">
        <v>222</v>
      </c>
      <c r="Y23" t="s">
        <v>223</v>
      </c>
      <c r="Z23" t="s">
        <v>224</v>
      </c>
    </row>
    <row r="24">
      <c r="A24" t="s">
        <v>208</v>
      </c>
      <c r="B24" t="s">
        <v>42</v>
      </c>
      <c r="C24" t="s">
        <v>28</v>
      </c>
      <c r="D24" t="s">
        <v>29</v>
      </c>
      <c r="E24">
        <v>53995</v>
      </c>
      <c r="F24">
        <v>129572</v>
      </c>
      <c r="G24">
        <v>78131</v>
      </c>
      <c r="H24">
        <v>24136</v>
      </c>
      <c r="I24">
        <v>112509</v>
      </c>
      <c r="J24" t="str">
        <f>HYPERLINK("https://driffle.com/es/crimson-desert-global-pc-steam-account-p9963796","Abrir compra")</f>
        <v>Abrir compra</v>
      </c>
      <c r="K24" t="str">
        <f>HYPERLINK("https://store.steampowered.com/app/3321460/Crimson_Desert/","Abrir Steam")</f>
        <v>Abrir Steam</v>
      </c>
      <c r="L24" t="s">
        <v>43</v>
      </c>
      <c r="M24" t="s">
        <v>106</v>
      </c>
      <c r="N24" t="s">
        <v>32</v>
      </c>
      <c r="O24" t="s">
        <v>225</v>
      </c>
      <c r="P24" t="s">
        <v>226</v>
      </c>
      <c r="Q24" t="s">
        <v>32</v>
      </c>
      <c r="R24" t="s">
        <v>227</v>
      </c>
      <c r="S24" t="s">
        <v>37</v>
      </c>
      <c r="T24" t="s">
        <v>37</v>
      </c>
      <c r="U24" t="s">
        <v>228</v>
      </c>
      <c r="V24" t="s">
        <v>37</v>
      </c>
      <c r="W24" t="s">
        <v>229</v>
      </c>
      <c r="X24" t="s">
        <v>37</v>
      </c>
      <c r="Y24" t="s">
        <v>230</v>
      </c>
      <c r="Z24" t="s">
        <v>37</v>
      </c>
    </row>
    <row r="25">
      <c r="A25" t="s">
        <v>231</v>
      </c>
      <c r="B25" t="s">
        <v>232</v>
      </c>
      <c r="C25" t="s">
        <v>32</v>
      </c>
      <c r="D25" t="s">
        <v>53</v>
      </c>
      <c r="E25">
        <v>24147</v>
      </c>
      <c r="F25">
        <v>49967</v>
      </c>
      <c r="G25">
        <v>39147</v>
      </c>
      <c r="H25">
        <v>15000</v>
      </c>
      <c r="I25">
        <v>56372</v>
      </c>
      <c r="J25" t="str">
        <f>HYPERLINK("https://www.eneba.com/latam/steam-cuphead-the-delicious-last-course-bundle-steam-key-pc-global","Abrir compra")</f>
        <v>Abrir compra</v>
      </c>
      <c r="K25" t="str">
        <f>HYPERLINK("https://store.steampowered.com/app/268910/Cuphead/?curator_clanid=4777282","Abrir Steam")</f>
        <v>Abrir Steam</v>
      </c>
      <c r="L25" t="s">
        <v>54</v>
      </c>
      <c r="M25" t="s">
        <v>44</v>
      </c>
      <c r="N25" t="s">
        <v>32</v>
      </c>
      <c r="O25" t="s">
        <v>233</v>
      </c>
      <c r="P25" t="s">
        <v>234</v>
      </c>
      <c r="Q25" t="s">
        <v>32</v>
      </c>
      <c r="R25" t="s">
        <v>235</v>
      </c>
      <c r="S25" t="s">
        <v>37</v>
      </c>
      <c r="T25" t="s">
        <v>236</v>
      </c>
      <c r="U25" t="s">
        <v>237</v>
      </c>
      <c r="V25" t="s">
        <v>37</v>
      </c>
      <c r="W25" t="s">
        <v>238</v>
      </c>
      <c r="X25" t="s">
        <v>239</v>
      </c>
      <c r="Y25" t="s">
        <v>240</v>
      </c>
      <c r="Z25" t="s">
        <v>37</v>
      </c>
    </row>
    <row r="26">
      <c r="A26" t="s">
        <v>231</v>
      </c>
      <c r="B26" t="s">
        <v>65</v>
      </c>
      <c r="C26" t="s">
        <v>32</v>
      </c>
      <c r="D26" t="s">
        <v>53</v>
      </c>
      <c r="E26">
        <v>20426</v>
      </c>
      <c r="F26">
        <v>37007</v>
      </c>
      <c r="G26">
        <v>38753</v>
      </c>
      <c r="H26">
        <v>18327</v>
      </c>
      <c r="I26">
        <v>55804</v>
      </c>
      <c r="J26" t="str">
        <f>HYPERLINK("https://www.eneba.com/latam/steam-cuphead-steam-key-global","Abrir compra")</f>
        <v>Abrir compra</v>
      </c>
      <c r="K26" t="str">
        <f>HYPERLINK("https://store.steampowered.com/app/268910/Cuphead/?curator_clanid=4777282","Abrir Steam")</f>
        <v>Abrir Steam</v>
      </c>
      <c r="L26" t="s">
        <v>54</v>
      </c>
      <c r="M26" t="s">
        <v>44</v>
      </c>
      <c r="N26" t="s">
        <v>32</v>
      </c>
      <c r="O26" t="s">
        <v>241</v>
      </c>
      <c r="P26" t="s">
        <v>242</v>
      </c>
      <c r="Q26" t="s">
        <v>32</v>
      </c>
      <c r="R26" t="s">
        <v>243</v>
      </c>
      <c r="S26" t="s">
        <v>37</v>
      </c>
      <c r="T26" t="s">
        <v>244</v>
      </c>
      <c r="U26" t="s">
        <v>245</v>
      </c>
      <c r="V26" t="s">
        <v>37</v>
      </c>
      <c r="W26" t="s">
        <v>246</v>
      </c>
      <c r="X26" t="s">
        <v>247</v>
      </c>
      <c r="Y26" t="s">
        <v>248</v>
      </c>
      <c r="Z26" t="s">
        <v>37</v>
      </c>
    </row>
    <row r="27">
      <c r="A27" t="s">
        <v>231</v>
      </c>
      <c r="B27" t="s">
        <v>42</v>
      </c>
      <c r="C27" t="s">
        <v>28</v>
      </c>
      <c r="D27" t="s">
        <v>29</v>
      </c>
      <c r="E27">
        <v>6468</v>
      </c>
      <c r="F27">
        <v>37007</v>
      </c>
      <c r="G27">
        <v>23020</v>
      </c>
      <c r="H27">
        <v>16552</v>
      </c>
      <c r="I27">
        <v>33149</v>
      </c>
      <c r="J27" t="str">
        <f>HYPERLINK("https://driffle.com/es/cuphead-global-pc-mac-steam-account-p9943424","Abrir compra")</f>
        <v>Abrir compra</v>
      </c>
      <c r="K27" t="str">
        <f>HYPERLINK("https://store.steampowered.com/app/268910/Cuphead/?curator_clanid=4777282","Abrir Steam")</f>
        <v>Abrir Steam</v>
      </c>
      <c r="L27" t="s">
        <v>43</v>
      </c>
      <c r="M27" t="s">
        <v>106</v>
      </c>
      <c r="N27" t="s">
        <v>32</v>
      </c>
      <c r="O27" t="s">
        <v>249</v>
      </c>
      <c r="P27" t="s">
        <v>250</v>
      </c>
      <c r="Q27" t="s">
        <v>32</v>
      </c>
      <c r="R27" t="s">
        <v>251</v>
      </c>
      <c r="S27" t="s">
        <v>37</v>
      </c>
      <c r="T27" t="s">
        <v>37</v>
      </c>
      <c r="U27" t="s">
        <v>252</v>
      </c>
      <c r="V27" t="s">
        <v>37</v>
      </c>
      <c r="W27" t="s">
        <v>253</v>
      </c>
      <c r="X27" t="s">
        <v>37</v>
      </c>
      <c r="Y27" t="s">
        <v>254</v>
      </c>
      <c r="Z27" t="s">
        <v>37</v>
      </c>
    </row>
    <row r="28">
      <c r="A28" t="s">
        <v>255</v>
      </c>
      <c r="B28" t="s">
        <v>42</v>
      </c>
      <c r="C28" t="s">
        <v>28</v>
      </c>
      <c r="D28" t="s">
        <v>29</v>
      </c>
      <c r="E28">
        <v>14325</v>
      </c>
      <c r="F28">
        <v>83290</v>
      </c>
      <c r="G28">
        <v>41325</v>
      </c>
      <c r="H28">
        <v>27000</v>
      </c>
      <c r="I28">
        <v>59508</v>
      </c>
      <c r="J28" t="str">
        <f>HYPERLINK("https://driffle.com/es/cyberpunk-2077-global-pc-steam-account-p9943437","Abrir compra")</f>
        <v>Abrir compra</v>
      </c>
      <c r="K28" t="str">
        <f>HYPERLINK("https://store.steampowered.com/app/1091500/Cyberpunk_2077/","Abrir Steam")</f>
        <v>Abrir Steam</v>
      </c>
      <c r="L28" t="s">
        <v>43</v>
      </c>
      <c r="M28" t="s">
        <v>44</v>
      </c>
      <c r="N28" t="s">
        <v>32</v>
      </c>
      <c r="O28" t="s">
        <v>256</v>
      </c>
      <c r="P28" t="s">
        <v>257</v>
      </c>
      <c r="Q28" t="s">
        <v>32</v>
      </c>
      <c r="R28" t="s">
        <v>258</v>
      </c>
      <c r="S28" t="s">
        <v>37</v>
      </c>
      <c r="T28" t="s">
        <v>37</v>
      </c>
      <c r="U28" t="s">
        <v>259</v>
      </c>
      <c r="V28" t="s">
        <v>37</v>
      </c>
      <c r="W28" t="s">
        <v>260</v>
      </c>
      <c r="X28" t="s">
        <v>37</v>
      </c>
      <c r="Y28" t="s">
        <v>261</v>
      </c>
      <c r="Z28" t="s">
        <v>37</v>
      </c>
    </row>
    <row r="29">
      <c r="A29" t="s">
        <v>255</v>
      </c>
      <c r="B29" t="s">
        <v>262</v>
      </c>
      <c r="C29" t="s">
        <v>28</v>
      </c>
      <c r="D29" t="s">
        <v>29</v>
      </c>
      <c r="E29">
        <v>23396</v>
      </c>
      <c r="F29">
        <v>124926</v>
      </c>
      <c r="G29">
        <v>50396</v>
      </c>
      <c r="H29">
        <v>27000</v>
      </c>
      <c r="I29">
        <v>72570</v>
      </c>
      <c r="J29" t="str">
        <f>HYPERLINK("https://driffle.com/es/cyberpunk-2077-ultimate-edition-global-pc-steam-account-p9941467","Abrir compra")</f>
        <v>Abrir compra</v>
      </c>
      <c r="K29" t="str">
        <f>HYPERLINK("https://store.steampowered.com/app/1091500/Cyberpunk_2077/","Abrir Steam")</f>
        <v>Abrir Steam</v>
      </c>
      <c r="L29" t="s">
        <v>43</v>
      </c>
      <c r="M29" t="s">
        <v>44</v>
      </c>
      <c r="N29" t="s">
        <v>32</v>
      </c>
      <c r="O29" t="s">
        <v>263</v>
      </c>
      <c r="P29" t="s">
        <v>264</v>
      </c>
      <c r="Q29" t="s">
        <v>32</v>
      </c>
      <c r="R29" t="s">
        <v>265</v>
      </c>
      <c r="S29" t="s">
        <v>37</v>
      </c>
      <c r="T29" t="s">
        <v>37</v>
      </c>
      <c r="U29" t="s">
        <v>266</v>
      </c>
      <c r="V29" t="s">
        <v>37</v>
      </c>
      <c r="W29" t="s">
        <v>267</v>
      </c>
      <c r="X29" t="s">
        <v>37</v>
      </c>
      <c r="Y29" t="s">
        <v>268</v>
      </c>
      <c r="Z29" t="s">
        <v>37</v>
      </c>
    </row>
    <row r="30">
      <c r="A30" t="s">
        <v>269</v>
      </c>
      <c r="B30" t="s">
        <v>270</v>
      </c>
      <c r="C30" t="s">
        <v>32</v>
      </c>
      <c r="D30" t="s">
        <v>53</v>
      </c>
      <c r="E30">
        <v>63656</v>
      </c>
      <c r="F30">
        <v>111059</v>
      </c>
      <c r="G30">
        <v>81439</v>
      </c>
      <c r="H30">
        <v>17783</v>
      </c>
      <c r="I30">
        <v>117272</v>
      </c>
      <c r="J30" t="str">
        <f>HYPERLINK("https://driffle.com/es/dayz-deluxe-edition-pc-steam-digital-code-p9909108","Abrir compra")</f>
        <v>Abrir compra</v>
      </c>
      <c r="K30" t="str">
        <f>HYPERLINK("https://store.steampowered.com/app/221100/DayZ/","Abrir Steam")</f>
        <v>Abrir Steam</v>
      </c>
      <c r="L30" t="s">
        <v>43</v>
      </c>
      <c r="M30" t="s">
        <v>44</v>
      </c>
      <c r="N30" t="s">
        <v>32</v>
      </c>
      <c r="O30" t="s">
        <v>271</v>
      </c>
      <c r="P30" t="s">
        <v>272</v>
      </c>
      <c r="Q30" t="s">
        <v>32</v>
      </c>
      <c r="R30" t="s">
        <v>273</v>
      </c>
      <c r="S30" t="s">
        <v>37</v>
      </c>
      <c r="T30" t="s">
        <v>274</v>
      </c>
      <c r="U30" t="s">
        <v>275</v>
      </c>
      <c r="V30" t="s">
        <v>37</v>
      </c>
      <c r="W30" t="s">
        <v>276</v>
      </c>
      <c r="X30" t="s">
        <v>277</v>
      </c>
      <c r="Y30" t="s">
        <v>278</v>
      </c>
      <c r="Z30" t="s">
        <v>279</v>
      </c>
    </row>
    <row r="31">
      <c r="A31" t="s">
        <v>269</v>
      </c>
      <c r="B31" t="s">
        <v>65</v>
      </c>
      <c r="C31" t="s">
        <v>32</v>
      </c>
      <c r="D31" t="s">
        <v>53</v>
      </c>
      <c r="E31">
        <v>26079</v>
      </c>
      <c r="F31">
        <v>92546</v>
      </c>
      <c r="G31">
        <v>57534</v>
      </c>
      <c r="H31">
        <v>31455</v>
      </c>
      <c r="I31">
        <v>82849</v>
      </c>
      <c r="J31" t="str">
        <f>HYPERLINK("https://www.eneba.com/latam/steam-dayz-pc-steam-key-latam","Abrir compra")</f>
        <v>Abrir compra</v>
      </c>
      <c r="K31" t="str">
        <f>HYPERLINK("https://store.steampowered.com/app/221100/DayZ/","Abrir Steam")</f>
        <v>Abrir Steam</v>
      </c>
      <c r="L31" t="s">
        <v>54</v>
      </c>
      <c r="M31" t="s">
        <v>106</v>
      </c>
      <c r="N31" t="s">
        <v>32</v>
      </c>
      <c r="O31" t="s">
        <v>280</v>
      </c>
      <c r="P31" t="s">
        <v>281</v>
      </c>
      <c r="Q31" t="s">
        <v>32</v>
      </c>
      <c r="R31" t="s">
        <v>282</v>
      </c>
      <c r="S31" t="s">
        <v>37</v>
      </c>
      <c r="T31" t="s">
        <v>283</v>
      </c>
      <c r="U31" t="s">
        <v>284</v>
      </c>
      <c r="V31" t="s">
        <v>37</v>
      </c>
      <c r="W31" t="s">
        <v>285</v>
      </c>
      <c r="X31" t="s">
        <v>286</v>
      </c>
      <c r="Y31" t="s">
        <v>287</v>
      </c>
      <c r="Z31" t="s">
        <v>37</v>
      </c>
    </row>
    <row r="32">
      <c r="A32" t="s">
        <v>269</v>
      </c>
      <c r="B32" t="s">
        <v>42</v>
      </c>
      <c r="C32" t="s">
        <v>28</v>
      </c>
      <c r="D32" t="s">
        <v>29</v>
      </c>
      <c r="E32">
        <v>22534</v>
      </c>
      <c r="F32">
        <v>92546</v>
      </c>
      <c r="G32">
        <v>49534</v>
      </c>
      <c r="H32">
        <v>27000</v>
      </c>
      <c r="I32">
        <v>71329</v>
      </c>
      <c r="J32" t="str">
        <f>HYPERLINK("https://driffle.com/es/dayz-global-pc-steam-account-p9941452","Abrir compra")</f>
        <v>Abrir compra</v>
      </c>
      <c r="K32" t="str">
        <f>HYPERLINK("https://store.steampowered.com/app/221100/DayZ/","Abrir Steam")</f>
        <v>Abrir Steam</v>
      </c>
      <c r="L32" t="s">
        <v>43</v>
      </c>
      <c r="M32" t="s">
        <v>44</v>
      </c>
      <c r="N32" t="s">
        <v>32</v>
      </c>
      <c r="O32" t="s">
        <v>288</v>
      </c>
      <c r="P32" t="s">
        <v>289</v>
      </c>
      <c r="Q32" t="s">
        <v>32</v>
      </c>
      <c r="R32" t="s">
        <v>290</v>
      </c>
      <c r="S32" t="s">
        <v>37</v>
      </c>
      <c r="T32" t="s">
        <v>37</v>
      </c>
      <c r="U32" t="s">
        <v>291</v>
      </c>
      <c r="V32" t="s">
        <v>37</v>
      </c>
      <c r="W32" t="s">
        <v>292</v>
      </c>
      <c r="X32" t="s">
        <v>37</v>
      </c>
      <c r="Y32" t="s">
        <v>293</v>
      </c>
      <c r="Z32" t="s">
        <v>37</v>
      </c>
    </row>
    <row r="33">
      <c r="A33" t="s">
        <v>294</v>
      </c>
      <c r="B33" t="s">
        <v>295</v>
      </c>
      <c r="C33" t="s">
        <v>28</v>
      </c>
      <c r="D33" t="s">
        <v>29</v>
      </c>
      <c r="E33">
        <v>73781</v>
      </c>
      <c r="F33">
        <v>97175</v>
      </c>
      <c r="G33">
        <v>88781</v>
      </c>
      <c r="H33">
        <v>15000</v>
      </c>
      <c r="I33">
        <v>127845</v>
      </c>
      <c r="J33" t="str">
        <f>HYPERLINK("https://www.kinguin.net/es/category/350413/dead-by-daylight-gold-edition-pc-steam-account","Abrir compra")</f>
        <v>Abrir compra</v>
      </c>
      <c r="K33" t="str">
        <f>HYPERLINK("https://store.steampowered.com/app/381210/Dead_by_Daylight/?curator_clanid=4777282","Abrir Steam")</f>
        <v>Abrir Steam</v>
      </c>
      <c r="L33" t="s">
        <v>30</v>
      </c>
      <c r="M33" t="s">
        <v>44</v>
      </c>
      <c r="N33" t="s">
        <v>32</v>
      </c>
      <c r="O33" t="s">
        <v>296</v>
      </c>
      <c r="P33" t="s">
        <v>297</v>
      </c>
      <c r="Q33" t="s">
        <v>32</v>
      </c>
      <c r="R33" t="s">
        <v>298</v>
      </c>
      <c r="S33" t="s">
        <v>299</v>
      </c>
      <c r="T33" t="s">
        <v>37</v>
      </c>
      <c r="U33" t="s">
        <v>37</v>
      </c>
      <c r="V33" t="s">
        <v>37</v>
      </c>
      <c r="W33" t="s">
        <v>300</v>
      </c>
      <c r="X33" t="s">
        <v>37</v>
      </c>
      <c r="Y33" t="s">
        <v>37</v>
      </c>
      <c r="Z33" t="s">
        <v>37</v>
      </c>
    </row>
    <row r="34">
      <c r="A34" t="s">
        <v>301</v>
      </c>
      <c r="B34" t="s">
        <v>65</v>
      </c>
      <c r="C34" t="s">
        <v>32</v>
      </c>
      <c r="D34" t="s">
        <v>53</v>
      </c>
      <c r="E34">
        <v>88809</v>
      </c>
      <c r="F34">
        <v>129572</v>
      </c>
      <c r="G34">
        <v>117404</v>
      </c>
      <c r="H34">
        <v>28595</v>
      </c>
      <c r="I34">
        <v>169062</v>
      </c>
      <c r="J34" t="str">
        <f>HYPERLINK("https://driffle.com/es/death-stranding-2-on-the-beach-latam-pc-steam-digital-key-p9985579","Abrir compra")</f>
        <v>Abrir compra</v>
      </c>
      <c r="K34" t="str">
        <f>HYPERLINK("https://store.steampowered.com/app/3280350/DEATH_STRANDING_2_ON_THE_BEACH/","Abrir Steam")</f>
        <v>Abrir Steam</v>
      </c>
      <c r="L34" t="s">
        <v>43</v>
      </c>
      <c r="M34" t="s">
        <v>106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37</v>
      </c>
      <c r="T34" t="s">
        <v>305</v>
      </c>
      <c r="U34" t="s">
        <v>306</v>
      </c>
      <c r="V34" t="s">
        <v>37</v>
      </c>
      <c r="W34" t="s">
        <v>307</v>
      </c>
      <c r="X34" t="s">
        <v>308</v>
      </c>
      <c r="Y34" t="s">
        <v>309</v>
      </c>
      <c r="Z34" t="s">
        <v>37</v>
      </c>
    </row>
    <row r="35">
      <c r="A35" t="s">
        <v>301</v>
      </c>
      <c r="B35" t="s">
        <v>42</v>
      </c>
      <c r="C35" t="s">
        <v>28</v>
      </c>
      <c r="D35" t="s">
        <v>29</v>
      </c>
      <c r="E35">
        <v>48788</v>
      </c>
      <c r="F35">
        <v>129572</v>
      </c>
      <c r="G35">
        <v>75788</v>
      </c>
      <c r="H35">
        <v>27000</v>
      </c>
      <c r="I35">
        <v>109135</v>
      </c>
      <c r="J35" t="str">
        <f>HYPERLINK("https://driffle.com/es/death-stranding-2-on-the-beach-global-pc-steam-account-p9986853","Abrir compra")</f>
        <v>Abrir compra</v>
      </c>
      <c r="K35" t="str">
        <f>HYPERLINK("https://store.steampowered.com/app/3280350/DEATH_STRANDING_2_ON_THE_BEACH/","Abrir Steam")</f>
        <v>Abrir Steam</v>
      </c>
      <c r="L35" t="s">
        <v>43</v>
      </c>
      <c r="M35" t="s">
        <v>106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37</v>
      </c>
      <c r="T35" t="s">
        <v>37</v>
      </c>
      <c r="U35" t="s">
        <v>313</v>
      </c>
      <c r="V35" t="s">
        <v>37</v>
      </c>
      <c r="W35" t="s">
        <v>37</v>
      </c>
      <c r="X35" t="s">
        <v>37</v>
      </c>
      <c r="Y35" t="s">
        <v>314</v>
      </c>
      <c r="Z35" t="s">
        <v>37</v>
      </c>
    </row>
    <row r="36">
      <c r="A36" t="s">
        <v>315</v>
      </c>
      <c r="B36" t="s">
        <v>65</v>
      </c>
      <c r="C36" t="s">
        <v>32</v>
      </c>
      <c r="D36" t="s">
        <v>53</v>
      </c>
      <c r="E36">
        <v>8272</v>
      </c>
      <c r="F36">
        <v>59223</v>
      </c>
      <c r="G36">
        <v>38860</v>
      </c>
      <c r="H36">
        <v>30588</v>
      </c>
      <c r="I36">
        <v>55958</v>
      </c>
      <c r="J36" t="str">
        <f>HYPERLINK("https://www.eneba.com/latam/steam-detroit-become-human-steam-key-latam","Abrir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54</v>
      </c>
      <c r="M36" t="s">
        <v>106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37</v>
      </c>
      <c r="T36" t="s">
        <v>319</v>
      </c>
      <c r="U36" t="s">
        <v>320</v>
      </c>
      <c r="V36" t="s">
        <v>37</v>
      </c>
      <c r="W36" t="s">
        <v>321</v>
      </c>
      <c r="X36" t="s">
        <v>322</v>
      </c>
      <c r="Y36" t="s">
        <v>323</v>
      </c>
      <c r="Z36" t="s">
        <v>324</v>
      </c>
    </row>
    <row r="37">
      <c r="A37" t="s">
        <v>315</v>
      </c>
      <c r="B37" t="s">
        <v>42</v>
      </c>
      <c r="C37" t="s">
        <v>28</v>
      </c>
      <c r="D37" t="s">
        <v>29</v>
      </c>
      <c r="E37">
        <v>4408</v>
      </c>
      <c r="F37">
        <v>59223</v>
      </c>
      <c r="G37">
        <v>30860</v>
      </c>
      <c r="H37">
        <v>26452</v>
      </c>
      <c r="I37">
        <v>44438</v>
      </c>
      <c r="J37" t="str">
        <f>HYPERLINK("https://driffle.com/es/detroit-become-human-global-pc-steam-account-p9943441","Abrir compra")</f>
        <v>Abrir compra</v>
      </c>
      <c r="K37" t="str">
        <f>HYPERLINK("https://store.steampowered.com/app/1222140/Detroit_Become_Human/?curator_clanid=4777282","Abrir Steam")</f>
        <v>Abrir Steam</v>
      </c>
      <c r="L37" t="s">
        <v>43</v>
      </c>
      <c r="M37" t="s">
        <v>106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37</v>
      </c>
      <c r="U37" t="s">
        <v>329</v>
      </c>
      <c r="V37" t="s">
        <v>37</v>
      </c>
      <c r="W37" t="s">
        <v>330</v>
      </c>
      <c r="X37" t="s">
        <v>37</v>
      </c>
      <c r="Y37" t="s">
        <v>331</v>
      </c>
      <c r="Z37" t="s">
        <v>37</v>
      </c>
    </row>
    <row r="38">
      <c r="A38" t="s">
        <v>332</v>
      </c>
      <c r="B38" t="s">
        <v>42</v>
      </c>
      <c r="C38" t="s">
        <v>28</v>
      </c>
      <c r="D38" t="s">
        <v>29</v>
      </c>
      <c r="E38">
        <v>38248</v>
      </c>
      <c r="F38">
        <v>92546</v>
      </c>
      <c r="G38">
        <v>57392</v>
      </c>
      <c r="H38">
        <v>19144</v>
      </c>
      <c r="I38">
        <v>82644</v>
      </c>
      <c r="J38" t="str">
        <f>HYPERLINK("https://driffle.com/es/diablo-iv-global-pc-steam-account-p9979483","Abrir compra")</f>
        <v>Abrir compra</v>
      </c>
      <c r="K38" t="str">
        <f>HYPERLINK("https://store.steampowered.com/app/2344520/Diablo_IV/","Abrir Steam")</f>
        <v>Abrir Steam</v>
      </c>
      <c r="L38" t="s">
        <v>43</v>
      </c>
      <c r="M38" t="s">
        <v>106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72</v>
      </c>
      <c r="T38" t="s">
        <v>37</v>
      </c>
      <c r="U38" t="s">
        <v>336</v>
      </c>
      <c r="V38" t="s">
        <v>37</v>
      </c>
      <c r="W38" t="s">
        <v>337</v>
      </c>
      <c r="X38" t="s">
        <v>37</v>
      </c>
      <c r="Y38" t="s">
        <v>338</v>
      </c>
      <c r="Z38" t="s">
        <v>37</v>
      </c>
    </row>
    <row r="39">
      <c r="A39" t="s">
        <v>339</v>
      </c>
      <c r="B39" t="s">
        <v>42</v>
      </c>
      <c r="C39" t="s">
        <v>28</v>
      </c>
      <c r="D39" t="s">
        <v>29</v>
      </c>
      <c r="E39">
        <v>10588</v>
      </c>
      <c r="F39">
        <v>27751</v>
      </c>
      <c r="G39">
        <v>25588</v>
      </c>
      <c r="H39">
        <v>15000</v>
      </c>
      <c r="I39">
        <v>36847</v>
      </c>
      <c r="J39" t="str">
        <f>HYPERLINK("https://driffle.com/es/dispatch-global-pc-steam-account-p9969733","Abrir compra")</f>
        <v>Abrir compra</v>
      </c>
      <c r="K39" t="str">
        <f>HYPERLINK("https://store.steampowered.com/app/2592160/Dispatch/?curator_clanid=4777282","Abrir Steam")</f>
        <v>Abrir Steam</v>
      </c>
      <c r="L39" t="s">
        <v>43</v>
      </c>
      <c r="M39" t="s">
        <v>44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37</v>
      </c>
      <c r="T39" t="s">
        <v>37</v>
      </c>
      <c r="U39" t="s">
        <v>343</v>
      </c>
      <c r="V39" t="s">
        <v>37</v>
      </c>
      <c r="W39" t="s">
        <v>344</v>
      </c>
      <c r="X39" t="s">
        <v>37</v>
      </c>
      <c r="Y39" t="s">
        <v>345</v>
      </c>
      <c r="Z39" t="s">
        <v>37</v>
      </c>
    </row>
    <row r="40">
      <c r="A40" t="s">
        <v>346</v>
      </c>
      <c r="B40" t="s">
        <v>65</v>
      </c>
      <c r="C40" t="s">
        <v>32</v>
      </c>
      <c r="D40" t="s">
        <v>53</v>
      </c>
      <c r="E40">
        <v>62906</v>
      </c>
      <c r="F40">
        <v>83290</v>
      </c>
      <c r="G40">
        <v>77906</v>
      </c>
      <c r="H40">
        <v>15000</v>
      </c>
      <c r="I40">
        <v>112185</v>
      </c>
      <c r="J40" t="str">
        <f>HYPERLINK("https://www.loaded.com/es_es/dying-light-the-beast-pc-steam","Abrir compra")</f>
        <v>Abrir compra</v>
      </c>
      <c r="K40" t="str">
        <f>HYPERLINK("https://store.steampowered.com/app/3008130/Dying_Light_The_Beast/","Abrir Steam")</f>
        <v>Abrir Steam</v>
      </c>
      <c r="L40" t="s">
        <v>66</v>
      </c>
      <c r="M40" t="s">
        <v>31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37</v>
      </c>
      <c r="T40" t="s">
        <v>37</v>
      </c>
      <c r="U40" t="s">
        <v>350</v>
      </c>
      <c r="V40" t="s">
        <v>351</v>
      </c>
      <c r="W40" t="s">
        <v>352</v>
      </c>
      <c r="X40" t="s">
        <v>353</v>
      </c>
      <c r="Y40" t="s">
        <v>354</v>
      </c>
      <c r="Z40" t="s">
        <v>355</v>
      </c>
    </row>
    <row r="41">
      <c r="A41" t="s">
        <v>346</v>
      </c>
      <c r="B41" t="s">
        <v>42</v>
      </c>
      <c r="C41" t="s">
        <v>28</v>
      </c>
      <c r="D41" t="s">
        <v>29</v>
      </c>
      <c r="E41">
        <v>34815</v>
      </c>
      <c r="F41">
        <v>83290</v>
      </c>
      <c r="G41">
        <v>52409</v>
      </c>
      <c r="H41">
        <v>17594</v>
      </c>
      <c r="I41">
        <v>75469</v>
      </c>
      <c r="J41" t="str">
        <f>HYPERLINK("https://driffle.com/es/dying-light-the-beast-global-pc-steam-account-p9961930","Abrir compra")</f>
        <v>Abrir compra</v>
      </c>
      <c r="K41" t="str">
        <f>HYPERLINK("https://store.steampowered.com/app/3008130/Dying_Light_The_Beast/","Abrir Steam")</f>
        <v>Abrir Steam</v>
      </c>
      <c r="L41" t="s">
        <v>43</v>
      </c>
      <c r="M41" t="s">
        <v>106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37</v>
      </c>
      <c r="T41" t="s">
        <v>37</v>
      </c>
      <c r="U41" t="s">
        <v>359</v>
      </c>
      <c r="V41" t="s">
        <v>37</v>
      </c>
      <c r="W41" t="s">
        <v>360</v>
      </c>
      <c r="X41" t="s">
        <v>37</v>
      </c>
      <c r="Y41" t="s">
        <v>361</v>
      </c>
      <c r="Z41" t="s">
        <v>37</v>
      </c>
    </row>
    <row r="42">
      <c r="A42" t="s">
        <v>362</v>
      </c>
      <c r="B42" t="s">
        <v>65</v>
      </c>
      <c r="C42" t="s">
        <v>32</v>
      </c>
      <c r="D42" t="s">
        <v>53</v>
      </c>
      <c r="E42">
        <v>63193</v>
      </c>
      <c r="F42">
        <v>107912</v>
      </c>
      <c r="G42">
        <v>79838</v>
      </c>
      <c r="H42">
        <v>16645</v>
      </c>
      <c r="I42">
        <v>114967</v>
      </c>
      <c r="J42" t="str">
        <f>HYPERLINK("https://driffle.com/es/dynasty-warriors-origins-global-pc-steam-digital-key-p9926207","Abrir compra")</f>
        <v>Abrir compra</v>
      </c>
      <c r="K42" t="str">
        <f>HYPERLINK("https://store.steampowered.com/app/2384580/DYNASTY_WARRIORS_ORIGINS/","Abrir Steam")</f>
        <v>Abrir Steam</v>
      </c>
      <c r="L42" t="s">
        <v>43</v>
      </c>
      <c r="M42" t="s">
        <v>44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37</v>
      </c>
      <c r="T42" t="s">
        <v>366</v>
      </c>
      <c r="U42" t="s">
        <v>367</v>
      </c>
      <c r="V42" t="s">
        <v>368</v>
      </c>
      <c r="W42" t="s">
        <v>369</v>
      </c>
      <c r="X42" t="s">
        <v>370</v>
      </c>
      <c r="Y42" t="s">
        <v>371</v>
      </c>
      <c r="Z42" t="s">
        <v>372</v>
      </c>
    </row>
    <row r="43">
      <c r="A43" t="s">
        <v>373</v>
      </c>
      <c r="B43" t="s">
        <v>42</v>
      </c>
      <c r="C43" t="s">
        <v>28</v>
      </c>
      <c r="D43" t="s">
        <v>29</v>
      </c>
      <c r="E43">
        <v>6675</v>
      </c>
      <c r="F43">
        <v>129572</v>
      </c>
      <c r="G43">
        <v>33675</v>
      </c>
      <c r="H43">
        <v>27000</v>
      </c>
      <c r="I43">
        <v>48492</v>
      </c>
      <c r="J43" t="str">
        <f>HYPERLINK("https://driffle.com/es/ea-sports-fc-26-global-pc-steam-account-p9952463","Abrir compra")</f>
        <v>Abrir compra</v>
      </c>
      <c r="K43" t="str">
        <f>HYPERLINK("https://store.steampowered.com/app/3405690/EA_SPORTS_FC_26/","Abrir Steam")</f>
        <v>Abrir Steam</v>
      </c>
      <c r="L43" t="s">
        <v>43</v>
      </c>
      <c r="M43" t="s">
        <v>106</v>
      </c>
      <c r="N43" t="s">
        <v>32</v>
      </c>
      <c r="O43" t="s">
        <v>374</v>
      </c>
      <c r="P43" t="s">
        <v>375</v>
      </c>
      <c r="Q43" t="s">
        <v>32</v>
      </c>
      <c r="R43" t="s">
        <v>376</v>
      </c>
      <c r="S43" t="s">
        <v>37</v>
      </c>
      <c r="T43" t="s">
        <v>37</v>
      </c>
      <c r="U43" t="s">
        <v>377</v>
      </c>
      <c r="V43" t="s">
        <v>37</v>
      </c>
      <c r="W43" t="s">
        <v>378</v>
      </c>
      <c r="X43" t="s">
        <v>37</v>
      </c>
      <c r="Y43" t="s">
        <v>379</v>
      </c>
      <c r="Z43" t="s">
        <v>37</v>
      </c>
    </row>
    <row r="44">
      <c r="A44" t="s">
        <v>373</v>
      </c>
      <c r="B44" t="s">
        <v>380</v>
      </c>
      <c r="C44" t="s">
        <v>28</v>
      </c>
      <c r="D44" t="s">
        <v>29</v>
      </c>
      <c r="E44">
        <v>14629</v>
      </c>
      <c r="F44">
        <v>166598</v>
      </c>
      <c r="G44">
        <v>41629</v>
      </c>
      <c r="H44">
        <v>27000</v>
      </c>
      <c r="I44">
        <v>59946</v>
      </c>
      <c r="J44" t="str">
        <f>HYPERLINK("https://driffle.com/es/ea-sports-fc-26-the-worlds-game-edition-global-pc-steam-account-p9996215","Abrir compra")</f>
        <v>Abrir compra</v>
      </c>
      <c r="K44" t="str">
        <f>HYPERLINK("https://store.steampowered.com/app/3405690/EA_SPORTS_FC_26/","Abrir Steam")</f>
        <v>Abrir Steam</v>
      </c>
      <c r="L44" t="s">
        <v>43</v>
      </c>
      <c r="M44" t="s">
        <v>106</v>
      </c>
      <c r="N44" t="s">
        <v>32</v>
      </c>
      <c r="O44" t="s">
        <v>381</v>
      </c>
      <c r="P44" t="s">
        <v>382</v>
      </c>
      <c r="Q44" t="s">
        <v>32</v>
      </c>
      <c r="R44" t="s">
        <v>383</v>
      </c>
      <c r="S44" t="s">
        <v>37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387</v>
      </c>
      <c r="B45" t="s">
        <v>42</v>
      </c>
      <c r="C45" t="s">
        <v>28</v>
      </c>
      <c r="D45" t="s">
        <v>29</v>
      </c>
      <c r="E45">
        <v>48964</v>
      </c>
      <c r="F45">
        <v>129572</v>
      </c>
      <c r="G45">
        <v>75964</v>
      </c>
      <c r="H45">
        <v>27000</v>
      </c>
      <c r="I45">
        <v>109388</v>
      </c>
      <c r="J45" t="str">
        <f>HYPERLINK("https://driffle.com/es/ea-sports-fc-27-global-pc-steam-account-p9998646","Abrir compra")</f>
        <v>Abrir compra</v>
      </c>
      <c r="K45" t="str">
        <f>HYPERLINK("https://store.steampowered.com/app/4080220/EA_SPORTS_FC_27/","Abrir Steam")</f>
        <v>Abrir Steam</v>
      </c>
      <c r="L45" t="s">
        <v>43</v>
      </c>
      <c r="M45" t="s">
        <v>106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37</v>
      </c>
      <c r="T45" t="s">
        <v>37</v>
      </c>
      <c r="U45" t="s">
        <v>391</v>
      </c>
      <c r="V45" t="s">
        <v>37</v>
      </c>
      <c r="W45" t="s">
        <v>392</v>
      </c>
      <c r="X45" t="s">
        <v>37</v>
      </c>
      <c r="Y45" t="s">
        <v>393</v>
      </c>
      <c r="Z45" t="s">
        <v>37</v>
      </c>
    </row>
    <row r="46">
      <c r="A46" t="s">
        <v>394</v>
      </c>
      <c r="B46" t="s">
        <v>65</v>
      </c>
      <c r="C46" t="s">
        <v>32</v>
      </c>
      <c r="D46" t="s">
        <v>53</v>
      </c>
      <c r="E46">
        <v>91205</v>
      </c>
      <c r="F46">
        <v>88844</v>
      </c>
      <c r="G46">
        <v>106205</v>
      </c>
      <c r="H46">
        <v>15000</v>
      </c>
      <c r="I46">
        <v>152935</v>
      </c>
      <c r="J46" t="str">
        <f>HYPERLINK("https://www.eneba.com/latam/steam-elden-ring-pc-steam-key-latam","Abrir compra")</f>
        <v>Abrir compra</v>
      </c>
      <c r="K46" t="str">
        <f>HYPERLINK("https://store.steampowered.com/app/1245620/ELDEN_RING/","Abrir Steam")</f>
        <v>Abrir Steam</v>
      </c>
      <c r="L46" t="s">
        <v>54</v>
      </c>
      <c r="M46" t="s">
        <v>106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37</v>
      </c>
      <c r="T46" t="s">
        <v>398</v>
      </c>
      <c r="U46" t="s">
        <v>37</v>
      </c>
      <c r="V46" t="s">
        <v>37</v>
      </c>
      <c r="W46" t="s">
        <v>399</v>
      </c>
      <c r="X46" t="s">
        <v>400</v>
      </c>
      <c r="Y46" t="s">
        <v>401</v>
      </c>
      <c r="Z46" t="s">
        <v>37</v>
      </c>
    </row>
    <row r="47">
      <c r="A47" t="s">
        <v>402</v>
      </c>
      <c r="B47" t="s">
        <v>403</v>
      </c>
      <c r="C47" t="s">
        <v>32</v>
      </c>
      <c r="D47" t="s">
        <v>53</v>
      </c>
      <c r="E47">
        <v>48277</v>
      </c>
      <c r="F47">
        <v>92546</v>
      </c>
      <c r="G47">
        <v>69410</v>
      </c>
      <c r="H47">
        <v>21133</v>
      </c>
      <c r="I47">
        <v>99950</v>
      </c>
      <c r="J47" t="str">
        <f>HYPERLINK("https://www.kinguin.net/es/category/549472/f1-25-2026-season-edition-pc-steam-cd-key","Abrir compra")</f>
        <v>Abrir compra</v>
      </c>
      <c r="K47" t="str">
        <f>HYPERLINK("https://store.steampowered.com/app/3059520/F1_25/","Abrir Steam")</f>
        <v>Abrir Steam</v>
      </c>
      <c r="L47" t="s">
        <v>30</v>
      </c>
      <c r="M47" t="s">
        <v>404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37</v>
      </c>
      <c r="U47" t="s">
        <v>37</v>
      </c>
      <c r="V47" t="s">
        <v>37</v>
      </c>
      <c r="W47" t="s">
        <v>409</v>
      </c>
      <c r="X47" t="s">
        <v>37</v>
      </c>
      <c r="Y47" t="s">
        <v>37</v>
      </c>
      <c r="Z47" t="s">
        <v>37</v>
      </c>
    </row>
    <row r="48">
      <c r="A48" t="s">
        <v>410</v>
      </c>
      <c r="B48" t="s">
        <v>65</v>
      </c>
      <c r="C48" t="s">
        <v>32</v>
      </c>
      <c r="D48" t="s">
        <v>53</v>
      </c>
      <c r="E48">
        <v>12952</v>
      </c>
      <c r="F48">
        <v>44413</v>
      </c>
      <c r="G48">
        <v>33310</v>
      </c>
      <c r="H48">
        <v>20358</v>
      </c>
      <c r="I48">
        <v>47966</v>
      </c>
      <c r="J48" t="str">
        <f>HYPERLINK("https://www.eneba.com/latam/steam-fallout-76-steam-key-pc-latam","Abrir compra")</f>
        <v>Abrir compra</v>
      </c>
      <c r="K48" t="str">
        <f>HYPERLINK("https://store.steampowered.com/app/1151340/Fallout_76/?curator_clanid=4777282","Abrir Steam")</f>
        <v>Abrir Steam</v>
      </c>
      <c r="L48" t="s">
        <v>54</v>
      </c>
      <c r="M48" t="s">
        <v>106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37</v>
      </c>
      <c r="T48" t="s">
        <v>414</v>
      </c>
      <c r="U48" t="s">
        <v>415</v>
      </c>
      <c r="V48" t="s">
        <v>416</v>
      </c>
      <c r="W48" t="s">
        <v>417</v>
      </c>
      <c r="X48" t="s">
        <v>418</v>
      </c>
      <c r="Y48" t="s">
        <v>419</v>
      </c>
      <c r="Z48" t="s">
        <v>420</v>
      </c>
    </row>
    <row r="49">
      <c r="A49" t="s">
        <v>410</v>
      </c>
      <c r="B49" t="s">
        <v>42</v>
      </c>
      <c r="C49" t="s">
        <v>28</v>
      </c>
      <c r="D49" t="s">
        <v>29</v>
      </c>
      <c r="E49">
        <v>6739</v>
      </c>
      <c r="F49">
        <v>44413</v>
      </c>
      <c r="G49">
        <v>26016</v>
      </c>
      <c r="H49">
        <v>19277</v>
      </c>
      <c r="I49">
        <v>37463</v>
      </c>
      <c r="J49" t="str">
        <f>HYPERLINK("https://driffle.com/es/fallout-76-global-pc-steam-account-p9979508","Abrir compra")</f>
        <v>Abrir compra</v>
      </c>
      <c r="K49" t="str">
        <f>HYPERLINK("https://store.steampowered.com/app/1151340/Fallout_76/?curator_clanid=4777282","Abrir Steam")</f>
        <v>Abrir Steam</v>
      </c>
      <c r="L49" t="s">
        <v>43</v>
      </c>
      <c r="M49" t="s">
        <v>44</v>
      </c>
      <c r="N49" t="s">
        <v>32</v>
      </c>
      <c r="O49" t="s">
        <v>421</v>
      </c>
      <c r="P49" t="s">
        <v>422</v>
      </c>
      <c r="Q49" t="s">
        <v>32</v>
      </c>
      <c r="R49" t="s">
        <v>423</v>
      </c>
      <c r="S49" t="s">
        <v>37</v>
      </c>
      <c r="T49" t="s">
        <v>37</v>
      </c>
      <c r="U49" t="s">
        <v>424</v>
      </c>
      <c r="V49" t="s">
        <v>37</v>
      </c>
      <c r="W49" t="s">
        <v>425</v>
      </c>
      <c r="X49" t="s">
        <v>37</v>
      </c>
      <c r="Y49" t="s">
        <v>426</v>
      </c>
      <c r="Z49" t="s">
        <v>37</v>
      </c>
    </row>
    <row r="50">
      <c r="A50" t="s">
        <v>427</v>
      </c>
      <c r="B50" t="s">
        <v>65</v>
      </c>
      <c r="C50" t="s">
        <v>32</v>
      </c>
      <c r="D50" t="s">
        <v>53</v>
      </c>
      <c r="E50">
        <v>26830</v>
      </c>
      <c r="F50">
        <v>59223</v>
      </c>
      <c r="G50">
        <v>43382</v>
      </c>
      <c r="H50">
        <v>16552</v>
      </c>
      <c r="I50">
        <v>62470</v>
      </c>
      <c r="J50" t="str">
        <f>HYPERLINK("https://driffle.com/es/final-fantasy-vii-remake-intergrade-pc-steam-digital-code-p9907421","Abrir compra")</f>
        <v>Abrir compra</v>
      </c>
      <c r="K50" t="str">
        <f>HYPERLINK("https://store.steampowered.com/app/1462040/FINAL_FANTASY_VII_REMAKE_INTERGRADE/?curator_clanid=4777282","Abrir Steam")</f>
        <v>Abrir Steam</v>
      </c>
      <c r="L50" t="s">
        <v>43</v>
      </c>
      <c r="M50" t="s">
        <v>44</v>
      </c>
      <c r="N50" t="s">
        <v>32</v>
      </c>
      <c r="O50" t="s">
        <v>428</v>
      </c>
      <c r="P50" t="s">
        <v>429</v>
      </c>
      <c r="Q50" t="s">
        <v>32</v>
      </c>
      <c r="R50" t="s">
        <v>430</v>
      </c>
      <c r="S50" t="s">
        <v>37</v>
      </c>
      <c r="T50" t="s">
        <v>431</v>
      </c>
      <c r="U50" t="s">
        <v>432</v>
      </c>
      <c r="V50" t="s">
        <v>37</v>
      </c>
      <c r="W50" t="s">
        <v>433</v>
      </c>
      <c r="X50" t="s">
        <v>434</v>
      </c>
      <c r="Y50" t="s">
        <v>435</v>
      </c>
      <c r="Z50" t="s">
        <v>436</v>
      </c>
    </row>
    <row r="51">
      <c r="A51" t="s">
        <v>437</v>
      </c>
      <c r="B51" t="s">
        <v>27</v>
      </c>
      <c r="C51" t="s">
        <v>28</v>
      </c>
      <c r="D51" t="s">
        <v>29</v>
      </c>
      <c r="E51">
        <v>37370</v>
      </c>
      <c r="F51">
        <v>75607</v>
      </c>
      <c r="G51">
        <v>52370</v>
      </c>
      <c r="H51">
        <v>15000</v>
      </c>
      <c r="I51">
        <v>75413</v>
      </c>
      <c r="J51" t="str">
        <f>HYPERLINK("https://driffle.com/es/forza-horizon-5-deluxe-edition-global-pc-steam-account-p9962282","Abrir compra")</f>
        <v>Abrir compra</v>
      </c>
      <c r="K51" t="str">
        <f>HYPERLINK("https://store.steampowered.com/app/1551360/Forza_Horizon_5/?curator_clanid=4777282","Abrir Steam")</f>
        <v>Abrir Steam</v>
      </c>
      <c r="L51" t="s">
        <v>43</v>
      </c>
      <c r="M51" t="s">
        <v>44</v>
      </c>
      <c r="N51" t="s">
        <v>32</v>
      </c>
      <c r="O51" t="s">
        <v>438</v>
      </c>
      <c r="P51" t="s">
        <v>439</v>
      </c>
      <c r="Q51" t="s">
        <v>32</v>
      </c>
      <c r="R51" t="s">
        <v>440</v>
      </c>
      <c r="S51" t="s">
        <v>37</v>
      </c>
      <c r="T51" t="s">
        <v>37</v>
      </c>
      <c r="U51" t="s">
        <v>441</v>
      </c>
      <c r="V51" t="s">
        <v>37</v>
      </c>
      <c r="W51" t="s">
        <v>442</v>
      </c>
      <c r="X51" t="s">
        <v>37</v>
      </c>
      <c r="Y51" t="s">
        <v>443</v>
      </c>
      <c r="Z51" t="s">
        <v>37</v>
      </c>
    </row>
    <row r="52">
      <c r="A52" t="s">
        <v>437</v>
      </c>
      <c r="B52" t="s">
        <v>42</v>
      </c>
      <c r="C52" t="s">
        <v>28</v>
      </c>
      <c r="D52" t="s">
        <v>29</v>
      </c>
      <c r="E52">
        <v>20074</v>
      </c>
      <c r="F52">
        <v>60686</v>
      </c>
      <c r="G52">
        <v>37697</v>
      </c>
      <c r="H52">
        <v>17623</v>
      </c>
      <c r="I52">
        <v>54284</v>
      </c>
      <c r="J52" t="str">
        <f>HYPERLINK("https://driffle.com/es/forza-horizon-5-global-pc-steam-account-p9943443","Abrir compra")</f>
        <v>Abrir compra</v>
      </c>
      <c r="K52" t="str">
        <f>HYPERLINK("https://store.steampowered.com/app/1551360/Forza_Horizon_5/?curator_clanid=4777282","Abrir Steam")</f>
        <v>Abrir Steam</v>
      </c>
      <c r="L52" t="s">
        <v>43</v>
      </c>
      <c r="M52" t="s">
        <v>106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37</v>
      </c>
      <c r="T52" t="s">
        <v>37</v>
      </c>
      <c r="U52" t="s">
        <v>447</v>
      </c>
      <c r="V52" t="s">
        <v>37</v>
      </c>
      <c r="W52" t="s">
        <v>448</v>
      </c>
      <c r="X52" t="s">
        <v>37</v>
      </c>
      <c r="Y52" t="s">
        <v>449</v>
      </c>
      <c r="Z52" t="s">
        <v>37</v>
      </c>
    </row>
    <row r="53">
      <c r="A53" t="s">
        <v>437</v>
      </c>
      <c r="B53" t="s">
        <v>450</v>
      </c>
      <c r="C53" t="s">
        <v>28</v>
      </c>
      <c r="D53" t="s">
        <v>29</v>
      </c>
      <c r="E53">
        <v>36875</v>
      </c>
      <c r="F53">
        <v>95175</v>
      </c>
      <c r="G53">
        <v>57868</v>
      </c>
      <c r="H53">
        <v>20993</v>
      </c>
      <c r="I53">
        <v>83330</v>
      </c>
      <c r="J53" t="str">
        <f>HYPERLINK("https://driffle.com/es/forza-horizon-5-premium-edition-global-pc-steam-account-p9945649","Abrir compra")</f>
        <v>Abrir compra</v>
      </c>
      <c r="K53" t="str">
        <f>HYPERLINK("https://store.steampowered.com/app/1551360/Forza_Horizon_5/?curator_clanid=4777282","Abrir Steam")</f>
        <v>Abrir Steam</v>
      </c>
      <c r="L53" t="s">
        <v>43</v>
      </c>
      <c r="M53" t="s">
        <v>44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37</v>
      </c>
      <c r="T53" t="s">
        <v>37</v>
      </c>
      <c r="U53" t="s">
        <v>454</v>
      </c>
      <c r="V53" t="s">
        <v>37</v>
      </c>
      <c r="W53" t="s">
        <v>455</v>
      </c>
      <c r="X53" t="s">
        <v>37</v>
      </c>
      <c r="Y53" t="s">
        <v>456</v>
      </c>
      <c r="Z53" t="s">
        <v>37</v>
      </c>
    </row>
    <row r="54">
      <c r="A54" t="s">
        <v>457</v>
      </c>
      <c r="B54" t="s">
        <v>42</v>
      </c>
      <c r="C54" t="s">
        <v>28</v>
      </c>
      <c r="D54" t="s">
        <v>29</v>
      </c>
      <c r="E54">
        <v>87212</v>
      </c>
      <c r="F54">
        <v>90695</v>
      </c>
      <c r="G54">
        <v>102212</v>
      </c>
      <c r="H54">
        <v>15000</v>
      </c>
      <c r="I54">
        <v>147185</v>
      </c>
      <c r="J54" t="str">
        <f>HYPERLINK("https://www.kinguin.net/es/category/542407/gears-of-war-e-day-pc-steam-account","Abrir compra")</f>
        <v>Abrir compra</v>
      </c>
      <c r="K54" t="str">
        <f>HYPERLINK("https://store.steampowered.com/app/3010850/Gears_of_War_EDay/","Abrir Steam")</f>
        <v>Abrir Steam</v>
      </c>
      <c r="L54" t="s">
        <v>30</v>
      </c>
      <c r="M54" t="s">
        <v>44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461</v>
      </c>
      <c r="T54" t="s">
        <v>37</v>
      </c>
      <c r="U54" t="s">
        <v>462</v>
      </c>
      <c r="V54" t="s">
        <v>37</v>
      </c>
      <c r="W54" t="s">
        <v>463</v>
      </c>
      <c r="X54" t="s">
        <v>37</v>
      </c>
      <c r="Y54" t="s">
        <v>464</v>
      </c>
      <c r="Z54" t="s">
        <v>37</v>
      </c>
    </row>
    <row r="55">
      <c r="A55" t="s">
        <v>457</v>
      </c>
      <c r="B55" t="s">
        <v>450</v>
      </c>
      <c r="C55" t="s">
        <v>28</v>
      </c>
      <c r="D55" t="s">
        <v>29</v>
      </c>
      <c r="E55">
        <v>131832</v>
      </c>
      <c r="F55">
        <v>129572</v>
      </c>
      <c r="G55">
        <v>146832</v>
      </c>
      <c r="H55">
        <v>15000</v>
      </c>
      <c r="I55">
        <v>211438</v>
      </c>
      <c r="J55" t="str">
        <f>HYPERLINK("https://driffle.com/es/gears-of-war-e-day-premium-edition-global-pc-steam-account-p9996359","Abrir compra")</f>
        <v>Abrir compra</v>
      </c>
      <c r="K55" t="str">
        <f>HYPERLINK("https://store.steampowered.com/app/3010850/Gears_of_War_EDay/","Abrir Steam")</f>
        <v>Abrir Steam</v>
      </c>
      <c r="L55" t="s">
        <v>43</v>
      </c>
      <c r="M55" t="s">
        <v>106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37</v>
      </c>
      <c r="T55" t="s">
        <v>37</v>
      </c>
      <c r="U55" t="s">
        <v>468</v>
      </c>
      <c r="V55" t="s">
        <v>37</v>
      </c>
      <c r="W55" t="s">
        <v>469</v>
      </c>
      <c r="X55" t="s">
        <v>37</v>
      </c>
      <c r="Y55" t="s">
        <v>470</v>
      </c>
      <c r="Z55" t="s">
        <v>37</v>
      </c>
    </row>
    <row r="56">
      <c r="A56" t="s">
        <v>471</v>
      </c>
      <c r="B56" t="s">
        <v>472</v>
      </c>
      <c r="C56" t="s">
        <v>32</v>
      </c>
      <c r="D56" t="s">
        <v>53</v>
      </c>
      <c r="E56">
        <v>38631</v>
      </c>
      <c r="F56">
        <v>92546</v>
      </c>
      <c r="G56">
        <v>63098</v>
      </c>
      <c r="H56">
        <v>24467</v>
      </c>
      <c r="I56">
        <v>90861</v>
      </c>
      <c r="J56" t="str">
        <f>HYPERLINK("https://driffle.com/es/ghost-of-tsushima-directors-cut-latam-pc-steam-digital-key-p9944724","Abrir compra")</f>
        <v>Abrir compra</v>
      </c>
      <c r="K56" t="str">
        <f>HYPERLINK("https://store.steampowered.com/app/2215430/Ghost_of_Tsushima_VERSIN_DEL_DIRECTOR/?l=spanish","Abrir Steam")</f>
        <v>Abrir Steam</v>
      </c>
      <c r="L56" t="s">
        <v>43</v>
      </c>
      <c r="M56" t="s">
        <v>106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37</v>
      </c>
      <c r="T56" t="s">
        <v>476</v>
      </c>
      <c r="U56" t="s">
        <v>477</v>
      </c>
      <c r="V56" t="s">
        <v>134</v>
      </c>
      <c r="W56" t="s">
        <v>478</v>
      </c>
      <c r="X56" t="s">
        <v>479</v>
      </c>
      <c r="Y56" t="s">
        <v>480</v>
      </c>
      <c r="Z56" t="s">
        <v>481</v>
      </c>
    </row>
    <row r="57">
      <c r="A57" t="s">
        <v>482</v>
      </c>
      <c r="B57" t="s">
        <v>65</v>
      </c>
      <c r="C57" t="s">
        <v>32</v>
      </c>
      <c r="D57" t="s">
        <v>53</v>
      </c>
      <c r="E57">
        <v>22294</v>
      </c>
      <c r="F57">
        <v>92546</v>
      </c>
      <c r="G57">
        <v>57294</v>
      </c>
      <c r="H57">
        <v>35000</v>
      </c>
      <c r="I57">
        <v>82503</v>
      </c>
      <c r="J57" t="str">
        <f>HYPERLINK("https://www.eneba.com/latam/steam-god-of-war-pc-steam-key-latam","Abrir compra")</f>
        <v>Abrir compra</v>
      </c>
      <c r="K57" t="str">
        <f>HYPERLINK("https://store.steampowered.com/app/1593500/God_of_War/","Abrir Steam")</f>
        <v>Abrir Steam</v>
      </c>
      <c r="L57" t="s">
        <v>54</v>
      </c>
      <c r="M57" t="s">
        <v>106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37</v>
      </c>
      <c r="T57" t="s">
        <v>486</v>
      </c>
      <c r="U57" t="s">
        <v>487</v>
      </c>
      <c r="V57" t="s">
        <v>37</v>
      </c>
      <c r="W57" t="s">
        <v>37</v>
      </c>
      <c r="X57" t="s">
        <v>488</v>
      </c>
      <c r="Y57" t="s">
        <v>489</v>
      </c>
      <c r="Z57" t="s">
        <v>37</v>
      </c>
    </row>
    <row r="58">
      <c r="A58" t="s">
        <v>482</v>
      </c>
      <c r="B58" t="s">
        <v>42</v>
      </c>
      <c r="C58" t="s">
        <v>28</v>
      </c>
      <c r="D58" t="s">
        <v>29</v>
      </c>
      <c r="E58">
        <v>29912</v>
      </c>
      <c r="F58">
        <v>92546</v>
      </c>
      <c r="G58">
        <v>54058</v>
      </c>
      <c r="H58">
        <v>24146</v>
      </c>
      <c r="I58">
        <v>77844</v>
      </c>
      <c r="J58" t="str">
        <f>HYPERLINK("https://driffle.com/es/god-of-war-global-pc-steam-account-p9971517","Abrir compra")</f>
        <v>Abrir compra</v>
      </c>
      <c r="K58" t="str">
        <f>HYPERLINK("https://store.steampowered.com/app/1593500/God_of_War/","Abrir Steam")</f>
        <v>Abrir Steam</v>
      </c>
      <c r="L58" t="s">
        <v>43</v>
      </c>
      <c r="M58" t="s">
        <v>106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37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496</v>
      </c>
      <c r="B59" t="s">
        <v>65</v>
      </c>
      <c r="C59" t="s">
        <v>32</v>
      </c>
      <c r="D59" t="s">
        <v>53</v>
      </c>
      <c r="E59">
        <v>49140</v>
      </c>
      <c r="F59">
        <v>92546</v>
      </c>
      <c r="G59">
        <v>69197</v>
      </c>
      <c r="H59">
        <v>20057</v>
      </c>
      <c r="I59">
        <v>99644</v>
      </c>
      <c r="J59" t="str">
        <f>HYPERLINK("https://driffle.com/es/god-of-war-ragnarok-latam-pc-steam-digital-key-p9978346","Abrir compra")</f>
        <v>Abrir compra</v>
      </c>
      <c r="K59" t="str">
        <f>HYPERLINK("https://store.steampowered.com/app/2322010/God_of_War_Ragnark/?curator_clanid=4777282","Abrir Steam")</f>
        <v>Abrir Steam</v>
      </c>
      <c r="L59" t="s">
        <v>43</v>
      </c>
      <c r="M59" t="s">
        <v>106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37</v>
      </c>
      <c r="T59" t="s">
        <v>37</v>
      </c>
      <c r="U59" t="s">
        <v>500</v>
      </c>
      <c r="V59" t="s">
        <v>37</v>
      </c>
      <c r="W59" t="s">
        <v>501</v>
      </c>
      <c r="X59" t="s">
        <v>502</v>
      </c>
      <c r="Y59" t="s">
        <v>503</v>
      </c>
      <c r="Z59" t="s">
        <v>37</v>
      </c>
    </row>
    <row r="60">
      <c r="A60" t="s">
        <v>496</v>
      </c>
      <c r="B60" t="s">
        <v>42</v>
      </c>
      <c r="C60" t="s">
        <v>28</v>
      </c>
      <c r="D60" t="s">
        <v>29</v>
      </c>
      <c r="E60">
        <v>40708</v>
      </c>
      <c r="F60">
        <v>92546</v>
      </c>
      <c r="G60">
        <v>58376</v>
      </c>
      <c r="H60">
        <v>17668</v>
      </c>
      <c r="I60">
        <v>84061</v>
      </c>
      <c r="J60" t="str">
        <f>HYPERLINK("https://driffle.com/es/god-of-war-ragnarok-global-pc-steam-account-p9962284","Abrir compra")</f>
        <v>Abrir compra</v>
      </c>
      <c r="K60" t="str">
        <f>HYPERLINK("https://store.steampowered.com/app/2322010/God_of_War_Ragnark/?curator_clanid=4777282","Abrir Steam")</f>
        <v>Abrir Steam</v>
      </c>
      <c r="L60" t="s">
        <v>43</v>
      </c>
      <c r="M60" t="s">
        <v>106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37</v>
      </c>
      <c r="T60" t="s">
        <v>37</v>
      </c>
      <c r="U60" t="s">
        <v>507</v>
      </c>
      <c r="V60" t="s">
        <v>37</v>
      </c>
      <c r="W60" t="s">
        <v>508</v>
      </c>
      <c r="X60" t="s">
        <v>37</v>
      </c>
      <c r="Y60" t="s">
        <v>509</v>
      </c>
      <c r="Z60" t="s">
        <v>37</v>
      </c>
    </row>
    <row r="61">
      <c r="A61" t="s">
        <v>510</v>
      </c>
      <c r="B61" t="s">
        <v>65</v>
      </c>
      <c r="C61" t="s">
        <v>32</v>
      </c>
      <c r="D61" t="s">
        <v>53</v>
      </c>
      <c r="E61">
        <v>39111</v>
      </c>
      <c r="F61">
        <v>62926</v>
      </c>
      <c r="G61">
        <v>66028</v>
      </c>
      <c r="H61">
        <v>26917</v>
      </c>
      <c r="I61">
        <v>95080</v>
      </c>
      <c r="J61" t="str">
        <f>HYPERLINK("https://www.loaded.com/es_es/gothic-1-remake-pc-steam-latam","Abrir compra")</f>
        <v>Abrir compra</v>
      </c>
      <c r="K61" t="str">
        <f>HYPERLINK("https://store.steampowered.com/app/1297900/Gothic_1_Remake/?curator_clanid=4777282","Abrir Steam")</f>
        <v>Abrir Steam</v>
      </c>
      <c r="L61" t="s">
        <v>66</v>
      </c>
      <c r="M61" t="s">
        <v>106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37</v>
      </c>
      <c r="T61" t="s">
        <v>37</v>
      </c>
      <c r="U61" t="s">
        <v>514</v>
      </c>
      <c r="V61" t="s">
        <v>72</v>
      </c>
      <c r="W61" t="s">
        <v>515</v>
      </c>
      <c r="X61" t="s">
        <v>516</v>
      </c>
      <c r="Y61" t="s">
        <v>517</v>
      </c>
      <c r="Z61" t="s">
        <v>518</v>
      </c>
    </row>
    <row r="62">
      <c r="A62" t="s">
        <v>519</v>
      </c>
      <c r="B62" t="s">
        <v>520</v>
      </c>
      <c r="C62" t="s">
        <v>28</v>
      </c>
      <c r="D62" t="s">
        <v>29</v>
      </c>
      <c r="E62">
        <v>16241</v>
      </c>
      <c r="F62">
        <v>83290</v>
      </c>
      <c r="G62">
        <v>43241</v>
      </c>
      <c r="H62">
        <v>27000</v>
      </c>
      <c r="I62">
        <v>62267</v>
      </c>
      <c r="J62" t="str">
        <f>HYPERLINK("https://driffle.com/es/grand-theft-auto-v-enhanced-global-pc-steam-account-p9962285","Abrir compra")</f>
        <v>Abrir compra</v>
      </c>
      <c r="K62" t="str">
        <f>HYPERLINK("https://store.steampowered.com/app/3240220/Grand_Theft_Auto_V_Enhanced/","Abrir Steam")</f>
        <v>Abrir Steam</v>
      </c>
      <c r="L62" t="s">
        <v>43</v>
      </c>
      <c r="M62" t="s">
        <v>106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37</v>
      </c>
      <c r="T62" t="s">
        <v>37</v>
      </c>
      <c r="U62" t="s">
        <v>524</v>
      </c>
      <c r="V62" t="s">
        <v>37</v>
      </c>
      <c r="W62" t="s">
        <v>525</v>
      </c>
      <c r="X62" t="s">
        <v>37</v>
      </c>
      <c r="Y62" t="s">
        <v>526</v>
      </c>
      <c r="Z62" t="s">
        <v>37</v>
      </c>
    </row>
    <row r="63">
      <c r="A63" t="s">
        <v>527</v>
      </c>
      <c r="B63" t="s">
        <v>450</v>
      </c>
      <c r="C63" t="s">
        <v>28</v>
      </c>
      <c r="D63" t="s">
        <v>29</v>
      </c>
      <c r="E63">
        <v>79914</v>
      </c>
      <c r="F63">
        <v>111059</v>
      </c>
      <c r="G63">
        <v>94914</v>
      </c>
      <c r="H63">
        <v>15000</v>
      </c>
      <c r="I63">
        <v>136676</v>
      </c>
      <c r="J63" t="str">
        <f>HYPERLINK("https://driffle.com/es/halo-campaign-evolved-premium-edition-global-pc-steam-account-p9996352","Abrir compra")</f>
        <v>Abrir compra</v>
      </c>
      <c r="K63" t="str">
        <f>HYPERLINK("https://store.steampowered.com/app/2806050/Halo_Campaign_Evolved/","Abrir Steam")</f>
        <v>Abrir Steam</v>
      </c>
      <c r="L63" t="s">
        <v>43</v>
      </c>
      <c r="M63" t="s">
        <v>106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37</v>
      </c>
      <c r="T63" t="s">
        <v>37</v>
      </c>
      <c r="U63" t="s">
        <v>531</v>
      </c>
      <c r="V63" t="s">
        <v>37</v>
      </c>
      <c r="W63" t="s">
        <v>532</v>
      </c>
      <c r="X63" t="s">
        <v>37</v>
      </c>
      <c r="Y63" t="s">
        <v>533</v>
      </c>
      <c r="Z63" t="s">
        <v>37</v>
      </c>
    </row>
    <row r="64">
      <c r="A64" t="s">
        <v>534</v>
      </c>
      <c r="B64" t="s">
        <v>65</v>
      </c>
      <c r="C64" t="s">
        <v>32</v>
      </c>
      <c r="D64" t="s">
        <v>53</v>
      </c>
      <c r="E64">
        <v>38631</v>
      </c>
      <c r="F64">
        <v>74033</v>
      </c>
      <c r="G64">
        <v>55240</v>
      </c>
      <c r="H64">
        <v>16609</v>
      </c>
      <c r="I64">
        <v>79546</v>
      </c>
      <c r="J64" t="str">
        <f>HYPERLINK("https://driffle.com/es/helldivers-2-latam-pc-steam-digital-key-p9967079","Abrir compra")</f>
        <v>Abrir compra</v>
      </c>
      <c r="K64" t="str">
        <f>HYPERLINK("https://store.steampowered.com/app/553850/HELLDIVERS_2/","Abrir Steam")</f>
        <v>Abrir Steam</v>
      </c>
      <c r="L64" t="s">
        <v>43</v>
      </c>
      <c r="M64" t="s">
        <v>106</v>
      </c>
      <c r="N64" t="s">
        <v>32</v>
      </c>
      <c r="O64" t="s">
        <v>535</v>
      </c>
      <c r="P64" t="s">
        <v>536</v>
      </c>
      <c r="Q64" t="s">
        <v>32</v>
      </c>
      <c r="R64" t="s">
        <v>537</v>
      </c>
      <c r="S64" t="s">
        <v>37</v>
      </c>
      <c r="T64" t="s">
        <v>538</v>
      </c>
      <c r="U64" t="s">
        <v>477</v>
      </c>
      <c r="V64" t="s">
        <v>539</v>
      </c>
      <c r="W64" t="s">
        <v>540</v>
      </c>
      <c r="X64" t="s">
        <v>541</v>
      </c>
      <c r="Y64" t="s">
        <v>542</v>
      </c>
      <c r="Z64" t="s">
        <v>543</v>
      </c>
    </row>
    <row r="65">
      <c r="A65" t="s">
        <v>534</v>
      </c>
      <c r="B65" t="s">
        <v>42</v>
      </c>
      <c r="C65" t="s">
        <v>28</v>
      </c>
      <c r="D65" t="s">
        <v>29</v>
      </c>
      <c r="E65">
        <v>30918</v>
      </c>
      <c r="F65">
        <v>74033</v>
      </c>
      <c r="G65">
        <v>47240</v>
      </c>
      <c r="H65">
        <v>16322</v>
      </c>
      <c r="I65">
        <v>68026</v>
      </c>
      <c r="J65" t="str">
        <f>HYPERLINK("https://driffle.com/es/helldivers-2-global-pc-steam-account-p9952240","Abrir compra")</f>
        <v>Abrir compra</v>
      </c>
      <c r="K65" t="str">
        <f>HYPERLINK("https://store.steampowered.com/app/553850/HELLDIVERS_2/","Abrir Steam")</f>
        <v>Abrir Steam</v>
      </c>
      <c r="L65" t="s">
        <v>43</v>
      </c>
      <c r="M65" t="s">
        <v>44</v>
      </c>
      <c r="N65" t="s">
        <v>32</v>
      </c>
      <c r="O65" t="s">
        <v>544</v>
      </c>
      <c r="P65" t="s">
        <v>545</v>
      </c>
      <c r="Q65" t="s">
        <v>32</v>
      </c>
      <c r="R65" t="s">
        <v>546</v>
      </c>
      <c r="S65" t="s">
        <v>37</v>
      </c>
      <c r="T65" t="s">
        <v>37</v>
      </c>
      <c r="U65" t="s">
        <v>547</v>
      </c>
      <c r="V65" t="s">
        <v>37</v>
      </c>
      <c r="W65" t="s">
        <v>548</v>
      </c>
      <c r="X65" t="s">
        <v>37</v>
      </c>
      <c r="Y65" t="s">
        <v>549</v>
      </c>
      <c r="Z65" t="s">
        <v>37</v>
      </c>
    </row>
    <row r="66">
      <c r="A66" t="s">
        <v>550</v>
      </c>
      <c r="B66" t="s">
        <v>27</v>
      </c>
      <c r="C66" t="s">
        <v>28</v>
      </c>
      <c r="D66" t="s">
        <v>29</v>
      </c>
      <c r="E66">
        <v>30551</v>
      </c>
      <c r="F66">
        <v>85141</v>
      </c>
      <c r="G66">
        <v>51426</v>
      </c>
      <c r="H66">
        <v>20875</v>
      </c>
      <c r="I66">
        <v>74053</v>
      </c>
      <c r="J66" t="str">
        <f>HYPERLINK("https://driffle.com/es/hitman-world-of-assassination-deluxe-edition-global-pc-steam-account-p9979540","Abrir compra")</f>
        <v>Abrir compra</v>
      </c>
      <c r="K66" t="str">
        <f>HYPERLINK("https://store.steampowered.com/app/1659040/HITMAN_World_of_Assassination/?curator_clanid=4777282","Abrir Steam")</f>
        <v>Abrir Steam</v>
      </c>
      <c r="L66" t="s">
        <v>43</v>
      </c>
      <c r="M66" t="s">
        <v>44</v>
      </c>
      <c r="N66" t="s">
        <v>32</v>
      </c>
      <c r="O66" t="s">
        <v>551</v>
      </c>
      <c r="P66" t="s">
        <v>552</v>
      </c>
      <c r="Q66" t="s">
        <v>32</v>
      </c>
      <c r="R66" t="s">
        <v>553</v>
      </c>
      <c r="S66" t="s">
        <v>37</v>
      </c>
      <c r="T66" t="s">
        <v>37</v>
      </c>
      <c r="U66" t="s">
        <v>554</v>
      </c>
      <c r="V66" t="s">
        <v>37</v>
      </c>
      <c r="W66" t="s">
        <v>555</v>
      </c>
      <c r="X66" t="s">
        <v>37</v>
      </c>
      <c r="Y66" t="s">
        <v>556</v>
      </c>
      <c r="Z66" t="s">
        <v>37</v>
      </c>
    </row>
    <row r="67">
      <c r="A67" t="s">
        <v>550</v>
      </c>
      <c r="B67" t="s">
        <v>557</v>
      </c>
      <c r="C67" t="s">
        <v>32</v>
      </c>
      <c r="D67" t="s">
        <v>53</v>
      </c>
      <c r="E67">
        <v>35374</v>
      </c>
      <c r="F67">
        <v>61074</v>
      </c>
      <c r="G67">
        <v>51541</v>
      </c>
      <c r="H67">
        <v>16167</v>
      </c>
      <c r="I67">
        <v>74219</v>
      </c>
      <c r="J67" t="str">
        <f>HYPERLINK("https://driffle.com/es/hitman-world-of-assassination-global-pc-steam-digital-key-p9947612","Abrir compra")</f>
        <v>Abrir compra</v>
      </c>
      <c r="K67" t="str">
        <f>HYPERLINK("https://store.steampowered.com/app/1659040/HITMAN_World_of_Assassination/?curator_clanid=4777282","Abrir Steam")</f>
        <v>Abrir Steam</v>
      </c>
      <c r="L67" t="s">
        <v>43</v>
      </c>
      <c r="M67" t="s">
        <v>44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37</v>
      </c>
      <c r="T67" t="s">
        <v>37</v>
      </c>
      <c r="U67" t="s">
        <v>561</v>
      </c>
      <c r="V67" t="s">
        <v>37</v>
      </c>
      <c r="W67" t="s">
        <v>37</v>
      </c>
      <c r="X67" t="s">
        <v>37</v>
      </c>
      <c r="Y67" t="s">
        <v>562</v>
      </c>
      <c r="Z67" t="s">
        <v>563</v>
      </c>
    </row>
    <row r="68">
      <c r="A68" t="s">
        <v>550</v>
      </c>
      <c r="B68" t="s">
        <v>42</v>
      </c>
      <c r="C68" t="s">
        <v>28</v>
      </c>
      <c r="D68" t="s">
        <v>29</v>
      </c>
      <c r="E68">
        <v>14102</v>
      </c>
      <c r="F68">
        <v>61074</v>
      </c>
      <c r="G68">
        <v>35460</v>
      </c>
      <c r="H68">
        <v>21358</v>
      </c>
      <c r="I68">
        <v>51062</v>
      </c>
      <c r="J68" t="str">
        <f>HYPERLINK("https://driffle.com/es/hitman-world-of-assassination-global-pc-steam-account-p9945630","Abrir compra")</f>
        <v>Abrir compra</v>
      </c>
      <c r="K68" t="str">
        <f>HYPERLINK("https://store.steampowered.com/app/1659040/HITMAN_World_of_Assassination/?curator_clanid=4777282","Abrir Steam")</f>
        <v>Abrir Steam</v>
      </c>
      <c r="L68" t="s">
        <v>43</v>
      </c>
      <c r="M68" t="s">
        <v>44</v>
      </c>
      <c r="N68" t="s">
        <v>32</v>
      </c>
      <c r="O68" t="s">
        <v>564</v>
      </c>
      <c r="P68" t="s">
        <v>565</v>
      </c>
      <c r="Q68" t="s">
        <v>32</v>
      </c>
      <c r="R68" t="s">
        <v>566</v>
      </c>
      <c r="S68" t="s">
        <v>37</v>
      </c>
      <c r="T68" t="s">
        <v>37</v>
      </c>
      <c r="U68" t="s">
        <v>567</v>
      </c>
      <c r="V68" t="s">
        <v>37</v>
      </c>
      <c r="W68" t="s">
        <v>37</v>
      </c>
      <c r="X68" t="s">
        <v>37</v>
      </c>
      <c r="Y68" t="s">
        <v>568</v>
      </c>
      <c r="Z68" t="s">
        <v>37</v>
      </c>
    </row>
    <row r="69">
      <c r="A69" t="s">
        <v>569</v>
      </c>
      <c r="B69" t="s">
        <v>270</v>
      </c>
      <c r="C69" t="s">
        <v>32</v>
      </c>
      <c r="D69" t="s">
        <v>53</v>
      </c>
      <c r="E69">
        <v>10492</v>
      </c>
      <c r="F69">
        <v>74033</v>
      </c>
      <c r="G69">
        <v>45492</v>
      </c>
      <c r="H69">
        <v>35000</v>
      </c>
      <c r="I69">
        <v>65508</v>
      </c>
      <c r="J69" t="str">
        <f>HYPERLINK("https://www.eneba.com/latam/steam-hogwarts-legacy-deluxe-edition-pc-steam-key-latam","Abrir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54</v>
      </c>
      <c r="M69" t="s">
        <v>106</v>
      </c>
      <c r="N69" t="s">
        <v>32</v>
      </c>
      <c r="O69" t="s">
        <v>570</v>
      </c>
      <c r="P69" t="s">
        <v>571</v>
      </c>
      <c r="Q69" t="s">
        <v>32</v>
      </c>
      <c r="R69" t="s">
        <v>572</v>
      </c>
      <c r="S69" t="s">
        <v>37</v>
      </c>
      <c r="T69" t="s">
        <v>573</v>
      </c>
      <c r="U69" t="s">
        <v>574</v>
      </c>
      <c r="V69" t="s">
        <v>575</v>
      </c>
      <c r="W69" t="s">
        <v>576</v>
      </c>
      <c r="X69" t="s">
        <v>577</v>
      </c>
      <c r="Y69" t="s">
        <v>578</v>
      </c>
      <c r="Z69" t="s">
        <v>579</v>
      </c>
    </row>
    <row r="70">
      <c r="A70" t="s">
        <v>569</v>
      </c>
      <c r="B70" t="s">
        <v>27</v>
      </c>
      <c r="C70" t="s">
        <v>28</v>
      </c>
      <c r="D70" t="s">
        <v>29</v>
      </c>
      <c r="E70">
        <v>10620</v>
      </c>
      <c r="F70">
        <v>74033</v>
      </c>
      <c r="G70">
        <v>37620</v>
      </c>
      <c r="H70">
        <v>27000</v>
      </c>
      <c r="I70">
        <v>54173</v>
      </c>
      <c r="J70" t="str">
        <f>HYPERLINK("https://driffle.com/es/hogwarts-legacy-deluxe-edition-pc-steam-digital-code-p9962290","Abrir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43</v>
      </c>
      <c r="M70" t="s">
        <v>44</v>
      </c>
      <c r="N70" t="s">
        <v>32</v>
      </c>
      <c r="O70" t="s">
        <v>580</v>
      </c>
      <c r="P70" t="s">
        <v>581</v>
      </c>
      <c r="Q70" t="s">
        <v>32</v>
      </c>
      <c r="R70" t="s">
        <v>582</v>
      </c>
      <c r="S70" t="s">
        <v>37</v>
      </c>
      <c r="T70" t="s">
        <v>37</v>
      </c>
      <c r="U70" t="s">
        <v>583</v>
      </c>
      <c r="V70" t="s">
        <v>37</v>
      </c>
      <c r="W70" t="s">
        <v>584</v>
      </c>
      <c r="X70" t="s">
        <v>37</v>
      </c>
      <c r="Y70" t="s">
        <v>585</v>
      </c>
      <c r="Z70" t="s">
        <v>37</v>
      </c>
    </row>
    <row r="71">
      <c r="A71" t="s">
        <v>569</v>
      </c>
      <c r="B71" t="s">
        <v>65</v>
      </c>
      <c r="C71" t="s">
        <v>32</v>
      </c>
      <c r="D71" t="s">
        <v>53</v>
      </c>
      <c r="E71">
        <v>7634</v>
      </c>
      <c r="F71">
        <v>55539</v>
      </c>
      <c r="G71">
        <v>38024</v>
      </c>
      <c r="H71">
        <v>30390</v>
      </c>
      <c r="I71">
        <v>54755</v>
      </c>
      <c r="J71" t="str">
        <f>HYPERLINK("https://www.eneba.com/latam/steam-hogwarts-legacy-pc-steam-key-latam","Abrir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54</v>
      </c>
      <c r="M71" t="s">
        <v>106</v>
      </c>
      <c r="N71" t="s">
        <v>32</v>
      </c>
      <c r="O71" t="s">
        <v>586</v>
      </c>
      <c r="P71" t="s">
        <v>587</v>
      </c>
      <c r="Q71" t="s">
        <v>32</v>
      </c>
      <c r="R71" t="s">
        <v>588</v>
      </c>
      <c r="S71" t="s">
        <v>37</v>
      </c>
      <c r="T71" t="s">
        <v>589</v>
      </c>
      <c r="U71" t="s">
        <v>590</v>
      </c>
      <c r="V71" t="s">
        <v>591</v>
      </c>
      <c r="W71" t="s">
        <v>592</v>
      </c>
      <c r="X71" t="s">
        <v>593</v>
      </c>
      <c r="Y71" t="s">
        <v>594</v>
      </c>
      <c r="Z71" t="s">
        <v>595</v>
      </c>
    </row>
    <row r="72">
      <c r="A72" t="s">
        <v>569</v>
      </c>
      <c r="B72" t="s">
        <v>42</v>
      </c>
      <c r="C72" t="s">
        <v>28</v>
      </c>
      <c r="D72" t="s">
        <v>29</v>
      </c>
      <c r="E72">
        <v>5909</v>
      </c>
      <c r="F72">
        <v>55539</v>
      </c>
      <c r="G72">
        <v>30024</v>
      </c>
      <c r="H72">
        <v>24115</v>
      </c>
      <c r="I72">
        <v>43235</v>
      </c>
      <c r="J72" t="str">
        <f>HYPERLINK("https://driffle.com/es/hogwarts-legacy-global-pc-steam-account-p9971523","Abrir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43</v>
      </c>
      <c r="M72" t="s">
        <v>44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37</v>
      </c>
      <c r="T72" t="s">
        <v>37</v>
      </c>
      <c r="U72" t="s">
        <v>599</v>
      </c>
      <c r="V72" t="s">
        <v>37</v>
      </c>
      <c r="W72" t="s">
        <v>600</v>
      </c>
      <c r="X72" t="s">
        <v>37</v>
      </c>
      <c r="Y72" t="s">
        <v>601</v>
      </c>
      <c r="Z72" t="s">
        <v>37</v>
      </c>
    </row>
    <row r="73">
      <c r="A73" t="s">
        <v>602</v>
      </c>
      <c r="B73" t="s">
        <v>27</v>
      </c>
      <c r="C73" t="s">
        <v>28</v>
      </c>
      <c r="D73" t="s">
        <v>29</v>
      </c>
      <c r="E73">
        <v>32659</v>
      </c>
      <c r="F73">
        <v>104598</v>
      </c>
      <c r="G73">
        <v>59659</v>
      </c>
      <c r="H73">
        <v>27000</v>
      </c>
      <c r="I73">
        <v>85909</v>
      </c>
      <c r="J73" t="str">
        <f>HYPERLINK("https://www.kinguin.net/es/category/440609/invincible-vs-deluxe-edition-pc-steam-account","Abrir compra")</f>
        <v>Abrir compra</v>
      </c>
      <c r="K73" t="str">
        <f>HYPERLINK("https://store.steampowered.com/app/2353060/Invincible_VS/","Abrir Steam")</f>
        <v>Abrir Steam</v>
      </c>
      <c r="L73" t="s">
        <v>30</v>
      </c>
      <c r="M73" t="s">
        <v>44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606</v>
      </c>
      <c r="T73" t="s">
        <v>37</v>
      </c>
      <c r="U73" t="s">
        <v>607</v>
      </c>
      <c r="V73" t="s">
        <v>37</v>
      </c>
      <c r="W73" t="s">
        <v>608</v>
      </c>
      <c r="X73" t="s">
        <v>37</v>
      </c>
      <c r="Y73" t="s">
        <v>609</v>
      </c>
      <c r="Z73" t="s">
        <v>37</v>
      </c>
    </row>
    <row r="74">
      <c r="A74" t="s">
        <v>602</v>
      </c>
      <c r="B74" t="s">
        <v>42</v>
      </c>
      <c r="C74" t="s">
        <v>28</v>
      </c>
      <c r="D74" t="s">
        <v>29</v>
      </c>
      <c r="E74">
        <v>22055</v>
      </c>
      <c r="F74">
        <v>69424</v>
      </c>
      <c r="G74">
        <v>41898</v>
      </c>
      <c r="H74">
        <v>19843</v>
      </c>
      <c r="I74">
        <v>60333</v>
      </c>
      <c r="J74" t="str">
        <f>HYPERLINK("https://driffle.com/es/invincible-vs-global-pc-steam-account-p9994202","Abrir compra")</f>
        <v>Abrir compra</v>
      </c>
      <c r="K74" t="str">
        <f>HYPERLINK("https://store.steampowered.com/app/2353060/Invincible_VS/","Abrir Steam")</f>
        <v>Abrir Steam</v>
      </c>
      <c r="L74" t="s">
        <v>43</v>
      </c>
      <c r="M74" t="s">
        <v>44</v>
      </c>
      <c r="N74" t="s">
        <v>32</v>
      </c>
      <c r="O74" t="s">
        <v>610</v>
      </c>
      <c r="P74" t="s">
        <v>611</v>
      </c>
      <c r="Q74" t="s">
        <v>32</v>
      </c>
      <c r="R74" t="s">
        <v>612</v>
      </c>
      <c r="S74" t="s">
        <v>613</v>
      </c>
      <c r="T74" t="s">
        <v>37</v>
      </c>
      <c r="U74" t="s">
        <v>614</v>
      </c>
      <c r="V74" t="s">
        <v>37</v>
      </c>
      <c r="W74" t="s">
        <v>615</v>
      </c>
      <c r="X74" t="s">
        <v>37</v>
      </c>
      <c r="Y74" t="s">
        <v>616</v>
      </c>
      <c r="Z74" t="s">
        <v>37</v>
      </c>
    </row>
    <row r="75">
      <c r="A75" t="s">
        <v>617</v>
      </c>
      <c r="B75" t="s">
        <v>65</v>
      </c>
      <c r="C75" t="s">
        <v>32</v>
      </c>
      <c r="D75" t="s">
        <v>53</v>
      </c>
      <c r="E75">
        <v>69997</v>
      </c>
      <c r="F75">
        <v>74033</v>
      </c>
      <c r="G75">
        <v>85412</v>
      </c>
      <c r="H75">
        <v>15415</v>
      </c>
      <c r="I75">
        <v>122993</v>
      </c>
      <c r="J75" t="str">
        <f>HYPERLINK("https://driffle.com/es/it-takes-two-steam-altergift-p53426","Abrir compra")</f>
        <v>Abrir compra</v>
      </c>
      <c r="K75" t="str">
        <f>HYPERLINK("https://store.steampowered.com/app/1426210/It_Takes_Two/?curator_clanid=4777282","Abrir Steam")</f>
        <v>Abrir Steam</v>
      </c>
      <c r="L75" t="s">
        <v>43</v>
      </c>
      <c r="M75" t="s">
        <v>44</v>
      </c>
      <c r="N75" t="s">
        <v>32</v>
      </c>
      <c r="O75" t="s">
        <v>618</v>
      </c>
      <c r="P75" t="s">
        <v>619</v>
      </c>
      <c r="Q75" t="s">
        <v>32</v>
      </c>
      <c r="R75" t="s">
        <v>620</v>
      </c>
      <c r="S75" t="s">
        <v>37</v>
      </c>
      <c r="T75" t="s">
        <v>621</v>
      </c>
      <c r="U75" t="s">
        <v>622</v>
      </c>
      <c r="V75" t="s">
        <v>37</v>
      </c>
      <c r="W75" t="s">
        <v>623</v>
      </c>
      <c r="X75" t="s">
        <v>624</v>
      </c>
      <c r="Y75" t="s">
        <v>625</v>
      </c>
      <c r="Z75" t="s">
        <v>37</v>
      </c>
    </row>
    <row r="76">
      <c r="A76" t="s">
        <v>617</v>
      </c>
      <c r="B76" t="s">
        <v>42</v>
      </c>
      <c r="C76" t="s">
        <v>28</v>
      </c>
      <c r="D76" t="s">
        <v>29</v>
      </c>
      <c r="E76">
        <v>9023</v>
      </c>
      <c r="F76">
        <v>74033</v>
      </c>
      <c r="G76">
        <v>36023</v>
      </c>
      <c r="H76">
        <v>27000</v>
      </c>
      <c r="I76">
        <v>51873</v>
      </c>
      <c r="J76" t="str">
        <f>HYPERLINK("https://driffle.com/es/it-takes-two-global-pc-steam-account-p9945671","Abrir compra")</f>
        <v>Abrir compra</v>
      </c>
      <c r="K76" t="str">
        <f>HYPERLINK("https://store.steampowered.com/app/1426210/It_Takes_Two/?curator_clanid=4777282","Abrir Steam")</f>
        <v>Abrir Steam</v>
      </c>
      <c r="L76" t="s">
        <v>43</v>
      </c>
      <c r="M76" t="s">
        <v>44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629</v>
      </c>
      <c r="T76" t="s">
        <v>37</v>
      </c>
      <c r="U76" t="s">
        <v>630</v>
      </c>
      <c r="V76" t="s">
        <v>37</v>
      </c>
      <c r="W76" t="s">
        <v>631</v>
      </c>
      <c r="X76" t="s">
        <v>37</v>
      </c>
      <c r="Y76" t="s">
        <v>632</v>
      </c>
      <c r="Z76" t="s">
        <v>37</v>
      </c>
    </row>
    <row r="77">
      <c r="A77" t="s">
        <v>633</v>
      </c>
      <c r="B77" t="s">
        <v>270</v>
      </c>
      <c r="C77" t="s">
        <v>32</v>
      </c>
      <c r="D77" t="s">
        <v>53</v>
      </c>
      <c r="E77">
        <v>90358</v>
      </c>
      <c r="F77">
        <v>148085</v>
      </c>
      <c r="G77">
        <v>108782</v>
      </c>
      <c r="H77">
        <v>18424</v>
      </c>
      <c r="I77">
        <v>156646</v>
      </c>
      <c r="J77" t="str">
        <f>HYPERLINK("https://www.eneba.com/latam/steam-lego-r-batmantm-legacy-of-the-dark-knight-deluxe-edition-steam-key-pc-latam","Abrir compra")</f>
        <v>Abrir compra</v>
      </c>
      <c r="K77" t="str">
        <f>HYPERLINK("https://store.steampowered.com/app/2215200/LEGO_Batman_El_Legado_del_Caballero_Oscuro/","Abrir Steam")</f>
        <v>Abrir Steam</v>
      </c>
      <c r="L77" t="s">
        <v>54</v>
      </c>
      <c r="M77" t="s">
        <v>106</v>
      </c>
      <c r="N77" t="s">
        <v>32</v>
      </c>
      <c r="O77" t="s">
        <v>634</v>
      </c>
      <c r="P77" t="s">
        <v>635</v>
      </c>
      <c r="Q77" t="s">
        <v>32</v>
      </c>
      <c r="R77" t="s">
        <v>636</v>
      </c>
      <c r="S77" t="s">
        <v>37</v>
      </c>
      <c r="T77" t="s">
        <v>637</v>
      </c>
      <c r="U77" t="s">
        <v>638</v>
      </c>
      <c r="V77" t="s">
        <v>37</v>
      </c>
      <c r="W77" t="s">
        <v>639</v>
      </c>
      <c r="X77" t="s">
        <v>640</v>
      </c>
      <c r="Y77" t="s">
        <v>641</v>
      </c>
      <c r="Z77" t="s">
        <v>642</v>
      </c>
    </row>
    <row r="78">
      <c r="A78" t="s">
        <v>633</v>
      </c>
      <c r="B78" t="s">
        <v>65</v>
      </c>
      <c r="C78" t="s">
        <v>32</v>
      </c>
      <c r="D78" t="s">
        <v>53</v>
      </c>
      <c r="E78">
        <v>66882</v>
      </c>
      <c r="F78">
        <v>111059</v>
      </c>
      <c r="G78">
        <v>82729</v>
      </c>
      <c r="H78">
        <v>15847</v>
      </c>
      <c r="I78">
        <v>119130</v>
      </c>
      <c r="J78" t="str">
        <f>HYPERLINK("https://www.eneba.com/latam/steam-lego-r-batmantm-legacy-of-the-dark-knight-steam-key-pc-latam","Abrir compra")</f>
        <v>Abrir compra</v>
      </c>
      <c r="K78" t="str">
        <f>HYPERLINK("https://store.steampowered.com/app/2215200/LEGO_Batman_El_Legado_del_Caballero_Oscuro/","Abrir Steam")</f>
        <v>Abrir Steam</v>
      </c>
      <c r="L78" t="s">
        <v>54</v>
      </c>
      <c r="M78" t="s">
        <v>106</v>
      </c>
      <c r="N78" t="s">
        <v>32</v>
      </c>
      <c r="O78" t="s">
        <v>643</v>
      </c>
      <c r="P78" t="s">
        <v>644</v>
      </c>
      <c r="Q78" t="s">
        <v>32</v>
      </c>
      <c r="R78" t="s">
        <v>645</v>
      </c>
      <c r="S78" t="s">
        <v>37</v>
      </c>
      <c r="T78" t="s">
        <v>646</v>
      </c>
      <c r="U78" t="s">
        <v>647</v>
      </c>
      <c r="V78" t="s">
        <v>37</v>
      </c>
      <c r="W78" t="s">
        <v>648</v>
      </c>
      <c r="X78" t="s">
        <v>649</v>
      </c>
      <c r="Y78" t="s">
        <v>650</v>
      </c>
      <c r="Z78" t="s">
        <v>651</v>
      </c>
    </row>
    <row r="79">
      <c r="A79" t="s">
        <v>633</v>
      </c>
      <c r="B79" t="s">
        <v>42</v>
      </c>
      <c r="C79" t="s">
        <v>28</v>
      </c>
      <c r="D79" t="s">
        <v>29</v>
      </c>
      <c r="E79">
        <v>46233</v>
      </c>
      <c r="F79">
        <v>111059</v>
      </c>
      <c r="G79">
        <v>67806</v>
      </c>
      <c r="H79">
        <v>21573</v>
      </c>
      <c r="I79">
        <v>97641</v>
      </c>
      <c r="J79" t="str">
        <f>HYPERLINK("https://www.kinguin.net/es/category/439222/lego-batman-legacy-of-the-dark-knight-pc-steam-account","Abrir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30</v>
      </c>
      <c r="M79" t="s">
        <v>31</v>
      </c>
      <c r="N79" t="s">
        <v>32</v>
      </c>
      <c r="O79" t="s">
        <v>652</v>
      </c>
      <c r="P79" t="s">
        <v>653</v>
      </c>
      <c r="Q79" t="s">
        <v>32</v>
      </c>
      <c r="R79" t="s">
        <v>654</v>
      </c>
      <c r="S79" t="s">
        <v>655</v>
      </c>
      <c r="T79" t="s">
        <v>37</v>
      </c>
      <c r="U79" t="s">
        <v>37</v>
      </c>
      <c r="V79" t="s">
        <v>37</v>
      </c>
      <c r="W79" t="s">
        <v>656</v>
      </c>
      <c r="X79" t="s">
        <v>37</v>
      </c>
      <c r="Y79" t="s">
        <v>37</v>
      </c>
      <c r="Z79" t="s">
        <v>37</v>
      </c>
    </row>
    <row r="80">
      <c r="A80" t="s">
        <v>657</v>
      </c>
      <c r="B80" t="s">
        <v>658</v>
      </c>
      <c r="C80" t="s">
        <v>32</v>
      </c>
      <c r="D80" t="s">
        <v>53</v>
      </c>
      <c r="E80">
        <v>148872</v>
      </c>
      <c r="F80">
        <v>157342</v>
      </c>
      <c r="G80">
        <v>163872</v>
      </c>
      <c r="H80">
        <v>15000</v>
      </c>
      <c r="I80">
        <v>235976</v>
      </c>
      <c r="J80" t="str">
        <f>HYPERLINK("https://www.kinguin.net/es/category/509287/marvel-tokon-fighting-souls-deluxe-edition-pre-order-pc-steam-cd-key","Abrir compra")</f>
        <v>Abrir compra</v>
      </c>
      <c r="K80" t="str">
        <f>HYPERLINK("https://store.steampowered.com/app/3787240/MARVEL_Tkon_Fighting_Souls/?curator_clanid=4777282","Abrir Steam")</f>
        <v>Abrir Steam</v>
      </c>
      <c r="L80" t="s">
        <v>30</v>
      </c>
      <c r="M80" t="s">
        <v>31</v>
      </c>
      <c r="N80" t="s">
        <v>32</v>
      </c>
      <c r="O80" t="s">
        <v>659</v>
      </c>
      <c r="P80" t="s">
        <v>660</v>
      </c>
      <c r="Q80" t="s">
        <v>32</v>
      </c>
      <c r="R80" t="s">
        <v>661</v>
      </c>
      <c r="S80" t="s">
        <v>662</v>
      </c>
      <c r="T80" t="s">
        <v>37</v>
      </c>
      <c r="U80" t="s">
        <v>37</v>
      </c>
      <c r="V80" t="s">
        <v>37</v>
      </c>
      <c r="W80" t="s">
        <v>663</v>
      </c>
      <c r="X80" t="s">
        <v>37</v>
      </c>
      <c r="Y80" t="s">
        <v>37</v>
      </c>
      <c r="Z80" t="s">
        <v>37</v>
      </c>
    </row>
    <row r="81">
      <c r="A81" t="s">
        <v>664</v>
      </c>
      <c r="B81" t="s">
        <v>270</v>
      </c>
      <c r="C81" t="s">
        <v>32</v>
      </c>
      <c r="D81" t="s">
        <v>53</v>
      </c>
      <c r="E81">
        <v>11706</v>
      </c>
      <c r="F81">
        <v>83309</v>
      </c>
      <c r="G81">
        <v>38706</v>
      </c>
      <c r="H81">
        <v>27000</v>
      </c>
      <c r="I81">
        <v>55737</v>
      </c>
      <c r="J81" t="str">
        <f>HYPERLINK("https://www.eneba.com/latam/steam-marvel-vs-capcom-infinite-deluxe-edition-pc-steam-key-latam","Abrir compra")</f>
        <v>Abrir compra</v>
      </c>
      <c r="K81" t="str">
        <f>HYPERLINK("https://store.steampowered.com/app/493840/Marvel_vs_Capcom_Infinite/","Abrir Steam")</f>
        <v>Abrir Steam</v>
      </c>
      <c r="L81" t="s">
        <v>54</v>
      </c>
      <c r="M81" t="s">
        <v>106</v>
      </c>
      <c r="N81" t="s">
        <v>32</v>
      </c>
      <c r="O81" t="s">
        <v>665</v>
      </c>
      <c r="P81" t="s">
        <v>666</v>
      </c>
      <c r="Q81" t="s">
        <v>32</v>
      </c>
      <c r="R81" t="s">
        <v>667</v>
      </c>
      <c r="S81" t="s">
        <v>37</v>
      </c>
      <c r="T81" t="s">
        <v>668</v>
      </c>
      <c r="U81" t="s">
        <v>669</v>
      </c>
      <c r="V81" t="s">
        <v>37</v>
      </c>
      <c r="W81" t="s">
        <v>670</v>
      </c>
      <c r="X81" t="s">
        <v>671</v>
      </c>
      <c r="Y81" t="s">
        <v>672</v>
      </c>
      <c r="Z81" t="s">
        <v>673</v>
      </c>
    </row>
    <row r="82">
      <c r="A82" t="s">
        <v>664</v>
      </c>
      <c r="B82" t="s">
        <v>65</v>
      </c>
      <c r="C82" t="s">
        <v>32</v>
      </c>
      <c r="D82" t="s">
        <v>53</v>
      </c>
      <c r="E82">
        <v>6899</v>
      </c>
      <c r="F82">
        <v>53688</v>
      </c>
      <c r="G82">
        <v>34938</v>
      </c>
      <c r="H82">
        <v>28039</v>
      </c>
      <c r="I82">
        <v>50311</v>
      </c>
      <c r="J82" t="str">
        <f>HYPERLINK("https://www.eneba.com/latam/steam-marvel-vs-capcom-infinite-steam-key-latam","Abrir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54</v>
      </c>
      <c r="M82" t="s">
        <v>106</v>
      </c>
      <c r="N82" t="s">
        <v>32</v>
      </c>
      <c r="O82" t="s">
        <v>674</v>
      </c>
      <c r="P82" t="s">
        <v>675</v>
      </c>
      <c r="Q82" t="s">
        <v>32</v>
      </c>
      <c r="R82" t="s">
        <v>676</v>
      </c>
      <c r="S82" t="s">
        <v>37</v>
      </c>
      <c r="T82" t="s">
        <v>677</v>
      </c>
      <c r="U82" t="s">
        <v>678</v>
      </c>
      <c r="V82" t="s">
        <v>37</v>
      </c>
      <c r="W82" t="s">
        <v>679</v>
      </c>
      <c r="X82" t="s">
        <v>680</v>
      </c>
      <c r="Y82" t="s">
        <v>681</v>
      </c>
      <c r="Z82" t="s">
        <v>37</v>
      </c>
    </row>
    <row r="83">
      <c r="A83" t="s">
        <v>682</v>
      </c>
      <c r="B83" t="s">
        <v>270</v>
      </c>
      <c r="C83" t="s">
        <v>32</v>
      </c>
      <c r="D83" t="s">
        <v>53</v>
      </c>
      <c r="E83">
        <v>55272</v>
      </c>
      <c r="F83">
        <v>92546</v>
      </c>
      <c r="G83">
        <v>70272</v>
      </c>
      <c r="H83">
        <v>15000</v>
      </c>
      <c r="I83">
        <v>101192</v>
      </c>
      <c r="J83" t="str">
        <f>HYPERLINK("https://driffle.com/es/marvels-spider-man-2-deluxe-edition-latam-pc-steam-digital-key-p9930164","Abrir compra")</f>
        <v>Abrir compra</v>
      </c>
      <c r="K83" t="str">
        <f>HYPERLINK("https://store.steampowered.com/app/2651280/Marvels_SpiderMan_2/","Abrir Steam")</f>
        <v>Abrir Steam</v>
      </c>
      <c r="L83" t="s">
        <v>43</v>
      </c>
      <c r="M83" t="s">
        <v>106</v>
      </c>
      <c r="N83" t="s">
        <v>32</v>
      </c>
      <c r="O83" t="s">
        <v>683</v>
      </c>
      <c r="P83" t="s">
        <v>684</v>
      </c>
      <c r="Q83" t="s">
        <v>32</v>
      </c>
      <c r="R83" t="s">
        <v>685</v>
      </c>
      <c r="S83" t="s">
        <v>37</v>
      </c>
      <c r="T83" t="s">
        <v>37</v>
      </c>
      <c r="U83" t="s">
        <v>686</v>
      </c>
      <c r="V83" t="s">
        <v>37</v>
      </c>
      <c r="W83" t="s">
        <v>687</v>
      </c>
      <c r="X83" t="s">
        <v>688</v>
      </c>
      <c r="Y83" t="s">
        <v>689</v>
      </c>
      <c r="Z83" t="s">
        <v>37</v>
      </c>
    </row>
    <row r="84">
      <c r="A84" t="s">
        <v>682</v>
      </c>
      <c r="B84" t="s">
        <v>65</v>
      </c>
      <c r="C84" t="s">
        <v>32</v>
      </c>
      <c r="D84" t="s">
        <v>53</v>
      </c>
      <c r="E84">
        <v>51360</v>
      </c>
      <c r="F84">
        <v>92546</v>
      </c>
      <c r="G84">
        <v>69410</v>
      </c>
      <c r="H84">
        <v>18050</v>
      </c>
      <c r="I84">
        <v>99950</v>
      </c>
      <c r="J84" t="str">
        <f>HYPERLINK("https://driffle.com/es/marvels-spider-man-2-latam-pc-steam-digital-key-p9930167","Abrir compra")</f>
        <v>Abrir compra</v>
      </c>
      <c r="K84" t="str">
        <f>HYPERLINK("https://store.steampowered.com/app/2651280/Marvels_SpiderMan_2/","Abrir Steam")</f>
        <v>Abrir Steam</v>
      </c>
      <c r="L84" t="s">
        <v>43</v>
      </c>
      <c r="M84" t="s">
        <v>106</v>
      </c>
      <c r="N84" t="s">
        <v>32</v>
      </c>
      <c r="O84" t="s">
        <v>690</v>
      </c>
      <c r="P84" t="s">
        <v>691</v>
      </c>
      <c r="Q84" t="s">
        <v>32</v>
      </c>
      <c r="R84" t="s">
        <v>692</v>
      </c>
      <c r="S84" t="s">
        <v>37</v>
      </c>
      <c r="T84" t="s">
        <v>693</v>
      </c>
      <c r="U84" t="s">
        <v>694</v>
      </c>
      <c r="V84" t="s">
        <v>37</v>
      </c>
      <c r="W84" t="s">
        <v>695</v>
      </c>
      <c r="X84" t="s">
        <v>696</v>
      </c>
      <c r="Y84" t="s">
        <v>697</v>
      </c>
      <c r="Z84" t="s">
        <v>37</v>
      </c>
    </row>
    <row r="85">
      <c r="A85" t="s">
        <v>698</v>
      </c>
      <c r="B85" t="s">
        <v>65</v>
      </c>
      <c r="C85" t="s">
        <v>32</v>
      </c>
      <c r="D85" t="s">
        <v>53</v>
      </c>
      <c r="E85">
        <v>37066</v>
      </c>
      <c r="F85">
        <v>111059</v>
      </c>
      <c r="G85">
        <v>64066</v>
      </c>
      <c r="H85">
        <v>27000</v>
      </c>
      <c r="I85">
        <v>92255</v>
      </c>
      <c r="J85" t="str">
        <f>HYPERLINK("https://www.eneba.com/latam/steam-marvels-spider-man-remastered-pc-steam-key-latam","Abrir compra")</f>
        <v>Abrir compra</v>
      </c>
      <c r="K85" t="str">
        <f>HYPERLINK("https://store.steampowered.com/app/1817070/Marvels_SpiderMan_Remastered/","Abrir Steam")</f>
        <v>Abrir Steam</v>
      </c>
      <c r="L85" t="s">
        <v>54</v>
      </c>
      <c r="M85" t="s">
        <v>106</v>
      </c>
      <c r="N85" t="s">
        <v>32</v>
      </c>
      <c r="O85" t="s">
        <v>699</v>
      </c>
      <c r="P85" t="s">
        <v>700</v>
      </c>
      <c r="Q85" t="s">
        <v>32</v>
      </c>
      <c r="R85" t="s">
        <v>701</v>
      </c>
      <c r="S85" t="s">
        <v>37</v>
      </c>
      <c r="T85" t="s">
        <v>702</v>
      </c>
      <c r="U85" t="s">
        <v>37</v>
      </c>
      <c r="V85" t="s">
        <v>37</v>
      </c>
      <c r="W85" t="s">
        <v>703</v>
      </c>
      <c r="X85" t="s">
        <v>704</v>
      </c>
      <c r="Y85" t="s">
        <v>705</v>
      </c>
      <c r="Z85" t="s">
        <v>706</v>
      </c>
    </row>
    <row r="86">
      <c r="A86" t="s">
        <v>707</v>
      </c>
      <c r="B86" t="s">
        <v>65</v>
      </c>
      <c r="C86" t="s">
        <v>32</v>
      </c>
      <c r="D86" t="s">
        <v>53</v>
      </c>
      <c r="E86">
        <v>35725</v>
      </c>
      <c r="F86">
        <v>92546</v>
      </c>
      <c r="G86">
        <v>61936</v>
      </c>
      <c r="H86">
        <v>26211</v>
      </c>
      <c r="I86">
        <v>89188</v>
      </c>
      <c r="J86" t="str">
        <f>HYPERLINK("https://driffle.com/es/marvels-spider-man-miles-morales-pc-steam-digital-code-p9882675","Abrir compra")</f>
        <v>Abrir compra</v>
      </c>
      <c r="K86" t="str">
        <f>HYPERLINK("https://store.steampowered.com/app/1817190/Marvels_SpiderMan_Miles_Morales/","Abrir Steam")</f>
        <v>Abrir Steam</v>
      </c>
      <c r="L86" t="s">
        <v>43</v>
      </c>
      <c r="M86" t="s">
        <v>44</v>
      </c>
      <c r="N86" t="s">
        <v>32</v>
      </c>
      <c r="O86" t="s">
        <v>708</v>
      </c>
      <c r="P86" t="s">
        <v>709</v>
      </c>
      <c r="Q86" t="s">
        <v>32</v>
      </c>
      <c r="R86" t="s">
        <v>710</v>
      </c>
      <c r="S86" t="s">
        <v>37</v>
      </c>
      <c r="T86" t="s">
        <v>37</v>
      </c>
      <c r="U86" t="s">
        <v>711</v>
      </c>
      <c r="V86" t="s">
        <v>37</v>
      </c>
      <c r="W86" t="s">
        <v>712</v>
      </c>
      <c r="X86" t="s">
        <v>713</v>
      </c>
      <c r="Y86" t="s">
        <v>714</v>
      </c>
      <c r="Z86" t="s">
        <v>715</v>
      </c>
    </row>
    <row r="87">
      <c r="A87" t="s">
        <v>716</v>
      </c>
      <c r="B87" t="s">
        <v>717</v>
      </c>
      <c r="C87" t="s">
        <v>32</v>
      </c>
      <c r="D87" t="s">
        <v>53</v>
      </c>
      <c r="E87">
        <v>202803</v>
      </c>
      <c r="F87">
        <v>370241</v>
      </c>
      <c r="G87">
        <v>229803</v>
      </c>
      <c r="H87">
        <v>27000</v>
      </c>
      <c r="I87">
        <v>330916</v>
      </c>
      <c r="J87" t="str">
        <f>HYPERLINK("https://www.loaded.com/es_es/microsoft-flight-simulator-2024-aviator-edition-pc-steam","Abrir compra")</f>
        <v>Abrir compra</v>
      </c>
      <c r="K87" t="str">
        <f>HYPERLINK("https://store.steampowered.com/app/2537590/Microsoft_Flight_Simulator_2024/","Abrir Steam")</f>
        <v>Abrir Steam</v>
      </c>
      <c r="L87" t="s">
        <v>66</v>
      </c>
      <c r="M87" t="s">
        <v>44</v>
      </c>
      <c r="N87" t="s">
        <v>32</v>
      </c>
      <c r="O87" t="s">
        <v>718</v>
      </c>
      <c r="P87" t="s">
        <v>719</v>
      </c>
      <c r="Q87" t="s">
        <v>32</v>
      </c>
      <c r="R87" t="s">
        <v>720</v>
      </c>
      <c r="S87" t="s">
        <v>37</v>
      </c>
      <c r="T87" t="s">
        <v>37</v>
      </c>
      <c r="U87" t="s">
        <v>37</v>
      </c>
      <c r="V87" t="s">
        <v>721</v>
      </c>
      <c r="W87" t="s">
        <v>37</v>
      </c>
      <c r="X87" t="s">
        <v>37</v>
      </c>
      <c r="Y87" t="s">
        <v>37</v>
      </c>
      <c r="Z87" t="s">
        <v>722</v>
      </c>
    </row>
    <row r="88">
      <c r="A88" t="s">
        <v>716</v>
      </c>
      <c r="B88" t="s">
        <v>658</v>
      </c>
      <c r="C88" t="s">
        <v>32</v>
      </c>
      <c r="D88" t="s">
        <v>53</v>
      </c>
      <c r="E88">
        <v>102192</v>
      </c>
      <c r="F88">
        <v>185111</v>
      </c>
      <c r="G88">
        <v>137192</v>
      </c>
      <c r="H88">
        <v>35000</v>
      </c>
      <c r="I88">
        <v>197556</v>
      </c>
      <c r="J88" t="str">
        <f>HYPERLINK("https://www.loaded.com/es_es/microsoft-flight-simulator-2024-deluxe-edition-pc-steam","Abrir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66</v>
      </c>
      <c r="M88" t="s">
        <v>44</v>
      </c>
      <c r="N88" t="s">
        <v>32</v>
      </c>
      <c r="O88" t="s">
        <v>723</v>
      </c>
      <c r="P88" t="s">
        <v>724</v>
      </c>
      <c r="Q88" t="s">
        <v>32</v>
      </c>
      <c r="R88" t="s">
        <v>725</v>
      </c>
      <c r="S88" t="s">
        <v>37</v>
      </c>
      <c r="T88" t="s">
        <v>37</v>
      </c>
      <c r="U88" t="s">
        <v>37</v>
      </c>
      <c r="V88" t="s">
        <v>726</v>
      </c>
      <c r="W88" t="s">
        <v>37</v>
      </c>
      <c r="X88" t="s">
        <v>37</v>
      </c>
      <c r="Y88" t="s">
        <v>37</v>
      </c>
      <c r="Z88" t="s">
        <v>727</v>
      </c>
    </row>
    <row r="89">
      <c r="A89" t="s">
        <v>716</v>
      </c>
      <c r="B89" t="s">
        <v>27</v>
      </c>
      <c r="C89" t="s">
        <v>28</v>
      </c>
      <c r="D89" t="s">
        <v>29</v>
      </c>
      <c r="E89">
        <v>143922</v>
      </c>
      <c r="F89">
        <v>185111</v>
      </c>
      <c r="G89">
        <v>158922</v>
      </c>
      <c r="H89">
        <v>15000</v>
      </c>
      <c r="I89">
        <v>228848</v>
      </c>
      <c r="J89" t="str">
        <f>HYPERLINK("https://driffle.com/es/microsoft-flight-simulator-2024-deluxe-edition-global-pc-steam-account-p9971541","Abrir compra")</f>
        <v>Abrir compra</v>
      </c>
      <c r="K89" t="str">
        <f>HYPERLINK("https://store.steampowered.com/app/2537590/Microsoft_Flight_Simulator_2024/","Abrir Steam")</f>
        <v>Abrir Steam</v>
      </c>
      <c r="L89" t="s">
        <v>43</v>
      </c>
      <c r="M89" t="s">
        <v>106</v>
      </c>
      <c r="N89" t="s">
        <v>32</v>
      </c>
      <c r="O89" t="s">
        <v>728</v>
      </c>
      <c r="P89" t="s">
        <v>729</v>
      </c>
      <c r="Q89" t="s">
        <v>32</v>
      </c>
      <c r="R89" t="s">
        <v>730</v>
      </c>
      <c r="S89" t="s">
        <v>37</v>
      </c>
      <c r="T89" t="s">
        <v>37</v>
      </c>
      <c r="U89" t="s">
        <v>731</v>
      </c>
      <c r="V89" t="s">
        <v>37</v>
      </c>
      <c r="W89" t="s">
        <v>732</v>
      </c>
      <c r="X89" t="s">
        <v>37</v>
      </c>
      <c r="Y89" t="s">
        <v>733</v>
      </c>
      <c r="Z89" t="s">
        <v>37</v>
      </c>
    </row>
    <row r="90">
      <c r="A90" t="s">
        <v>716</v>
      </c>
      <c r="B90" t="s">
        <v>557</v>
      </c>
      <c r="C90" t="s">
        <v>32</v>
      </c>
      <c r="D90" t="s">
        <v>53</v>
      </c>
      <c r="E90">
        <v>73446</v>
      </c>
      <c r="F90">
        <v>129572</v>
      </c>
      <c r="G90">
        <v>95501</v>
      </c>
      <c r="H90">
        <v>22055</v>
      </c>
      <c r="I90">
        <v>137521</v>
      </c>
      <c r="J90" t="str">
        <f>HYPERLINK("https://www.loaded.com/es_es/microsoft-flight-simulator-2024-pc-steam","Abrir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66</v>
      </c>
      <c r="M90" t="s">
        <v>44</v>
      </c>
      <c r="N90" t="s">
        <v>32</v>
      </c>
      <c r="O90" t="s">
        <v>734</v>
      </c>
      <c r="P90" t="s">
        <v>735</v>
      </c>
      <c r="Q90" t="s">
        <v>32</v>
      </c>
      <c r="R90" t="s">
        <v>736</v>
      </c>
      <c r="S90" t="s">
        <v>37</v>
      </c>
      <c r="T90" t="s">
        <v>37</v>
      </c>
      <c r="U90" t="s">
        <v>37</v>
      </c>
      <c r="V90" t="s">
        <v>737</v>
      </c>
      <c r="W90" t="s">
        <v>37</v>
      </c>
      <c r="X90" t="s">
        <v>37</v>
      </c>
      <c r="Y90" t="s">
        <v>37</v>
      </c>
      <c r="Z90" t="s">
        <v>738</v>
      </c>
    </row>
    <row r="91">
      <c r="A91" t="s">
        <v>716</v>
      </c>
      <c r="B91" t="s">
        <v>42</v>
      </c>
      <c r="C91" t="s">
        <v>28</v>
      </c>
      <c r="D91" t="s">
        <v>29</v>
      </c>
      <c r="E91">
        <v>66276</v>
      </c>
      <c r="F91">
        <v>129572</v>
      </c>
      <c r="G91">
        <v>83044</v>
      </c>
      <c r="H91">
        <v>16768</v>
      </c>
      <c r="I91">
        <v>119583</v>
      </c>
      <c r="J91" t="str">
        <f>HYPERLINK("https://driffle.com/es/microsoft-flight-simulator-2024-global-pc-steam-account-p9971540","Abrir compra")</f>
        <v>Abrir compra</v>
      </c>
      <c r="K91" t="str">
        <f>HYPERLINK("https://store.steampowered.com/app/2537590/Microsoft_Flight_Simulator_2024/","Abrir Steam")</f>
        <v>Abrir Steam</v>
      </c>
      <c r="L91" t="s">
        <v>43</v>
      </c>
      <c r="M91" t="s">
        <v>106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37</v>
      </c>
      <c r="T91" t="s">
        <v>37</v>
      </c>
      <c r="U91" t="s">
        <v>742</v>
      </c>
      <c r="V91" t="s">
        <v>37</v>
      </c>
      <c r="W91" t="s">
        <v>743</v>
      </c>
      <c r="X91" t="s">
        <v>37</v>
      </c>
      <c r="Y91" t="s">
        <v>744</v>
      </c>
      <c r="Z91" t="s">
        <v>37</v>
      </c>
    </row>
    <row r="92">
      <c r="A92" t="s">
        <v>716</v>
      </c>
      <c r="B92" t="s">
        <v>745</v>
      </c>
      <c r="C92" t="s">
        <v>32</v>
      </c>
      <c r="D92" t="s">
        <v>53</v>
      </c>
      <c r="E92">
        <v>132535</v>
      </c>
      <c r="F92">
        <v>240650</v>
      </c>
      <c r="G92">
        <v>159535</v>
      </c>
      <c r="H92">
        <v>27000</v>
      </c>
      <c r="I92">
        <v>229730</v>
      </c>
      <c r="J92" t="str">
        <f>HYPERLINK("https://www.loaded.com/es_es/microsoft-flight-simulator-2024-premium-deluxe-edition-pc-steam","Abrir compra")</f>
        <v>Abrir compra</v>
      </c>
      <c r="K92" t="str">
        <f>HYPERLINK("https://store.steampowered.com/app/2537590/Microsoft_Flight_Simulator_2024/","Abrir Steam")</f>
        <v>Abrir Steam</v>
      </c>
      <c r="L92" t="s">
        <v>66</v>
      </c>
      <c r="M92" t="s">
        <v>44</v>
      </c>
      <c r="N92" t="s">
        <v>32</v>
      </c>
      <c r="O92" t="s">
        <v>746</v>
      </c>
      <c r="P92" t="s">
        <v>747</v>
      </c>
      <c r="Q92" t="s">
        <v>32</v>
      </c>
      <c r="R92" t="s">
        <v>748</v>
      </c>
      <c r="S92" t="s">
        <v>37</v>
      </c>
      <c r="T92" t="s">
        <v>37</v>
      </c>
      <c r="U92" t="s">
        <v>37</v>
      </c>
      <c r="V92" t="s">
        <v>749</v>
      </c>
      <c r="W92" t="s">
        <v>37</v>
      </c>
      <c r="X92" t="s">
        <v>37</v>
      </c>
      <c r="Y92" t="s">
        <v>37</v>
      </c>
      <c r="Z92" t="s">
        <v>750</v>
      </c>
    </row>
    <row r="93">
      <c r="A93" t="s">
        <v>751</v>
      </c>
      <c r="B93" t="s">
        <v>65</v>
      </c>
      <c r="C93" t="s">
        <v>32</v>
      </c>
      <c r="D93" t="s">
        <v>53</v>
      </c>
      <c r="E93">
        <v>38376</v>
      </c>
      <c r="F93">
        <v>53688</v>
      </c>
      <c r="G93">
        <v>56537</v>
      </c>
      <c r="H93">
        <v>18161</v>
      </c>
      <c r="I93">
        <v>81413</v>
      </c>
      <c r="J93" t="str">
        <f>HYPERLINK("https://www.eneba.com/latam/steam-monster-hunter-wilds-pc-steam-key-latam","Abrir compra")</f>
        <v>Abrir compra</v>
      </c>
      <c r="K93" t="str">
        <f>HYPERLINK("https://store.steampowered.com/app/2246340/Monster_Hunter_Wilds/?curator_clanid=4777282","Abrir Steam")</f>
        <v>Abrir Steam</v>
      </c>
      <c r="L93" t="s">
        <v>54</v>
      </c>
      <c r="M93" t="s">
        <v>106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37</v>
      </c>
      <c r="T93" t="s">
        <v>755</v>
      </c>
      <c r="U93" t="s">
        <v>37</v>
      </c>
      <c r="V93" t="s">
        <v>37</v>
      </c>
      <c r="W93" t="s">
        <v>756</v>
      </c>
      <c r="X93" t="s">
        <v>757</v>
      </c>
      <c r="Y93" t="s">
        <v>758</v>
      </c>
      <c r="Z93" t="s">
        <v>37</v>
      </c>
    </row>
    <row r="94">
      <c r="A94" t="s">
        <v>751</v>
      </c>
      <c r="B94" t="s">
        <v>42</v>
      </c>
      <c r="C94" t="s">
        <v>28</v>
      </c>
      <c r="D94" t="s">
        <v>29</v>
      </c>
      <c r="E94">
        <v>33537</v>
      </c>
      <c r="F94">
        <v>53688</v>
      </c>
      <c r="G94">
        <v>48537</v>
      </c>
      <c r="H94">
        <v>15000</v>
      </c>
      <c r="I94">
        <v>69893</v>
      </c>
      <c r="J94" t="str">
        <f>HYPERLINK("https://driffle.com/es/monster-hunter-wilds-global-pc-steam-account-p9979523","Abrir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43</v>
      </c>
      <c r="M94" t="s">
        <v>106</v>
      </c>
      <c r="N94" t="s">
        <v>32</v>
      </c>
      <c r="O94" t="s">
        <v>759</v>
      </c>
      <c r="P94" t="s">
        <v>760</v>
      </c>
      <c r="Q94" t="s">
        <v>32</v>
      </c>
      <c r="R94" t="s">
        <v>761</v>
      </c>
      <c r="S94" t="s">
        <v>37</v>
      </c>
      <c r="T94" t="s">
        <v>37</v>
      </c>
      <c r="U94" t="s">
        <v>762</v>
      </c>
      <c r="V94" t="s">
        <v>37</v>
      </c>
      <c r="W94" t="s">
        <v>763</v>
      </c>
      <c r="X94" t="s">
        <v>37</v>
      </c>
      <c r="Y94" t="s">
        <v>764</v>
      </c>
      <c r="Z94" t="s">
        <v>37</v>
      </c>
    </row>
    <row r="95">
      <c r="A95" t="s">
        <v>751</v>
      </c>
      <c r="B95" t="s">
        <v>765</v>
      </c>
      <c r="C95" t="s">
        <v>32</v>
      </c>
      <c r="D95" t="s">
        <v>53</v>
      </c>
      <c r="E95">
        <v>61948</v>
      </c>
      <c r="F95">
        <v>53688</v>
      </c>
      <c r="G95">
        <v>76948</v>
      </c>
      <c r="H95">
        <v>15000</v>
      </c>
      <c r="I95">
        <v>110805</v>
      </c>
      <c r="J95" t="str">
        <f>HYPERLINK("https://www.eneba.com/latam/steam-monster-hunter-wilds-premium-deluxe-edition-pc-steam-key-latam","Abrir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54</v>
      </c>
      <c r="M95" t="s">
        <v>106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37</v>
      </c>
      <c r="T95" t="s">
        <v>769</v>
      </c>
      <c r="U95" t="s">
        <v>37</v>
      </c>
      <c r="V95" t="s">
        <v>37</v>
      </c>
      <c r="W95" t="s">
        <v>770</v>
      </c>
      <c r="X95" t="s">
        <v>771</v>
      </c>
      <c r="Y95" t="s">
        <v>37</v>
      </c>
      <c r="Z95" t="s">
        <v>37</v>
      </c>
    </row>
    <row r="96">
      <c r="A96" t="s">
        <v>772</v>
      </c>
      <c r="B96" t="s">
        <v>773</v>
      </c>
      <c r="C96" t="s">
        <v>32</v>
      </c>
      <c r="D96" t="s">
        <v>53</v>
      </c>
      <c r="E96">
        <v>22629</v>
      </c>
      <c r="F96">
        <v>111059</v>
      </c>
      <c r="G96">
        <v>49629</v>
      </c>
      <c r="H96">
        <v>27000</v>
      </c>
      <c r="I96">
        <v>71466</v>
      </c>
      <c r="J96" t="str">
        <f>HYPERLINK("https://www.eneba.com/latam/steam-mortal-kombat-1-definitive-edition-steam-key-pc-latam","Abrir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54</v>
      </c>
      <c r="M96" t="s">
        <v>106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37</v>
      </c>
      <c r="T96" t="s">
        <v>777</v>
      </c>
      <c r="U96" t="s">
        <v>778</v>
      </c>
      <c r="V96" t="s">
        <v>37</v>
      </c>
      <c r="W96" t="s">
        <v>779</v>
      </c>
      <c r="X96" t="s">
        <v>780</v>
      </c>
      <c r="Y96" t="s">
        <v>781</v>
      </c>
      <c r="Z96" t="s">
        <v>782</v>
      </c>
    </row>
    <row r="97">
      <c r="A97" t="s">
        <v>772</v>
      </c>
      <c r="B97" t="s">
        <v>65</v>
      </c>
      <c r="C97" t="s">
        <v>32</v>
      </c>
      <c r="D97" t="s">
        <v>53</v>
      </c>
      <c r="E97">
        <v>12728</v>
      </c>
      <c r="F97">
        <v>74033</v>
      </c>
      <c r="G97">
        <v>39728</v>
      </c>
      <c r="H97">
        <v>27000</v>
      </c>
      <c r="I97">
        <v>57208</v>
      </c>
      <c r="J97" t="str">
        <f>HYPERLINK("https://www.eneba.com/latam/steam-mortal-kombat-1-pc-steam-key-latam","Abrir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54</v>
      </c>
      <c r="M97" t="s">
        <v>106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37</v>
      </c>
      <c r="T97" t="s">
        <v>786</v>
      </c>
      <c r="U97" t="s">
        <v>787</v>
      </c>
      <c r="V97" t="s">
        <v>37</v>
      </c>
      <c r="W97" t="s">
        <v>788</v>
      </c>
      <c r="X97" t="s">
        <v>789</v>
      </c>
      <c r="Y97" t="s">
        <v>790</v>
      </c>
      <c r="Z97" t="s">
        <v>791</v>
      </c>
    </row>
    <row r="98">
      <c r="A98" t="s">
        <v>792</v>
      </c>
      <c r="B98" t="s">
        <v>65</v>
      </c>
      <c r="C98" t="s">
        <v>32</v>
      </c>
      <c r="D98" t="s">
        <v>53</v>
      </c>
      <c r="E98">
        <v>15619</v>
      </c>
      <c r="F98">
        <v>129572</v>
      </c>
      <c r="G98">
        <v>45939</v>
      </c>
      <c r="H98">
        <v>30320</v>
      </c>
      <c r="I98">
        <v>66152</v>
      </c>
      <c r="J98" t="str">
        <f>HYPERLINK("https://driffle.com/es/nba-2k26-global-pc-steam-digital-key-p9949948","Abrir compra")</f>
        <v>Abrir compra</v>
      </c>
      <c r="K98" t="str">
        <f>HYPERLINK("https://store.steampowered.com/app/3472040/NBA_2K26/","Abrir Steam")</f>
        <v>Abrir Steam</v>
      </c>
      <c r="L98" t="s">
        <v>43</v>
      </c>
      <c r="M98" t="s">
        <v>44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37</v>
      </c>
      <c r="T98" t="s">
        <v>37</v>
      </c>
      <c r="U98" t="s">
        <v>796</v>
      </c>
      <c r="V98" t="s">
        <v>37</v>
      </c>
      <c r="W98" t="s">
        <v>797</v>
      </c>
      <c r="X98" t="s">
        <v>798</v>
      </c>
      <c r="Y98" t="s">
        <v>799</v>
      </c>
      <c r="Z98" t="s">
        <v>800</v>
      </c>
    </row>
    <row r="99">
      <c r="A99" t="s">
        <v>792</v>
      </c>
      <c r="B99" t="s">
        <v>42</v>
      </c>
      <c r="C99" t="s">
        <v>28</v>
      </c>
      <c r="D99" t="s">
        <v>29</v>
      </c>
      <c r="E99">
        <v>10939</v>
      </c>
      <c r="F99">
        <v>129572</v>
      </c>
      <c r="G99">
        <v>37939</v>
      </c>
      <c r="H99">
        <v>27000</v>
      </c>
      <c r="I99">
        <v>54632</v>
      </c>
      <c r="J99" t="str">
        <f>HYPERLINK("https://driffle.com/es/nba-2k26-global-pc-steam-account-p9979521","Abrir compra")</f>
        <v>Abrir compra</v>
      </c>
      <c r="K99" t="str">
        <f>HYPERLINK("https://store.steampowered.com/app/3472040/NBA_2K26/","Abrir Steam")</f>
        <v>Abrir Steam</v>
      </c>
      <c r="L99" t="s">
        <v>43</v>
      </c>
      <c r="M99" t="s">
        <v>44</v>
      </c>
      <c r="N99" t="s">
        <v>32</v>
      </c>
      <c r="O99" t="s">
        <v>801</v>
      </c>
      <c r="P99" t="s">
        <v>802</v>
      </c>
      <c r="Q99" t="s">
        <v>32</v>
      </c>
      <c r="R99" t="s">
        <v>803</v>
      </c>
      <c r="S99" t="s">
        <v>37</v>
      </c>
      <c r="T99" t="s">
        <v>37</v>
      </c>
      <c r="U99" t="s">
        <v>804</v>
      </c>
      <c r="V99" t="s">
        <v>37</v>
      </c>
      <c r="W99" t="s">
        <v>805</v>
      </c>
      <c r="X99" t="s">
        <v>37</v>
      </c>
      <c r="Y99" t="s">
        <v>806</v>
      </c>
      <c r="Z99" t="s">
        <v>37</v>
      </c>
    </row>
    <row r="100">
      <c r="A100" t="s">
        <v>792</v>
      </c>
      <c r="B100" t="s">
        <v>807</v>
      </c>
      <c r="C100" t="s">
        <v>32</v>
      </c>
      <c r="D100" t="s">
        <v>53</v>
      </c>
      <c r="E100">
        <v>25951</v>
      </c>
      <c r="F100">
        <v>148085</v>
      </c>
      <c r="G100">
        <v>60951</v>
      </c>
      <c r="H100">
        <v>35000</v>
      </c>
      <c r="I100">
        <v>87769</v>
      </c>
      <c r="J100" t="str">
        <f>HYPERLINK("https://www.eneba.com/latam/steam-nba-2k26-slam-edition-steam-key-pc-global","Abrir compra")</f>
        <v>Abrir compra</v>
      </c>
      <c r="K100" t="str">
        <f>HYPERLINK("https://store.steampowered.com/app/3472040/NBA_2K26/","Abrir Steam")</f>
        <v>Abrir Steam</v>
      </c>
      <c r="L100" t="s">
        <v>54</v>
      </c>
      <c r="M100" t="s">
        <v>44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37</v>
      </c>
      <c r="T100" t="s">
        <v>811</v>
      </c>
      <c r="U100" t="s">
        <v>812</v>
      </c>
      <c r="V100" t="s">
        <v>37</v>
      </c>
      <c r="W100" t="s">
        <v>813</v>
      </c>
      <c r="X100" t="s">
        <v>814</v>
      </c>
      <c r="Y100" t="s">
        <v>815</v>
      </c>
      <c r="Z100" t="s">
        <v>816</v>
      </c>
    </row>
    <row r="101">
      <c r="A101" t="s">
        <v>792</v>
      </c>
      <c r="B101" t="s">
        <v>817</v>
      </c>
      <c r="C101" t="s">
        <v>32</v>
      </c>
      <c r="D101" t="s">
        <v>53</v>
      </c>
      <c r="E101">
        <v>28251</v>
      </c>
      <c r="F101">
        <v>185111</v>
      </c>
      <c r="G101">
        <v>55251</v>
      </c>
      <c r="H101">
        <v>27000</v>
      </c>
      <c r="I101">
        <v>79561</v>
      </c>
      <c r="J101" t="str">
        <f>HYPERLINK("https://www.loaded.com/es_es/nba-2k26-superstar-edition-pc-steam","Abrir compra")</f>
        <v>Abrir compra</v>
      </c>
      <c r="K101" t="str">
        <f>HYPERLINK("https://store.steampowered.com/app/3472040/NBA_2K26/","Abrir Steam")</f>
        <v>Abrir Steam</v>
      </c>
      <c r="L101" t="s">
        <v>66</v>
      </c>
      <c r="M101" t="s">
        <v>31</v>
      </c>
      <c r="N101" t="s">
        <v>32</v>
      </c>
      <c r="O101" t="s">
        <v>818</v>
      </c>
      <c r="P101" t="s">
        <v>819</v>
      </c>
      <c r="Q101" t="s">
        <v>32</v>
      </c>
      <c r="R101" t="s">
        <v>820</v>
      </c>
      <c r="S101" t="s">
        <v>37</v>
      </c>
      <c r="T101" t="s">
        <v>821</v>
      </c>
      <c r="U101" t="s">
        <v>822</v>
      </c>
      <c r="V101" t="s">
        <v>823</v>
      </c>
      <c r="W101" t="s">
        <v>824</v>
      </c>
      <c r="X101" t="s">
        <v>825</v>
      </c>
      <c r="Y101" t="s">
        <v>826</v>
      </c>
      <c r="Z101" t="s">
        <v>827</v>
      </c>
    </row>
    <row r="102">
      <c r="A102" t="s">
        <v>828</v>
      </c>
      <c r="B102" t="s">
        <v>829</v>
      </c>
      <c r="C102" t="s">
        <v>32</v>
      </c>
      <c r="D102" t="s">
        <v>53</v>
      </c>
      <c r="E102">
        <v>19132</v>
      </c>
      <c r="F102">
        <v>59223</v>
      </c>
      <c r="G102">
        <v>41881</v>
      </c>
      <c r="H102">
        <v>22749</v>
      </c>
      <c r="I102">
        <v>60309</v>
      </c>
      <c r="J102" t="str">
        <f>HYPERLINK("https://www.eneba.com/latam/steam-nier-automata-game-of-the-yorha-edition-steam-key-pc-latam","Abrir compra")</f>
        <v>Abrir compra</v>
      </c>
      <c r="K102" t="str">
        <f>HYPERLINK("https://store.steampowered.com/app/524220/NieRAutomata/?curator_clanid=4777282","Abrir Steam")</f>
        <v>Abrir Steam</v>
      </c>
      <c r="L102" t="s">
        <v>54</v>
      </c>
      <c r="M102" t="s">
        <v>106</v>
      </c>
      <c r="N102" t="s">
        <v>32</v>
      </c>
      <c r="O102" t="s">
        <v>830</v>
      </c>
      <c r="P102" t="s">
        <v>831</v>
      </c>
      <c r="Q102" t="s">
        <v>32</v>
      </c>
      <c r="R102" t="s">
        <v>832</v>
      </c>
      <c r="S102" t="s">
        <v>37</v>
      </c>
      <c r="T102" t="s">
        <v>833</v>
      </c>
      <c r="U102" t="s">
        <v>834</v>
      </c>
      <c r="V102" t="s">
        <v>835</v>
      </c>
      <c r="W102" t="s">
        <v>836</v>
      </c>
      <c r="X102" t="s">
        <v>837</v>
      </c>
      <c r="Y102" t="s">
        <v>838</v>
      </c>
      <c r="Z102" t="s">
        <v>839</v>
      </c>
    </row>
    <row r="103">
      <c r="A103" t="s">
        <v>828</v>
      </c>
      <c r="B103" t="s">
        <v>840</v>
      </c>
      <c r="C103" t="s">
        <v>28</v>
      </c>
      <c r="D103" t="s">
        <v>29</v>
      </c>
      <c r="E103">
        <v>7570</v>
      </c>
      <c r="F103">
        <v>59223</v>
      </c>
      <c r="G103">
        <v>32125</v>
      </c>
      <c r="H103">
        <v>24555</v>
      </c>
      <c r="I103">
        <v>46260</v>
      </c>
      <c r="J103" t="str">
        <f>HYPERLINK("https://driffle.com/es/nier-automata-game-of-the-yorha-edition-global-pc-steam-account-p9979549","Abrir compra")</f>
        <v>Abrir compra</v>
      </c>
      <c r="K103" t="str">
        <f>HYPERLINK("https://store.steampowered.com/app/524220/NieRAutomata/?curator_clanid=4777282","Abrir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37</v>
      </c>
      <c r="T103" t="s">
        <v>37</v>
      </c>
      <c r="U103" t="s">
        <v>844</v>
      </c>
      <c r="V103" t="s">
        <v>37</v>
      </c>
      <c r="W103" t="s">
        <v>845</v>
      </c>
      <c r="X103" t="s">
        <v>37</v>
      </c>
      <c r="Y103" t="s">
        <v>846</v>
      </c>
      <c r="Z103" t="s">
        <v>37</v>
      </c>
    </row>
    <row r="104">
      <c r="A104" t="s">
        <v>847</v>
      </c>
      <c r="B104" t="s">
        <v>270</v>
      </c>
      <c r="C104" t="s">
        <v>32</v>
      </c>
      <c r="D104" t="s">
        <v>53</v>
      </c>
      <c r="E104">
        <v>47431</v>
      </c>
      <c r="F104">
        <v>103654</v>
      </c>
      <c r="G104">
        <v>71617</v>
      </c>
      <c r="H104">
        <v>24186</v>
      </c>
      <c r="I104">
        <v>103128</v>
      </c>
      <c r="J104" t="str">
        <f>HYPERLINK("https://driffle.com/es/persona-3-reload-deluxe-edition-pc-steam-digital-code-p9889103","Abrir compra")</f>
        <v>Abrir compra</v>
      </c>
      <c r="K104" t="str">
        <f>HYPERLINK("https://store.steampowered.com/app/2161700/Persona_3_Reload/","Abrir Steam")</f>
        <v>Abrir Steam</v>
      </c>
      <c r="L104" t="s">
        <v>43</v>
      </c>
      <c r="M104" t="s">
        <v>44</v>
      </c>
      <c r="N104" t="s">
        <v>32</v>
      </c>
      <c r="O104" t="s">
        <v>848</v>
      </c>
      <c r="P104" t="s">
        <v>849</v>
      </c>
      <c r="Q104" t="s">
        <v>32</v>
      </c>
      <c r="R104" t="s">
        <v>850</v>
      </c>
      <c r="S104" t="s">
        <v>37</v>
      </c>
      <c r="T104" t="s">
        <v>37</v>
      </c>
      <c r="U104" t="s">
        <v>851</v>
      </c>
      <c r="V104" t="s">
        <v>37</v>
      </c>
      <c r="W104" t="s">
        <v>852</v>
      </c>
      <c r="X104" t="s">
        <v>853</v>
      </c>
      <c r="Y104" t="s">
        <v>854</v>
      </c>
      <c r="Z104" t="s">
        <v>855</v>
      </c>
    </row>
    <row r="105">
      <c r="A105" t="s">
        <v>847</v>
      </c>
      <c r="B105" t="s">
        <v>65</v>
      </c>
      <c r="C105" t="s">
        <v>32</v>
      </c>
      <c r="D105" t="s">
        <v>53</v>
      </c>
      <c r="E105">
        <v>28251</v>
      </c>
      <c r="F105">
        <v>88844</v>
      </c>
      <c r="G105">
        <v>55251</v>
      </c>
      <c r="H105">
        <v>27000</v>
      </c>
      <c r="I105">
        <v>79561</v>
      </c>
      <c r="J105" t="str">
        <f>HYPERLINK("https://www.loaded.com/es_es/persona-3-reload-pc-steam-ww","Abrir compra")</f>
        <v>Abrir compra</v>
      </c>
      <c r="K105" t="str">
        <f>HYPERLINK("https://store.steampowered.com/app/2161700/Persona_3_Reload/","Abrir Steam")</f>
        <v>Abrir Steam</v>
      </c>
      <c r="L105" t="s">
        <v>66</v>
      </c>
      <c r="M105" t="s">
        <v>31</v>
      </c>
      <c r="N105" t="s">
        <v>32</v>
      </c>
      <c r="O105" t="s">
        <v>856</v>
      </c>
      <c r="P105" t="s">
        <v>857</v>
      </c>
      <c r="Q105" t="s">
        <v>32</v>
      </c>
      <c r="R105" t="s">
        <v>858</v>
      </c>
      <c r="S105" t="s">
        <v>37</v>
      </c>
      <c r="T105" t="s">
        <v>859</v>
      </c>
      <c r="U105" t="s">
        <v>860</v>
      </c>
      <c r="V105" t="s">
        <v>823</v>
      </c>
      <c r="W105" t="s">
        <v>861</v>
      </c>
      <c r="X105" t="s">
        <v>862</v>
      </c>
      <c r="Y105" t="s">
        <v>863</v>
      </c>
      <c r="Z105" t="s">
        <v>864</v>
      </c>
    </row>
    <row r="106">
      <c r="A106" t="s">
        <v>865</v>
      </c>
      <c r="B106" t="s">
        <v>270</v>
      </c>
      <c r="C106" t="s">
        <v>32</v>
      </c>
      <c r="D106" t="s">
        <v>53</v>
      </c>
      <c r="E106">
        <v>76943</v>
      </c>
      <c r="F106">
        <v>98119</v>
      </c>
      <c r="G106">
        <v>111943</v>
      </c>
      <c r="H106">
        <v>35000</v>
      </c>
      <c r="I106">
        <v>161198</v>
      </c>
      <c r="J106" t="str">
        <f>HYPERLINK("https://www.eneba.com/latam/steam-pragmata-deluxe-edition-steam-key-pc-latam","Abrir compra")</f>
        <v>Abrir compra</v>
      </c>
      <c r="K106" t="str">
        <f>HYPERLINK("https://store.steampowered.com/app/3357650/PRAGMATA/","Abrir Steam")</f>
        <v>Abrir Steam</v>
      </c>
      <c r="L106" t="s">
        <v>54</v>
      </c>
      <c r="M106" t="s">
        <v>106</v>
      </c>
      <c r="N106" t="s">
        <v>32</v>
      </c>
      <c r="O106" t="s">
        <v>866</v>
      </c>
      <c r="P106" t="s">
        <v>867</v>
      </c>
      <c r="Q106" t="s">
        <v>32</v>
      </c>
      <c r="R106" t="s">
        <v>868</v>
      </c>
      <c r="S106" t="s">
        <v>37</v>
      </c>
      <c r="T106" t="s">
        <v>869</v>
      </c>
      <c r="U106" t="s">
        <v>870</v>
      </c>
      <c r="V106" t="s">
        <v>37</v>
      </c>
      <c r="W106" t="s">
        <v>871</v>
      </c>
      <c r="X106" t="s">
        <v>872</v>
      </c>
      <c r="Y106" t="s">
        <v>873</v>
      </c>
      <c r="Z106" t="s">
        <v>874</v>
      </c>
    </row>
    <row r="107">
      <c r="A107" t="s">
        <v>865</v>
      </c>
      <c r="B107" t="s">
        <v>27</v>
      </c>
      <c r="C107" t="s">
        <v>28</v>
      </c>
      <c r="D107" t="s">
        <v>29</v>
      </c>
      <c r="E107">
        <v>87931</v>
      </c>
      <c r="F107">
        <v>98119</v>
      </c>
      <c r="G107">
        <v>102931</v>
      </c>
      <c r="H107">
        <v>15000</v>
      </c>
      <c r="I107">
        <v>148221</v>
      </c>
      <c r="J107" t="str">
        <f>HYPERLINK("https://www.kinguin.net/es/category/431201/pragmata-deluxe-edition-pc-steam-account","Abrir compra")</f>
        <v>Abrir compra</v>
      </c>
      <c r="K107" t="str">
        <f>HYPERLINK("https://store.steampowered.com/app/3357650/PRAGMATA/","Abrir Steam")</f>
        <v>Abrir Steam</v>
      </c>
      <c r="L107" t="s">
        <v>30</v>
      </c>
      <c r="M107" t="s">
        <v>31</v>
      </c>
      <c r="N107" t="s">
        <v>32</v>
      </c>
      <c r="O107" t="s">
        <v>875</v>
      </c>
      <c r="P107" t="s">
        <v>876</v>
      </c>
      <c r="Q107" t="s">
        <v>32</v>
      </c>
      <c r="R107" t="s">
        <v>877</v>
      </c>
      <c r="S107" t="s">
        <v>878</v>
      </c>
      <c r="T107" t="s">
        <v>37</v>
      </c>
      <c r="U107" t="s">
        <v>37</v>
      </c>
      <c r="V107" t="s">
        <v>37</v>
      </c>
      <c r="W107" t="s">
        <v>879</v>
      </c>
      <c r="X107" t="s">
        <v>37</v>
      </c>
      <c r="Y107" t="s">
        <v>880</v>
      </c>
      <c r="Z107" t="s">
        <v>37</v>
      </c>
    </row>
    <row r="108">
      <c r="A108" t="s">
        <v>865</v>
      </c>
      <c r="B108" t="s">
        <v>42</v>
      </c>
      <c r="C108" t="s">
        <v>28</v>
      </c>
      <c r="D108" t="s">
        <v>29</v>
      </c>
      <c r="E108">
        <v>53196</v>
      </c>
      <c r="F108">
        <v>83309</v>
      </c>
      <c r="G108">
        <v>68196</v>
      </c>
      <c r="H108">
        <v>15000</v>
      </c>
      <c r="I108">
        <v>98202</v>
      </c>
      <c r="J108" t="str">
        <f>HYPERLINK("https://www.kinguin.net/es/category/428363/pragmata-pc-steam-account","Abrir compra")</f>
        <v>Abrir compra</v>
      </c>
      <c r="K108" t="str">
        <f>HYPERLINK("https://store.steampowered.com/app/3357650/PRAGMATA/","Abrir Steam")</f>
        <v>Abrir Steam</v>
      </c>
      <c r="L108" t="s">
        <v>30</v>
      </c>
      <c r="M108" t="s">
        <v>31</v>
      </c>
      <c r="N108" t="s">
        <v>32</v>
      </c>
      <c r="O108" t="s">
        <v>881</v>
      </c>
      <c r="P108" t="s">
        <v>882</v>
      </c>
      <c r="Q108" t="s">
        <v>32</v>
      </c>
      <c r="R108" t="s">
        <v>883</v>
      </c>
      <c r="S108" t="s">
        <v>884</v>
      </c>
      <c r="T108" t="s">
        <v>37</v>
      </c>
      <c r="U108" t="s">
        <v>37</v>
      </c>
      <c r="V108" t="s">
        <v>37</v>
      </c>
      <c r="W108" t="s">
        <v>885</v>
      </c>
      <c r="X108" t="s">
        <v>37</v>
      </c>
      <c r="Y108" t="s">
        <v>886</v>
      </c>
      <c r="Z108" t="s">
        <v>37</v>
      </c>
    </row>
    <row r="109">
      <c r="A109" t="s">
        <v>887</v>
      </c>
      <c r="B109" t="s">
        <v>65</v>
      </c>
      <c r="C109" t="s">
        <v>32</v>
      </c>
      <c r="D109" t="s">
        <v>53</v>
      </c>
      <c r="E109">
        <v>18318</v>
      </c>
      <c r="F109">
        <v>61074</v>
      </c>
      <c r="G109">
        <v>42335</v>
      </c>
      <c r="H109">
        <v>24017</v>
      </c>
      <c r="I109">
        <v>60962</v>
      </c>
      <c r="J109" t="str">
        <f>HYPERLINK("https://www.eneba.com/latam/steam-ready-or-not-pc-steam-key-latam","Abrir compra")</f>
        <v>Abrir compra</v>
      </c>
      <c r="K109" t="str">
        <f>HYPERLINK("https://store.steampowered.com/app/1144200/Ready_or_Not/","Abrir Steam")</f>
        <v>Abrir Steam</v>
      </c>
      <c r="L109" t="s">
        <v>54</v>
      </c>
      <c r="M109" t="s">
        <v>106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37</v>
      </c>
      <c r="T109" t="s">
        <v>891</v>
      </c>
      <c r="U109" t="s">
        <v>892</v>
      </c>
      <c r="V109" t="s">
        <v>37</v>
      </c>
      <c r="W109" t="s">
        <v>893</v>
      </c>
      <c r="X109" t="s">
        <v>894</v>
      </c>
      <c r="Y109" t="s">
        <v>895</v>
      </c>
      <c r="Z109" t="s">
        <v>896</v>
      </c>
    </row>
    <row r="110">
      <c r="A110" t="s">
        <v>887</v>
      </c>
      <c r="B110" t="s">
        <v>42</v>
      </c>
      <c r="C110" t="s">
        <v>28</v>
      </c>
      <c r="D110" t="s">
        <v>29</v>
      </c>
      <c r="E110">
        <v>11291</v>
      </c>
      <c r="F110">
        <v>61074</v>
      </c>
      <c r="G110">
        <v>34335</v>
      </c>
      <c r="H110">
        <v>23044</v>
      </c>
      <c r="I110">
        <v>49442</v>
      </c>
      <c r="J110" t="str">
        <f>HYPERLINK("https://driffle.com/es/ready-or-not-global-pc-steam-account-p9943438","Abrir compra")</f>
        <v>Abrir compra</v>
      </c>
      <c r="K110" t="str">
        <f>HYPERLINK("https://store.steampowered.com/app/1144200/Ready_or_Not/","Abrir Steam")</f>
        <v>Abrir Steam</v>
      </c>
      <c r="L110" t="s">
        <v>43</v>
      </c>
      <c r="M110" t="s">
        <v>44</v>
      </c>
      <c r="N110" t="s">
        <v>32</v>
      </c>
      <c r="O110" t="s">
        <v>897</v>
      </c>
      <c r="P110" t="s">
        <v>898</v>
      </c>
      <c r="Q110" t="s">
        <v>32</v>
      </c>
      <c r="R110" t="s">
        <v>899</v>
      </c>
      <c r="S110" t="s">
        <v>900</v>
      </c>
      <c r="T110" t="s">
        <v>37</v>
      </c>
      <c r="U110" t="s">
        <v>901</v>
      </c>
      <c r="V110" t="s">
        <v>37</v>
      </c>
      <c r="W110" t="s">
        <v>902</v>
      </c>
      <c r="X110" t="s">
        <v>37</v>
      </c>
      <c r="Y110" t="s">
        <v>903</v>
      </c>
      <c r="Z110" t="s">
        <v>37</v>
      </c>
    </row>
    <row r="111">
      <c r="A111" t="s">
        <v>904</v>
      </c>
      <c r="B111" t="s">
        <v>270</v>
      </c>
      <c r="C111" t="s">
        <v>32</v>
      </c>
      <c r="D111" t="s">
        <v>53</v>
      </c>
      <c r="E111">
        <v>12281</v>
      </c>
      <c r="F111">
        <v>72201</v>
      </c>
      <c r="G111">
        <v>39281</v>
      </c>
      <c r="H111">
        <v>27000</v>
      </c>
      <c r="I111">
        <v>56565</v>
      </c>
      <c r="J111" t="str">
        <f>HYPERLINK("https://www.eneba.com/latam/steam-resident-evil-2-biohazard-re-2-deluxe-edition-steam-key-latam","Abrir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54</v>
      </c>
      <c r="M111" t="s">
        <v>106</v>
      </c>
      <c r="N111" t="s">
        <v>32</v>
      </c>
      <c r="O111" t="s">
        <v>905</v>
      </c>
      <c r="P111" t="s">
        <v>906</v>
      </c>
      <c r="Q111" t="s">
        <v>32</v>
      </c>
      <c r="R111" t="s">
        <v>907</v>
      </c>
      <c r="S111" t="s">
        <v>37</v>
      </c>
      <c r="T111" t="s">
        <v>908</v>
      </c>
      <c r="U111" t="s">
        <v>909</v>
      </c>
      <c r="V111" t="s">
        <v>37</v>
      </c>
      <c r="W111" t="s">
        <v>910</v>
      </c>
      <c r="X111" t="s">
        <v>911</v>
      </c>
      <c r="Y111" t="s">
        <v>912</v>
      </c>
      <c r="Z111" t="s">
        <v>37</v>
      </c>
    </row>
    <row r="112">
      <c r="A112" t="s">
        <v>904</v>
      </c>
      <c r="B112" t="s">
        <v>65</v>
      </c>
      <c r="C112" t="s">
        <v>32</v>
      </c>
      <c r="D112" t="s">
        <v>53</v>
      </c>
      <c r="E112">
        <v>9678</v>
      </c>
      <c r="F112">
        <v>53688</v>
      </c>
      <c r="G112">
        <v>39109</v>
      </c>
      <c r="H112">
        <v>29431</v>
      </c>
      <c r="I112">
        <v>56317</v>
      </c>
      <c r="J112" t="str">
        <f>HYPERLINK("https://www.eneba.com/latam/steam-resident-evil-2-biohazard-re-2-steam-key-latam","Abrir compra")</f>
        <v>Abrir compra</v>
      </c>
      <c r="K112" t="str">
        <f>HYPERLINK("https://store.steampowered.com/app/883710/Resident_Evil_2/?curator_clanid=4777282","Abrir Steam")</f>
        <v>Abrir Steam</v>
      </c>
      <c r="L112" t="s">
        <v>54</v>
      </c>
      <c r="M112" t="s">
        <v>106</v>
      </c>
      <c r="N112" t="s">
        <v>32</v>
      </c>
      <c r="O112" t="s">
        <v>913</v>
      </c>
      <c r="P112" t="s">
        <v>914</v>
      </c>
      <c r="Q112" t="s">
        <v>32</v>
      </c>
      <c r="R112" t="s">
        <v>915</v>
      </c>
      <c r="S112" t="s">
        <v>37</v>
      </c>
      <c r="T112" t="s">
        <v>916</v>
      </c>
      <c r="U112" t="s">
        <v>917</v>
      </c>
      <c r="V112" t="s">
        <v>37</v>
      </c>
      <c r="W112" t="s">
        <v>918</v>
      </c>
      <c r="X112" t="s">
        <v>919</v>
      </c>
      <c r="Y112" t="s">
        <v>920</v>
      </c>
      <c r="Z112" t="s">
        <v>37</v>
      </c>
    </row>
    <row r="113">
      <c r="A113" t="s">
        <v>904</v>
      </c>
      <c r="B113" t="s">
        <v>42</v>
      </c>
      <c r="C113" t="s">
        <v>28</v>
      </c>
      <c r="D113" t="s">
        <v>29</v>
      </c>
      <c r="E113">
        <v>10428</v>
      </c>
      <c r="F113">
        <v>53688</v>
      </c>
      <c r="G113">
        <v>31109</v>
      </c>
      <c r="H113">
        <v>20681</v>
      </c>
      <c r="I113">
        <v>44797</v>
      </c>
      <c r="J113" t="str">
        <f>HYPERLINK("https://www.kinguin.net/es/category/199156/resident-evil-2-steam-account","Abrir compra")</f>
        <v>Abrir compra</v>
      </c>
      <c r="K113" t="str">
        <f>HYPERLINK("https://store.steampowered.com/app/883710/Resident_Evil_2/?curator_clanid=4777282","Abrir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924</v>
      </c>
      <c r="T113" t="s">
        <v>37</v>
      </c>
      <c r="U113" t="s">
        <v>37</v>
      </c>
      <c r="V113" t="s">
        <v>37</v>
      </c>
      <c r="W113" t="s">
        <v>925</v>
      </c>
      <c r="X113" t="s">
        <v>37</v>
      </c>
      <c r="Y113" t="s">
        <v>37</v>
      </c>
      <c r="Z113" t="s">
        <v>37</v>
      </c>
    </row>
    <row r="114">
      <c r="A114" t="s">
        <v>926</v>
      </c>
      <c r="B114" t="s">
        <v>65</v>
      </c>
      <c r="C114" t="s">
        <v>32</v>
      </c>
      <c r="D114" t="s">
        <v>53</v>
      </c>
      <c r="E114">
        <v>8943</v>
      </c>
      <c r="F114">
        <v>53688</v>
      </c>
      <c r="G114">
        <v>37111</v>
      </c>
      <c r="H114">
        <v>28168</v>
      </c>
      <c r="I114">
        <v>53440</v>
      </c>
      <c r="J114" t="str">
        <f>HYPERLINK("https://www.eneba.com/latam/steam-resident-evil-3-steam-key-latam","Abrir compra")</f>
        <v>Abrir compra</v>
      </c>
      <c r="K114" t="str">
        <f>HYPERLINK("https://store.steampowered.com/app/952060/Resident_Evil_3/?curator_clanid=4777282","Abrir Steam")</f>
        <v>Abrir Steam</v>
      </c>
      <c r="L114" t="s">
        <v>54</v>
      </c>
      <c r="M114" t="s">
        <v>106</v>
      </c>
      <c r="N114" t="s">
        <v>32</v>
      </c>
      <c r="O114" t="s">
        <v>927</v>
      </c>
      <c r="P114" t="s">
        <v>928</v>
      </c>
      <c r="Q114" t="s">
        <v>32</v>
      </c>
      <c r="R114" t="s">
        <v>929</v>
      </c>
      <c r="S114" t="s">
        <v>37</v>
      </c>
      <c r="T114" t="s">
        <v>930</v>
      </c>
      <c r="U114" t="s">
        <v>931</v>
      </c>
      <c r="V114" t="s">
        <v>37</v>
      </c>
      <c r="W114" t="s">
        <v>932</v>
      </c>
      <c r="X114" t="s">
        <v>933</v>
      </c>
      <c r="Y114" t="s">
        <v>934</v>
      </c>
      <c r="Z114" t="s">
        <v>37</v>
      </c>
    </row>
    <row r="115">
      <c r="A115" t="s">
        <v>926</v>
      </c>
      <c r="B115" t="s">
        <v>42</v>
      </c>
      <c r="C115" t="s">
        <v>28</v>
      </c>
      <c r="D115" t="s">
        <v>29</v>
      </c>
      <c r="E115">
        <v>5047</v>
      </c>
      <c r="F115">
        <v>53688</v>
      </c>
      <c r="G115">
        <v>28957</v>
      </c>
      <c r="H115">
        <v>23910</v>
      </c>
      <c r="I115">
        <v>41698</v>
      </c>
      <c r="J115" t="str">
        <f>HYPERLINK("https://driffle.com/es/resident-evil-3-global-pc-steam-account-p9997169","Abrir compra")</f>
        <v>Abrir compra</v>
      </c>
      <c r="K115" t="str">
        <f>HYPERLINK("https://store.steampowered.com/app/952060/Resident_Evil_3/?curator_clanid=4777282","Abrir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935</v>
      </c>
      <c r="P115" t="s">
        <v>936</v>
      </c>
      <c r="Q115" t="s">
        <v>32</v>
      </c>
      <c r="R115" t="s">
        <v>937</v>
      </c>
      <c r="S115" t="s">
        <v>37</v>
      </c>
      <c r="T115" t="s">
        <v>37</v>
      </c>
      <c r="U115" t="s">
        <v>938</v>
      </c>
      <c r="V115" t="s">
        <v>37</v>
      </c>
      <c r="W115" t="s">
        <v>939</v>
      </c>
      <c r="X115" t="s">
        <v>37</v>
      </c>
      <c r="Y115" t="s">
        <v>940</v>
      </c>
      <c r="Z115" t="s">
        <v>37</v>
      </c>
    </row>
    <row r="116">
      <c r="A116" t="s">
        <v>941</v>
      </c>
      <c r="B116" t="s">
        <v>65</v>
      </c>
      <c r="C116" t="s">
        <v>32</v>
      </c>
      <c r="D116" t="s">
        <v>53</v>
      </c>
      <c r="E116">
        <v>11946</v>
      </c>
      <c r="F116">
        <v>53688</v>
      </c>
      <c r="G116">
        <v>34938</v>
      </c>
      <c r="H116">
        <v>22992</v>
      </c>
      <c r="I116">
        <v>50311</v>
      </c>
      <c r="J116" t="str">
        <f>HYPERLINK("https://www.eneba.com/latam/steam-resident-evil-4-pc-steam-key-latam","Abrir compra")</f>
        <v>Abrir compra</v>
      </c>
      <c r="K116" t="str">
        <f>HYPERLINK("https://store.steampowered.com/app/2050650/Resident_Evil_4/","Abrir Steam")</f>
        <v>Abrir Steam</v>
      </c>
      <c r="L116" t="s">
        <v>54</v>
      </c>
      <c r="M116" t="s">
        <v>106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37</v>
      </c>
      <c r="T116" t="s">
        <v>945</v>
      </c>
      <c r="U116" t="s">
        <v>946</v>
      </c>
      <c r="V116" t="s">
        <v>37</v>
      </c>
      <c r="W116" t="s">
        <v>947</v>
      </c>
      <c r="X116" t="s">
        <v>948</v>
      </c>
      <c r="Y116" t="s">
        <v>949</v>
      </c>
      <c r="Z116" t="s">
        <v>37</v>
      </c>
    </row>
    <row r="117">
      <c r="A117" t="s">
        <v>941</v>
      </c>
      <c r="B117" t="s">
        <v>950</v>
      </c>
      <c r="C117" t="s">
        <v>32</v>
      </c>
      <c r="D117" t="s">
        <v>53</v>
      </c>
      <c r="E117">
        <v>18126</v>
      </c>
      <c r="F117">
        <v>72201</v>
      </c>
      <c r="G117">
        <v>45126</v>
      </c>
      <c r="H117">
        <v>27000</v>
      </c>
      <c r="I117">
        <v>64981</v>
      </c>
      <c r="J117" t="str">
        <f>HYPERLINK("https://www.eneba.com/latam/steam-resident-evil-4-gold-edition-pc-steam-key-latam","Abrir compra")</f>
        <v>Abrir compra</v>
      </c>
      <c r="K117" t="str">
        <f>HYPERLINK("https://store.steampowered.com/app/2050650/Resident_Evil_4/","Abrir Steam")</f>
        <v>Abrir Steam</v>
      </c>
      <c r="L117" t="s">
        <v>54</v>
      </c>
      <c r="M117" t="s">
        <v>106</v>
      </c>
      <c r="N117" t="s">
        <v>32</v>
      </c>
      <c r="O117" t="s">
        <v>951</v>
      </c>
      <c r="P117" t="s">
        <v>952</v>
      </c>
      <c r="Q117" t="s">
        <v>32</v>
      </c>
      <c r="R117" t="s">
        <v>953</v>
      </c>
      <c r="S117" t="s">
        <v>37</v>
      </c>
      <c r="T117" t="s">
        <v>954</v>
      </c>
      <c r="U117" t="s">
        <v>37</v>
      </c>
      <c r="V117" t="s">
        <v>37</v>
      </c>
      <c r="W117" t="s">
        <v>955</v>
      </c>
      <c r="X117" t="s">
        <v>956</v>
      </c>
      <c r="Y117" t="s">
        <v>37</v>
      </c>
      <c r="Z117" t="s">
        <v>37</v>
      </c>
    </row>
    <row r="118">
      <c r="A118" t="s">
        <v>957</v>
      </c>
      <c r="B118" t="s">
        <v>950</v>
      </c>
      <c r="C118" t="s">
        <v>32</v>
      </c>
      <c r="D118" t="s">
        <v>53</v>
      </c>
      <c r="E118">
        <v>12409</v>
      </c>
      <c r="F118">
        <v>83309</v>
      </c>
      <c r="G118">
        <v>39409</v>
      </c>
      <c r="H118">
        <v>27000</v>
      </c>
      <c r="I118">
        <v>56749</v>
      </c>
      <c r="J118" t="str">
        <f>HYPERLINK("https://www.eneba.com/latam/steam-resident-evil-7-biohazard-gold-edition-steam-key-latam","Abrir compra")</f>
        <v>Abrir compra</v>
      </c>
      <c r="K118" t="str">
        <f>HYPERLINK("https://store.steampowered.com/app/418370/Resident_Evil_7_Biohazard/","Abrir Steam")</f>
        <v>Abrir Steam</v>
      </c>
      <c r="L118" t="s">
        <v>54</v>
      </c>
      <c r="M118" t="s">
        <v>106</v>
      </c>
      <c r="N118" t="s">
        <v>32</v>
      </c>
      <c r="O118" t="s">
        <v>958</v>
      </c>
      <c r="P118" t="s">
        <v>959</v>
      </c>
      <c r="Q118" t="s">
        <v>32</v>
      </c>
      <c r="R118" t="s">
        <v>960</v>
      </c>
      <c r="S118" t="s">
        <v>961</v>
      </c>
      <c r="T118" t="s">
        <v>962</v>
      </c>
      <c r="U118" t="s">
        <v>963</v>
      </c>
      <c r="V118" t="s">
        <v>37</v>
      </c>
      <c r="W118" t="s">
        <v>964</v>
      </c>
      <c r="X118" t="s">
        <v>965</v>
      </c>
      <c r="Y118" t="s">
        <v>966</v>
      </c>
      <c r="Z118" t="s">
        <v>37</v>
      </c>
    </row>
    <row r="119">
      <c r="A119" t="s">
        <v>967</v>
      </c>
      <c r="B119" t="s">
        <v>65</v>
      </c>
      <c r="C119" t="s">
        <v>32</v>
      </c>
      <c r="D119" t="s">
        <v>53</v>
      </c>
      <c r="E119">
        <v>63704</v>
      </c>
      <c r="F119">
        <v>98119</v>
      </c>
      <c r="G119">
        <v>78704</v>
      </c>
      <c r="H119">
        <v>15000</v>
      </c>
      <c r="I119">
        <v>113334</v>
      </c>
      <c r="J119" t="str">
        <f>HYPERLINK("https://www.eneba.com/latam/steam-resident-evil-requiem-steam-key-pc-latam","Abrir compra")</f>
        <v>Abrir compra</v>
      </c>
      <c r="K119" t="str">
        <f>HYPERLINK("https://store.steampowered.com/app/3764200/Resident_Evil_Requiem/","Abrir Steam")</f>
        <v>Abrir Steam</v>
      </c>
      <c r="L119" t="s">
        <v>54</v>
      </c>
      <c r="M119" t="s">
        <v>106</v>
      </c>
      <c r="N119" t="s">
        <v>32</v>
      </c>
      <c r="O119" t="s">
        <v>968</v>
      </c>
      <c r="P119" t="s">
        <v>969</v>
      </c>
      <c r="Q119" t="s">
        <v>32</v>
      </c>
      <c r="R119" t="s">
        <v>970</v>
      </c>
      <c r="S119" t="s">
        <v>971</v>
      </c>
      <c r="T119" t="s">
        <v>972</v>
      </c>
      <c r="U119" t="s">
        <v>973</v>
      </c>
      <c r="V119" t="s">
        <v>37</v>
      </c>
      <c r="W119" t="s">
        <v>974</v>
      </c>
      <c r="X119" t="s">
        <v>975</v>
      </c>
      <c r="Y119" t="s">
        <v>976</v>
      </c>
      <c r="Z119" t="s">
        <v>977</v>
      </c>
    </row>
    <row r="120">
      <c r="A120" t="s">
        <v>978</v>
      </c>
      <c r="B120" t="s">
        <v>65</v>
      </c>
      <c r="C120" t="s">
        <v>32</v>
      </c>
      <c r="D120" t="s">
        <v>53</v>
      </c>
      <c r="E120">
        <v>11754</v>
      </c>
      <c r="F120">
        <v>53688</v>
      </c>
      <c r="G120">
        <v>34938</v>
      </c>
      <c r="H120">
        <v>23184</v>
      </c>
      <c r="I120">
        <v>50311</v>
      </c>
      <c r="J120" t="str">
        <f>HYPERLINK("https://www.eneba.com/latam/steam-resident-evil-village-resident-evil-8-steam-key-latam","Abrir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54</v>
      </c>
      <c r="M120" t="s">
        <v>106</v>
      </c>
      <c r="N120" t="s">
        <v>32</v>
      </c>
      <c r="O120" t="s">
        <v>979</v>
      </c>
      <c r="P120" t="s">
        <v>980</v>
      </c>
      <c r="Q120" t="s">
        <v>32</v>
      </c>
      <c r="R120" t="s">
        <v>981</v>
      </c>
      <c r="S120" t="s">
        <v>37</v>
      </c>
      <c r="T120" t="s">
        <v>982</v>
      </c>
      <c r="U120" t="s">
        <v>983</v>
      </c>
      <c r="V120" t="s">
        <v>37</v>
      </c>
      <c r="W120" t="s">
        <v>984</v>
      </c>
      <c r="X120" t="s">
        <v>985</v>
      </c>
      <c r="Y120" t="s">
        <v>986</v>
      </c>
      <c r="Z120" t="s">
        <v>987</v>
      </c>
    </row>
    <row r="121">
      <c r="A121" t="s">
        <v>978</v>
      </c>
      <c r="B121" t="s">
        <v>950</v>
      </c>
      <c r="C121" t="s">
        <v>32</v>
      </c>
      <c r="D121" t="s">
        <v>53</v>
      </c>
      <c r="E121">
        <v>18509</v>
      </c>
      <c r="F121">
        <v>72201</v>
      </c>
      <c r="G121">
        <v>45509</v>
      </c>
      <c r="H121">
        <v>27000</v>
      </c>
      <c r="I121">
        <v>65533</v>
      </c>
      <c r="J121" t="str">
        <f>HYPERLINK("https://www.eneba.com/latam/steam-resident-evil-village-resident-evil-8-gold-edition-pc-steam-key-latam","Abrir compra")</f>
        <v>Abrir compra</v>
      </c>
      <c r="K121" t="str">
        <f>HYPERLINK("https://store.steampowered.com/app/1196590/Resident_Evil_Village/?l=spanish","Abrir Steam")</f>
        <v>Abrir Steam</v>
      </c>
      <c r="L121" t="s">
        <v>54</v>
      </c>
      <c r="M121" t="s">
        <v>106</v>
      </c>
      <c r="N121" t="s">
        <v>32</v>
      </c>
      <c r="O121" t="s">
        <v>988</v>
      </c>
      <c r="P121" t="s">
        <v>989</v>
      </c>
      <c r="Q121" t="s">
        <v>32</v>
      </c>
      <c r="R121" t="s">
        <v>990</v>
      </c>
      <c r="S121" t="s">
        <v>37</v>
      </c>
      <c r="T121" t="s">
        <v>575</v>
      </c>
      <c r="U121" t="s">
        <v>991</v>
      </c>
      <c r="V121" t="s">
        <v>37</v>
      </c>
      <c r="W121" t="s">
        <v>992</v>
      </c>
      <c r="X121" t="s">
        <v>993</v>
      </c>
      <c r="Y121" t="s">
        <v>994</v>
      </c>
      <c r="Z121" t="s">
        <v>995</v>
      </c>
    </row>
    <row r="122">
      <c r="A122" t="s">
        <v>996</v>
      </c>
      <c r="B122" t="s">
        <v>65</v>
      </c>
      <c r="C122" t="s">
        <v>32</v>
      </c>
      <c r="D122" t="s">
        <v>53</v>
      </c>
      <c r="E122">
        <v>12089</v>
      </c>
      <c r="F122">
        <v>53688</v>
      </c>
      <c r="G122">
        <v>34995</v>
      </c>
      <c r="H122">
        <v>22906</v>
      </c>
      <c r="I122">
        <v>50393</v>
      </c>
      <c r="J122" t="str">
        <f>HYPERLINK("https://driffle.com/es/resident-evil-raccoon-city-edition-global-pc-steam-digital-key-p9960425","Abrir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43</v>
      </c>
      <c r="M122" t="s">
        <v>44</v>
      </c>
      <c r="N122" t="s">
        <v>32</v>
      </c>
      <c r="O122" t="s">
        <v>997</v>
      </c>
      <c r="P122" t="s">
        <v>998</v>
      </c>
      <c r="Q122" t="s">
        <v>32</v>
      </c>
      <c r="R122" t="s">
        <v>999</v>
      </c>
      <c r="S122" t="s">
        <v>37</v>
      </c>
      <c r="T122" t="s">
        <v>37</v>
      </c>
      <c r="U122" t="s">
        <v>1000</v>
      </c>
      <c r="V122" t="s">
        <v>37</v>
      </c>
      <c r="W122" t="s">
        <v>1001</v>
      </c>
      <c r="X122" t="s">
        <v>1002</v>
      </c>
      <c r="Y122" t="s">
        <v>1003</v>
      </c>
      <c r="Z122" t="s">
        <v>37</v>
      </c>
    </row>
    <row r="123">
      <c r="A123" t="s">
        <v>1004</v>
      </c>
      <c r="B123" t="s">
        <v>1005</v>
      </c>
      <c r="C123" t="s">
        <v>28</v>
      </c>
      <c r="D123" t="s">
        <v>29</v>
      </c>
      <c r="E123">
        <v>17823</v>
      </c>
      <c r="F123">
        <v>51818</v>
      </c>
      <c r="G123">
        <v>33338</v>
      </c>
      <c r="H123">
        <v>15515</v>
      </c>
      <c r="I123">
        <v>48007</v>
      </c>
      <c r="J123" t="str">
        <f>HYPERLINK("https://driffle.com/es/sea-of-thieves-2026-edition-global-pc-steam-account-p9992474","Abrir compra")</f>
        <v>Abrir compra</v>
      </c>
      <c r="K123" t="str">
        <f>HYPERLINK("https://store.steampowered.com/app/1172620/Sea_of_Thieves_2026_Edition/","Abrir Steam")</f>
        <v>Abrir Steam</v>
      </c>
      <c r="L123" t="s">
        <v>43</v>
      </c>
      <c r="M123" t="s">
        <v>106</v>
      </c>
      <c r="N123" t="s">
        <v>32</v>
      </c>
      <c r="O123" t="s">
        <v>1006</v>
      </c>
      <c r="P123" t="s">
        <v>1007</v>
      </c>
      <c r="Q123" t="s">
        <v>32</v>
      </c>
      <c r="R123" t="s">
        <v>1008</v>
      </c>
      <c r="S123" t="s">
        <v>37</v>
      </c>
      <c r="T123" t="s">
        <v>37</v>
      </c>
      <c r="U123" t="s">
        <v>1009</v>
      </c>
      <c r="V123" t="s">
        <v>37</v>
      </c>
      <c r="W123" t="s">
        <v>1010</v>
      </c>
      <c r="X123" t="s">
        <v>37</v>
      </c>
      <c r="Y123" t="s">
        <v>1011</v>
      </c>
      <c r="Z123" t="s">
        <v>37</v>
      </c>
    </row>
    <row r="124">
      <c r="A124" t="s">
        <v>1012</v>
      </c>
      <c r="B124" t="s">
        <v>65</v>
      </c>
      <c r="C124" t="s">
        <v>32</v>
      </c>
      <c r="D124" t="s">
        <v>53</v>
      </c>
      <c r="E124">
        <v>46010</v>
      </c>
      <c r="F124">
        <v>61074</v>
      </c>
      <c r="G124">
        <v>61010</v>
      </c>
      <c r="H124">
        <v>15000</v>
      </c>
      <c r="I124">
        <v>87854</v>
      </c>
      <c r="J124" t="str">
        <f>HYPERLINK("https://www.eneba.com/latam/steam-silent-hill-2-pc-steam-key-global","Abrir compra")</f>
        <v>Abrir compra</v>
      </c>
      <c r="K124" t="str">
        <f>HYPERLINK("https://store.steampowered.com/app/2124490/SILENT_HILL_2/","Abrir Steam")</f>
        <v>Abrir Steam</v>
      </c>
      <c r="L124" t="s">
        <v>54</v>
      </c>
      <c r="M124" t="s">
        <v>44</v>
      </c>
      <c r="N124" t="s">
        <v>32</v>
      </c>
      <c r="O124" t="s">
        <v>1013</v>
      </c>
      <c r="P124" t="s">
        <v>1014</v>
      </c>
      <c r="Q124" t="s">
        <v>32</v>
      </c>
      <c r="R124" t="s">
        <v>1015</v>
      </c>
      <c r="S124" t="s">
        <v>37</v>
      </c>
      <c r="T124" t="s">
        <v>1016</v>
      </c>
      <c r="U124" t="s">
        <v>1017</v>
      </c>
      <c r="V124" t="s">
        <v>37</v>
      </c>
      <c r="W124" t="s">
        <v>1018</v>
      </c>
      <c r="X124" t="s">
        <v>1019</v>
      </c>
      <c r="Y124" t="s">
        <v>1020</v>
      </c>
      <c r="Z124" t="s">
        <v>1021</v>
      </c>
    </row>
    <row r="125">
      <c r="A125" t="s">
        <v>1012</v>
      </c>
      <c r="B125" t="s">
        <v>42</v>
      </c>
      <c r="C125" t="s">
        <v>28</v>
      </c>
      <c r="D125" t="s">
        <v>29</v>
      </c>
      <c r="E125">
        <v>34831</v>
      </c>
      <c r="F125">
        <v>61074</v>
      </c>
      <c r="G125">
        <v>49831</v>
      </c>
      <c r="H125">
        <v>15000</v>
      </c>
      <c r="I125">
        <v>71757</v>
      </c>
      <c r="J125" t="str">
        <f>HYPERLINK("https://driffle.com/es/silent-hill-2-global-pc-steam-account-p9962323","Abrir compra")</f>
        <v>Abrir compra</v>
      </c>
      <c r="K125" t="str">
        <f>HYPERLINK("https://store.steampowered.com/app/2124490/SILENT_HILL_2/","Abrir Steam")</f>
        <v>Abrir Steam</v>
      </c>
      <c r="L125" t="s">
        <v>43</v>
      </c>
      <c r="M125" t="s">
        <v>106</v>
      </c>
      <c r="N125" t="s">
        <v>32</v>
      </c>
      <c r="O125" t="s">
        <v>1022</v>
      </c>
      <c r="P125" t="s">
        <v>1023</v>
      </c>
      <c r="Q125" t="s">
        <v>32</v>
      </c>
      <c r="R125" t="s">
        <v>1024</v>
      </c>
      <c r="S125" t="s">
        <v>37</v>
      </c>
      <c r="T125" t="s">
        <v>37</v>
      </c>
      <c r="U125" t="s">
        <v>1025</v>
      </c>
      <c r="V125" t="s">
        <v>37</v>
      </c>
      <c r="W125" t="s">
        <v>1026</v>
      </c>
      <c r="X125" t="s">
        <v>37</v>
      </c>
      <c r="Y125" t="s">
        <v>1027</v>
      </c>
      <c r="Z125" t="s">
        <v>37</v>
      </c>
    </row>
    <row r="126">
      <c r="A126" t="s">
        <v>1028</v>
      </c>
      <c r="B126" t="s">
        <v>65</v>
      </c>
      <c r="C126" t="s">
        <v>32</v>
      </c>
      <c r="D126" t="s">
        <v>53</v>
      </c>
      <c r="E126">
        <v>71929</v>
      </c>
      <c r="F126">
        <v>92546</v>
      </c>
      <c r="G126">
        <v>88613</v>
      </c>
      <c r="H126">
        <v>16684</v>
      </c>
      <c r="I126">
        <v>127603</v>
      </c>
      <c r="J126" t="str">
        <f>HYPERLINK("https://driffle.com/es/split-fiction-global-pc-steam-digital-key-p9929426","Abrir compra")</f>
        <v>Abrir compra</v>
      </c>
      <c r="K126" t="str">
        <f>HYPERLINK("https://store.steampowered.com/app/2001120/Split_Fiction/?curator_clanid=4777282","Abrir Steam")</f>
        <v>Abrir Steam</v>
      </c>
      <c r="L126" t="s">
        <v>43</v>
      </c>
      <c r="M126" t="s">
        <v>44</v>
      </c>
      <c r="N126" t="s">
        <v>32</v>
      </c>
      <c r="O126" t="s">
        <v>1029</v>
      </c>
      <c r="P126" t="s">
        <v>1030</v>
      </c>
      <c r="Q126" t="s">
        <v>32</v>
      </c>
      <c r="R126" t="s">
        <v>1031</v>
      </c>
      <c r="S126" t="s">
        <v>37</v>
      </c>
      <c r="T126" t="s">
        <v>37</v>
      </c>
      <c r="U126" t="s">
        <v>1032</v>
      </c>
      <c r="V126" t="s">
        <v>37</v>
      </c>
      <c r="W126" t="s">
        <v>1033</v>
      </c>
      <c r="X126" t="s">
        <v>1034</v>
      </c>
      <c r="Y126" t="s">
        <v>1035</v>
      </c>
      <c r="Z126" t="s">
        <v>37</v>
      </c>
    </row>
    <row r="127">
      <c r="A127" t="s">
        <v>1028</v>
      </c>
      <c r="B127" t="s">
        <v>42</v>
      </c>
      <c r="C127" t="s">
        <v>28</v>
      </c>
      <c r="D127" t="s">
        <v>29</v>
      </c>
      <c r="E127">
        <v>34128</v>
      </c>
      <c r="F127">
        <v>92546</v>
      </c>
      <c r="G127">
        <v>55744</v>
      </c>
      <c r="H127">
        <v>21616</v>
      </c>
      <c r="I127">
        <v>80271</v>
      </c>
      <c r="J127" t="str">
        <f>HYPERLINK("https://driffle.com/es/split-fiction-global-pc-steam-account-p9945656","Abrir compra")</f>
        <v>Abrir compra</v>
      </c>
      <c r="K127" t="str">
        <f>HYPERLINK("https://store.steampowered.com/app/2001120/Split_Fiction/?curator_clanid=4777282","Abrir Steam")</f>
        <v>Abrir Steam</v>
      </c>
      <c r="L127" t="s">
        <v>43</v>
      </c>
      <c r="M127" t="s">
        <v>44</v>
      </c>
      <c r="N127" t="s">
        <v>32</v>
      </c>
      <c r="O127" t="s">
        <v>1036</v>
      </c>
      <c r="P127" t="s">
        <v>1037</v>
      </c>
      <c r="Q127" t="s">
        <v>32</v>
      </c>
      <c r="R127" t="s">
        <v>1038</v>
      </c>
      <c r="S127" t="s">
        <v>37</v>
      </c>
      <c r="T127" t="s">
        <v>37</v>
      </c>
      <c r="U127" t="s">
        <v>1039</v>
      </c>
      <c r="V127" t="s">
        <v>37</v>
      </c>
      <c r="W127" t="s">
        <v>1040</v>
      </c>
      <c r="X127" t="s">
        <v>37</v>
      </c>
      <c r="Y127" t="s">
        <v>1041</v>
      </c>
      <c r="Z127" t="s">
        <v>37</v>
      </c>
    </row>
    <row r="128">
      <c r="A128" t="s">
        <v>1042</v>
      </c>
      <c r="B128" t="s">
        <v>42</v>
      </c>
      <c r="C128" t="s">
        <v>28</v>
      </c>
      <c r="D128" t="s">
        <v>29</v>
      </c>
      <c r="E128">
        <v>12377</v>
      </c>
      <c r="F128">
        <v>129572</v>
      </c>
      <c r="G128">
        <v>39377</v>
      </c>
      <c r="H128">
        <v>27000</v>
      </c>
      <c r="I128">
        <v>56703</v>
      </c>
      <c r="J128" t="str">
        <f>HYPERLINK("https://driffle.com/es/star-wars-jedi-survivor-global-pc-steam-account-p9971599","Abrir compra")</f>
        <v>Abrir compra</v>
      </c>
      <c r="K128" t="str">
        <f>HYPERLINK("https://store.steampowered.com/app/1774580/STAR_WARS_Jedi_Survivor/?curator_clanid=4777282","Abrir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1043</v>
      </c>
      <c r="P128" t="s">
        <v>1044</v>
      </c>
      <c r="Q128" t="s">
        <v>32</v>
      </c>
      <c r="R128" t="s">
        <v>1045</v>
      </c>
      <c r="S128" t="s">
        <v>37</v>
      </c>
      <c r="T128" t="s">
        <v>37</v>
      </c>
      <c r="U128" t="s">
        <v>1046</v>
      </c>
      <c r="V128" t="s">
        <v>37</v>
      </c>
      <c r="W128" t="s">
        <v>1047</v>
      </c>
      <c r="X128" t="s">
        <v>37</v>
      </c>
      <c r="Y128" t="s">
        <v>1048</v>
      </c>
      <c r="Z128" t="s">
        <v>37</v>
      </c>
    </row>
    <row r="129">
      <c r="A129" t="s">
        <v>1049</v>
      </c>
      <c r="B129" t="s">
        <v>1050</v>
      </c>
      <c r="C129" t="s">
        <v>32</v>
      </c>
      <c r="D129" t="s">
        <v>53</v>
      </c>
      <c r="E129">
        <v>69869</v>
      </c>
      <c r="F129">
        <v>129572</v>
      </c>
      <c r="G129">
        <v>97179</v>
      </c>
      <c r="H129">
        <v>27310</v>
      </c>
      <c r="I129">
        <v>139938</v>
      </c>
      <c r="J129" t="str">
        <f>HYPERLINK("https://www.eneba.com/latam/steam-stellar-blade-complete-edition-steam-key-pc-latam","Abrir compra")</f>
        <v>Abrir compra</v>
      </c>
      <c r="K129" t="str">
        <f>HYPERLINK("https://store.steampowered.com/app/3489700/Stellar_Blade/","Abrir Steam")</f>
        <v>Abrir Steam</v>
      </c>
      <c r="L129" t="s">
        <v>54</v>
      </c>
      <c r="M129" t="s">
        <v>106</v>
      </c>
      <c r="N129" t="s">
        <v>32</v>
      </c>
      <c r="O129" t="s">
        <v>1051</v>
      </c>
      <c r="P129" t="s">
        <v>1052</v>
      </c>
      <c r="Q129" t="s">
        <v>32</v>
      </c>
      <c r="R129" t="s">
        <v>1053</v>
      </c>
      <c r="S129" t="s">
        <v>37</v>
      </c>
      <c r="T129" t="s">
        <v>1054</v>
      </c>
      <c r="U129" t="s">
        <v>1055</v>
      </c>
      <c r="V129" t="s">
        <v>1056</v>
      </c>
      <c r="W129" t="s">
        <v>1057</v>
      </c>
      <c r="X129" t="s">
        <v>1058</v>
      </c>
      <c r="Y129" t="s">
        <v>1059</v>
      </c>
      <c r="Z129" t="s">
        <v>1060</v>
      </c>
    </row>
    <row r="130">
      <c r="A130" t="s">
        <v>1049</v>
      </c>
      <c r="B130" t="s">
        <v>65</v>
      </c>
      <c r="C130" t="s">
        <v>32</v>
      </c>
      <c r="D130" t="s">
        <v>53</v>
      </c>
      <c r="E130">
        <v>53963</v>
      </c>
      <c r="F130">
        <v>111059</v>
      </c>
      <c r="G130">
        <v>81411</v>
      </c>
      <c r="H130">
        <v>27448</v>
      </c>
      <c r="I130">
        <v>117232</v>
      </c>
      <c r="J130" t="str">
        <f>HYPERLINK("https://www.eneba.com/latam/steam-stellar-blade-steam-key-pc-latam","Abrir compra")</f>
        <v>Abrir compra</v>
      </c>
      <c r="K130" t="str">
        <f>HYPERLINK("https://store.steampowered.com/app/3489700/Stellar_Blade/","Abrir Steam")</f>
        <v>Abrir Steam</v>
      </c>
      <c r="L130" t="s">
        <v>54</v>
      </c>
      <c r="M130" t="s">
        <v>106</v>
      </c>
      <c r="N130" t="s">
        <v>32</v>
      </c>
      <c r="O130" t="s">
        <v>1061</v>
      </c>
      <c r="P130" t="s">
        <v>1062</v>
      </c>
      <c r="Q130" t="s">
        <v>32</v>
      </c>
      <c r="R130" t="s">
        <v>1063</v>
      </c>
      <c r="S130" t="s">
        <v>37</v>
      </c>
      <c r="T130" t="s">
        <v>1064</v>
      </c>
      <c r="U130" t="s">
        <v>1065</v>
      </c>
      <c r="V130" t="s">
        <v>37</v>
      </c>
      <c r="W130" t="s">
        <v>1066</v>
      </c>
      <c r="X130" t="s">
        <v>1067</v>
      </c>
      <c r="Y130" t="s">
        <v>1068</v>
      </c>
      <c r="Z130" t="s">
        <v>1069</v>
      </c>
    </row>
    <row r="131">
      <c r="A131" t="s">
        <v>1070</v>
      </c>
      <c r="B131" t="s">
        <v>1071</v>
      </c>
      <c r="C131" t="s">
        <v>32</v>
      </c>
      <c r="D131" t="s">
        <v>53</v>
      </c>
      <c r="E131">
        <v>50098</v>
      </c>
      <c r="F131">
        <v>83309</v>
      </c>
      <c r="G131">
        <v>65098</v>
      </c>
      <c r="H131">
        <v>15000</v>
      </c>
      <c r="I131">
        <v>93741</v>
      </c>
      <c r="J131" t="str">
        <f>HYPERLINK("https://driffle.com/es/street-fighter-6-years-12-fighter-edition-latam-pc-steam-digital-key-p9940168","Abrir compra")</f>
        <v>Abrir compra</v>
      </c>
      <c r="K131" t="str">
        <f>HYPERLINK("https://store.steampowered.com/app/1364780/Street_Fighter_6/","Abrir Steam")</f>
        <v>Abrir Steam</v>
      </c>
      <c r="L131" t="s">
        <v>43</v>
      </c>
      <c r="M131" t="s">
        <v>106</v>
      </c>
      <c r="N131" t="s">
        <v>32</v>
      </c>
      <c r="O131" t="s">
        <v>1072</v>
      </c>
      <c r="P131" t="s">
        <v>1073</v>
      </c>
      <c r="Q131" t="s">
        <v>32</v>
      </c>
      <c r="R131" t="s">
        <v>1074</v>
      </c>
      <c r="S131" t="s">
        <v>37</v>
      </c>
      <c r="T131" t="s">
        <v>37</v>
      </c>
      <c r="U131" t="s">
        <v>1075</v>
      </c>
      <c r="V131" t="s">
        <v>37</v>
      </c>
      <c r="W131" t="s">
        <v>1076</v>
      </c>
      <c r="X131" t="s">
        <v>1077</v>
      </c>
      <c r="Y131" t="s">
        <v>1078</v>
      </c>
      <c r="Z131" t="s">
        <v>37</v>
      </c>
    </row>
    <row r="132">
      <c r="A132" t="s">
        <v>1070</v>
      </c>
      <c r="B132" t="s">
        <v>65</v>
      </c>
      <c r="C132" t="s">
        <v>32</v>
      </c>
      <c r="D132" t="s">
        <v>53</v>
      </c>
      <c r="E132">
        <v>24402</v>
      </c>
      <c r="F132">
        <v>55520</v>
      </c>
      <c r="G132">
        <v>41640</v>
      </c>
      <c r="H132">
        <v>17238</v>
      </c>
      <c r="I132">
        <v>59962</v>
      </c>
      <c r="J132" t="str">
        <f>HYPERLINK("https://www.eneba.com/latam/steam-street-fighter-6-pc-steam-key-latam","Abrir compra")</f>
        <v>Abrir compra</v>
      </c>
      <c r="K132" t="str">
        <f>HYPERLINK("https://store.steampowered.com/app/1364780/Street_Fighter_6/","Abrir Steam")</f>
        <v>Abrir Steam</v>
      </c>
      <c r="L132" t="s">
        <v>54</v>
      </c>
      <c r="M132" t="s">
        <v>106</v>
      </c>
      <c r="N132" t="s">
        <v>32</v>
      </c>
      <c r="O132" t="s">
        <v>1079</v>
      </c>
      <c r="P132" t="s">
        <v>1080</v>
      </c>
      <c r="Q132" t="s">
        <v>32</v>
      </c>
      <c r="R132" t="s">
        <v>1081</v>
      </c>
      <c r="S132" t="s">
        <v>37</v>
      </c>
      <c r="T132" t="s">
        <v>1082</v>
      </c>
      <c r="U132" t="s">
        <v>37</v>
      </c>
      <c r="V132" t="s">
        <v>37</v>
      </c>
      <c r="W132" t="s">
        <v>1083</v>
      </c>
      <c r="X132" t="s">
        <v>1084</v>
      </c>
      <c r="Y132" t="s">
        <v>37</v>
      </c>
      <c r="Z132" t="s">
        <v>37</v>
      </c>
    </row>
    <row r="133">
      <c r="A133" t="s">
        <v>1070</v>
      </c>
      <c r="B133" t="s">
        <v>42</v>
      </c>
      <c r="C133" t="s">
        <v>28</v>
      </c>
      <c r="D133" t="s">
        <v>29</v>
      </c>
      <c r="E133">
        <v>24290</v>
      </c>
      <c r="F133">
        <v>55520</v>
      </c>
      <c r="G133">
        <v>39290</v>
      </c>
      <c r="H133">
        <v>15000</v>
      </c>
      <c r="I133">
        <v>56578</v>
      </c>
      <c r="J133" t="str">
        <f>HYPERLINK("https://www.kinguin.net/es/category/153297/street-fighter-6-steam-account","Abrir compra")</f>
        <v>Abrir compra</v>
      </c>
      <c r="K133" t="str">
        <f>HYPERLINK("https://store.steampowered.com/app/1364780/Street_Fighter_6/","Abrir Steam")</f>
        <v>Abrir Steam</v>
      </c>
      <c r="L133" t="s">
        <v>30</v>
      </c>
      <c r="M133" t="s">
        <v>31</v>
      </c>
      <c r="N133" t="s">
        <v>32</v>
      </c>
      <c r="O133" t="s">
        <v>1085</v>
      </c>
      <c r="P133" t="s">
        <v>1086</v>
      </c>
      <c r="Q133" t="s">
        <v>32</v>
      </c>
      <c r="R133" t="s">
        <v>1087</v>
      </c>
      <c r="S133" t="s">
        <v>1088</v>
      </c>
      <c r="T133" t="s">
        <v>37</v>
      </c>
      <c r="U133" t="s">
        <v>37</v>
      </c>
      <c r="V133" t="s">
        <v>37</v>
      </c>
      <c r="W133" t="s">
        <v>1089</v>
      </c>
      <c r="X133" t="s">
        <v>37</v>
      </c>
      <c r="Y133" t="s">
        <v>37</v>
      </c>
      <c r="Z133" t="s">
        <v>37</v>
      </c>
    </row>
    <row r="134">
      <c r="A134" t="s">
        <v>1090</v>
      </c>
      <c r="B134" t="s">
        <v>65</v>
      </c>
      <c r="C134" t="s">
        <v>32</v>
      </c>
      <c r="D134" t="s">
        <v>53</v>
      </c>
      <c r="E134">
        <v>34224</v>
      </c>
      <c r="F134">
        <v>59223</v>
      </c>
      <c r="G134">
        <v>63201</v>
      </c>
      <c r="H134">
        <v>28977</v>
      </c>
      <c r="I134">
        <v>91009</v>
      </c>
      <c r="J134" t="str">
        <f>HYPERLINK("https://www.eneba.com/latam/steam-tekken-8-pc-steam-key-global","Abrir compra")</f>
        <v>Abrir compra</v>
      </c>
      <c r="K134" t="str">
        <f>HYPERLINK("https://store.steampowered.com/app/1778820/TEKKEN_8/?curator_clanid=4777282","Abrir Steam")</f>
        <v>Abrir Steam</v>
      </c>
      <c r="L134" t="s">
        <v>54</v>
      </c>
      <c r="M134" t="s">
        <v>44</v>
      </c>
      <c r="N134" t="s">
        <v>32</v>
      </c>
      <c r="O134" t="s">
        <v>1091</v>
      </c>
      <c r="P134" t="s">
        <v>1092</v>
      </c>
      <c r="Q134" t="s">
        <v>32</v>
      </c>
      <c r="R134" t="s">
        <v>1093</v>
      </c>
      <c r="S134" t="s">
        <v>37</v>
      </c>
      <c r="T134" t="s">
        <v>1094</v>
      </c>
      <c r="U134" t="s">
        <v>1095</v>
      </c>
      <c r="V134" t="s">
        <v>37</v>
      </c>
      <c r="W134" t="s">
        <v>1096</v>
      </c>
      <c r="X134" t="s">
        <v>1097</v>
      </c>
      <c r="Y134" t="s">
        <v>1098</v>
      </c>
      <c r="Z134" t="s">
        <v>1099</v>
      </c>
    </row>
    <row r="135">
      <c r="A135" t="s">
        <v>1100</v>
      </c>
      <c r="B135" t="s">
        <v>65</v>
      </c>
      <c r="C135" t="s">
        <v>32</v>
      </c>
      <c r="D135" t="s">
        <v>53</v>
      </c>
      <c r="E135">
        <v>12409</v>
      </c>
      <c r="F135">
        <v>44413</v>
      </c>
      <c r="G135">
        <v>31321</v>
      </c>
      <c r="H135">
        <v>18912</v>
      </c>
      <c r="I135">
        <v>45102</v>
      </c>
      <c r="J135" t="str">
        <f>HYPERLINK("https://driffle.com/es/the-elder-scrolls-v-skyrim-special-edition-latam-pc-steam-digital-key-p9981028","Abrir compra")</f>
        <v>Abrir compra</v>
      </c>
      <c r="K135" t="str">
        <f>HYPERLINK("https://store.steampowered.com/app/489830/The_Elder_Scrolls_V_Skyrim_Special_Edition/","Abrir Steam")</f>
        <v>Abrir Steam</v>
      </c>
      <c r="L135" t="s">
        <v>43</v>
      </c>
      <c r="M135" t="s">
        <v>106</v>
      </c>
      <c r="N135" t="s">
        <v>32</v>
      </c>
      <c r="O135" t="s">
        <v>1101</v>
      </c>
      <c r="P135" t="s">
        <v>1102</v>
      </c>
      <c r="Q135" t="s">
        <v>32</v>
      </c>
      <c r="R135" t="s">
        <v>1103</v>
      </c>
      <c r="S135" t="s">
        <v>37</v>
      </c>
      <c r="T135" t="s">
        <v>37</v>
      </c>
      <c r="U135" t="s">
        <v>962</v>
      </c>
      <c r="V135" t="s">
        <v>37</v>
      </c>
      <c r="W135" t="s">
        <v>1104</v>
      </c>
      <c r="X135" t="s">
        <v>1105</v>
      </c>
      <c r="Y135" t="s">
        <v>1106</v>
      </c>
      <c r="Z135" t="s">
        <v>1107</v>
      </c>
    </row>
    <row r="136">
      <c r="A136" t="s">
        <v>1108</v>
      </c>
      <c r="B136" t="s">
        <v>65</v>
      </c>
      <c r="C136" t="s">
        <v>32</v>
      </c>
      <c r="D136" t="s">
        <v>53</v>
      </c>
      <c r="E136">
        <v>18397</v>
      </c>
      <c r="F136">
        <v>92546</v>
      </c>
      <c r="G136">
        <v>45397</v>
      </c>
      <c r="H136">
        <v>27000</v>
      </c>
      <c r="I136">
        <v>65372</v>
      </c>
      <c r="J136" t="str">
        <f>HYPERLINK("https://www.eneba.com/latam/steam-uncharted-legacy-of-thieves-collection-pc-steam-key-latam","Abrir compra")</f>
        <v>Abrir compra</v>
      </c>
      <c r="K136" t="str">
        <f>HYPERLINK("https://store.steampowered.com/app/1659420/UNCHARTED_Coleccin_Legado_de_los_Ladrones/?curator_clanid=4777282","Abrir Steam")</f>
        <v>Abrir Steam</v>
      </c>
      <c r="L136" t="s">
        <v>54</v>
      </c>
      <c r="M136" t="s">
        <v>106</v>
      </c>
      <c r="N136" t="s">
        <v>32</v>
      </c>
      <c r="O136" t="s">
        <v>1109</v>
      </c>
      <c r="P136" t="s">
        <v>1110</v>
      </c>
      <c r="Q136" t="s">
        <v>32</v>
      </c>
      <c r="R136" t="s">
        <v>1111</v>
      </c>
      <c r="S136" t="s">
        <v>37</v>
      </c>
      <c r="T136" t="s">
        <v>1112</v>
      </c>
      <c r="U136" t="s">
        <v>1113</v>
      </c>
      <c r="V136" t="s">
        <v>37</v>
      </c>
      <c r="W136" t="s">
        <v>1114</v>
      </c>
      <c r="X136" t="s">
        <v>1115</v>
      </c>
      <c r="Y136" t="s">
        <v>1116</v>
      </c>
      <c r="Z136" t="s">
        <v>1117</v>
      </c>
    </row>
    <row r="137">
      <c r="A137" t="s">
        <v>1118</v>
      </c>
      <c r="B137" t="s">
        <v>65</v>
      </c>
      <c r="C137" t="s">
        <v>32</v>
      </c>
      <c r="D137" t="s">
        <v>53</v>
      </c>
      <c r="E137">
        <v>38695</v>
      </c>
      <c r="F137">
        <v>111059</v>
      </c>
      <c r="G137">
        <v>65695</v>
      </c>
      <c r="H137">
        <v>27000</v>
      </c>
      <c r="I137">
        <v>94601</v>
      </c>
      <c r="J137" t="str">
        <f>HYPERLINK("https://www.eneba.com/latam/steam-until-dawn-pc-steam-key-latam","Abrir compra")</f>
        <v>Abrir compra</v>
      </c>
      <c r="K137" t="str">
        <f>HYPERLINK("https://store.steampowered.com/app/2172010/Until_Dawn/?curator_clanid=4777282","Abrir Steam")</f>
        <v>Abrir Steam</v>
      </c>
      <c r="L137" t="s">
        <v>54</v>
      </c>
      <c r="M137" t="s">
        <v>106</v>
      </c>
      <c r="N137" t="s">
        <v>32</v>
      </c>
      <c r="O137" t="s">
        <v>1119</v>
      </c>
      <c r="P137" t="s">
        <v>1120</v>
      </c>
      <c r="Q137" t="s">
        <v>32</v>
      </c>
      <c r="R137" t="s">
        <v>1121</v>
      </c>
      <c r="S137" t="s">
        <v>37</v>
      </c>
      <c r="T137" t="s">
        <v>1122</v>
      </c>
      <c r="U137" t="s">
        <v>1123</v>
      </c>
      <c r="V137" t="s">
        <v>37</v>
      </c>
      <c r="W137" t="s">
        <v>1124</v>
      </c>
      <c r="X137" t="s">
        <v>1125</v>
      </c>
      <c r="Y137" t="s">
        <v>1126</v>
      </c>
      <c r="Z137" t="s">
        <v>37</v>
      </c>
    </row>
    <row r="138">
      <c r="A138" t="s">
        <v>1127</v>
      </c>
      <c r="B138" t="s">
        <v>65</v>
      </c>
      <c r="C138" t="s">
        <v>32</v>
      </c>
      <c r="D138" t="s">
        <v>53</v>
      </c>
      <c r="E138">
        <v>29720</v>
      </c>
      <c r="F138">
        <v>111059</v>
      </c>
      <c r="G138">
        <v>56720</v>
      </c>
      <c r="H138">
        <v>27000</v>
      </c>
      <c r="I138">
        <v>81677</v>
      </c>
      <c r="J138" t="str">
        <f>HYPERLINK("https://driffle.com/es/wwe-2k25-global-pc-steam-digital-key-p9930153","Abrir compra")</f>
        <v>Abrir compra</v>
      </c>
      <c r="K138" t="str">
        <f>HYPERLINK("https://store.steampowered.com/app/2878960/WWE_2K25/","Abrir Steam")</f>
        <v>Abrir Steam</v>
      </c>
      <c r="L138" t="s">
        <v>43</v>
      </c>
      <c r="M138" t="s">
        <v>44</v>
      </c>
      <c r="N138" t="s">
        <v>32</v>
      </c>
      <c r="O138" t="s">
        <v>1128</v>
      </c>
      <c r="P138" t="s">
        <v>1129</v>
      </c>
      <c r="Q138" t="s">
        <v>32</v>
      </c>
      <c r="R138" t="s">
        <v>1130</v>
      </c>
      <c r="S138" t="s">
        <v>37</v>
      </c>
      <c r="T138" t="s">
        <v>1131</v>
      </c>
      <c r="U138" t="s">
        <v>1132</v>
      </c>
      <c r="V138" t="s">
        <v>37</v>
      </c>
      <c r="W138" t="s">
        <v>1133</v>
      </c>
      <c r="X138" t="s">
        <v>1134</v>
      </c>
      <c r="Y138" t="s">
        <v>1135</v>
      </c>
      <c r="Z138" t="s">
        <v>37</v>
      </c>
    </row>
    <row r="139">
      <c r="A139" t="s">
        <v>1136</v>
      </c>
      <c r="B139" t="s">
        <v>1137</v>
      </c>
      <c r="C139" t="s">
        <v>32</v>
      </c>
      <c r="D139" t="s">
        <v>53</v>
      </c>
      <c r="E139">
        <v>112445</v>
      </c>
      <c r="F139">
        <v>240650</v>
      </c>
      <c r="G139">
        <v>139445</v>
      </c>
      <c r="H139">
        <v>27000</v>
      </c>
      <c r="I139">
        <v>200801</v>
      </c>
      <c r="J139" t="str">
        <f>HYPERLINK("https://www.kinguin.net/es/category/476565/wwe-2k26-attitude-era-edition-pc-steam-cd-key","Abrir compra")</f>
        <v>Abrir compra</v>
      </c>
      <c r="K139" t="str">
        <f>HYPERLINK("https://store.steampowered.com/app/3717070/WWE_2K26/","Abrir Steam")</f>
        <v>Abrir Steam</v>
      </c>
      <c r="L139" t="s">
        <v>30</v>
      </c>
      <c r="M139" t="s">
        <v>31</v>
      </c>
      <c r="N139" t="s">
        <v>32</v>
      </c>
      <c r="O139" t="s">
        <v>1138</v>
      </c>
      <c r="P139" t="s">
        <v>1139</v>
      </c>
      <c r="Q139" t="s">
        <v>32</v>
      </c>
      <c r="R139" t="s">
        <v>1140</v>
      </c>
      <c r="S139" t="s">
        <v>1141</v>
      </c>
      <c r="T139" t="s">
        <v>37</v>
      </c>
      <c r="U139" t="s">
        <v>37</v>
      </c>
      <c r="V139" t="s">
        <v>37</v>
      </c>
      <c r="W139" t="s">
        <v>1142</v>
      </c>
      <c r="X139" t="s">
        <v>37</v>
      </c>
      <c r="Y139" t="s">
        <v>37</v>
      </c>
      <c r="Z139" t="s">
        <v>37</v>
      </c>
    </row>
  </sheetData>
</worksheet>
</file>