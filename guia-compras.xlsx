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<sst xmlns="http://schemas.openxmlformats.org/spreadsheetml/2006/main" count="540" uniqueCount="540">
  <si>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</si>
  <si>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</si>
  <si>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</si>
  <si>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</si>
  <si>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</si>
  <si>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</si>
  <si>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</si>
  <si>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</si>
  <si>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</si>
  <si>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</si>
  <si>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</si>
  <si>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</si>
  <si>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</si>
  <si>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</si>
  <si>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</si>
  <si>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</si>
  <si>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</si>
  <si>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</si>
  <si>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</si>
  <si>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</si>
  <si>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</si>
  <si>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</si>
  <si>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</si>
  <si>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</si>
  <si>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</si>
  <si>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</si>
  <si>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</si>
  <si>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</si>
  <si>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</si>
  <si>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</si>
  <si>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</si>
  <si>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</si>
  <si>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</si>
  <si>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2026-07-12T13:06:53.167Z</t>
  </si>
  <si>
    <t>eneba:72149</t>
  </si>
  <si>
    <t/>
  </si>
  <si>
    <t>72149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</si>
  <si>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</si>
  <si>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</si>
  <si>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</si>
  <si>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</si>
  <si>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ARC Raiders</t>
  </si>
  <si>
    <t>global</t>
  </si>
  <si>
    <t>ARC Raiders Steam Código de (PC) GLOBAL</t>
  </si>
  <si>
    <t>2026-07-12T13:08:26.951Z</t>
  </si>
  <si>
    <t>eneba:36153</t>
  </si>
  <si>
    <t>36153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</si>
  <si>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</si>
  <si>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</si>
  <si>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</si>
  <si>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</si>
  <si>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Black Myth: Wukong</t>
  </si>
  <si>
    <t>Black Myth: Wukong (PC) Código de Steam GLOBAL</t>
  </si>
  <si>
    <t>2026-07-12T13:11:19.150Z</t>
  </si>
  <si>
    <t>eneba:76973</t>
  </si>
  <si>
    <t>76973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</si>
  <si>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</si>
  <si>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</si>
  <si>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</si>
  <si>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</si>
  <si>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Borderlands 4</t>
  </si>
  <si>
    <t>Borderlands 4 Código de Steam (PC) GLOBAL</t>
  </si>
  <si>
    <t>2026-07-12T13:11:58.457Z</t>
  </si>
  <si>
    <t>eneba:46643</t>
  </si>
  <si>
    <t>46643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</si>
  <si>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</si>
  <si>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</si>
  <si>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</si>
  <si>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</si>
  <si>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Clair Obscur: Expedition 33</t>
  </si>
  <si>
    <t>Clair Obscur: Expedition 33 Código de Steam (PC) LATAM</t>
  </si>
  <si>
    <t>2026-07-12T13:13:04.219Z</t>
  </si>
  <si>
    <t>eneba:37152</t>
  </si>
  <si>
    <t>37152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</si>
  <si>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</si>
  <si>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</si>
  <si>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</si>
  <si>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</si>
  <si>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</si>
  <si>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Steam Key (PC) LATAM</t>
  </si>
  <si>
    <t>2026-07-12T13:13:46.707Z</t>
  </si>
  <si>
    <t>eneba:53277</t>
  </si>
  <si>
    <t>53277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</si>
  <si>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</si>
  <si>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</si>
  <si>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</si>
  <si>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</si>
  <si>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DayZ</t>
  </si>
  <si>
    <t>Cool Edition - CD Key LATAM (Steam)</t>
  </si>
  <si>
    <t>DayZ Cool Edition Steam Key (PC) GLOBAL</t>
  </si>
  <si>
    <t>2026-07-12T13:16:27.656Z</t>
  </si>
  <si>
    <t>eneba:106632</t>
  </si>
  <si>
    <t>106632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</si>
  <si>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</si>
  <si>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</si>
  <si>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</si>
  <si>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</si>
  <si>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2026-07-12T13:16:14.132Z</t>
  </si>
  <si>
    <t>eneba:62206</t>
  </si>
  <si>
    <t>62206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</si>
  <si>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</si>
  <si>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</si>
  <si>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</si>
  <si>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</si>
  <si>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</si>
  <si>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2026-07-12T13:15:27.786Z</t>
  </si>
  <si>
    <t>eneba:23056</t>
  </si>
  <si>
    <t>23056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</si>
  <si>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</si>
  <si>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</si>
  <si>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</si>
  <si>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Death Stranding 2: On the Beach</t>
  </si>
  <si>
    <t>DEATH STRANDING 2: ON THE BEACH Steam Key (PC) GLOBAL</t>
  </si>
  <si>
    <t>2026-07-12T13:17:31.657Z</t>
  </si>
  <si>
    <t>eneba:86011</t>
  </si>
  <si>
    <t>86011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</si>
  <si>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</si>
  <si>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</si>
  <si>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</si>
  <si>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Detroit: Become Human</t>
  </si>
  <si>
    <t>Detroit: Become Human Código de Steam LATAM</t>
  </si>
  <si>
    <t>2026-07-12T13:19:03.506Z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</si>
  <si>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</si>
  <si>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</si>
  <si>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</si>
  <si>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</si>
  <si>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</si>
  <si>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</si>
  <si>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DRAGON BALL: Sparking! ZERO</t>
  </si>
  <si>
    <t>DRAGON BALL: Sparking! ZERO - Deluxe Edition (PC) Steam Key LATAM</t>
  </si>
  <si>
    <t>2026-07-12T13:18:24.912Z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</si>
  <si>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</si>
  <si>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</si>
  <si>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</si>
  <si>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</si>
  <si>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</si>
  <si>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2026-07-12T13:18:07.654Z</t>
  </si>
  <si>
    <t>eneba:46955</t>
  </si>
  <si>
    <t>46955</t>
  </si>
  <si>
    <t>https://www.kinguin.net/es/category/276484/dragon-ball-sparking-zero-latam-pc-steam-cd-key</t>
  </si>
  <si>
    <t>https://www.eneba.com/latam/steam-dragon-ball-sparking-zero-pc-steam-key-latam</t>
  </si>
  <si>
    <t>Ultimate Edition - CD Key LATAM (Steam)</t>
  </si>
  <si>
    <t>DRAGON BALL: Sparking! ZERO - Ultimate Edition (PC) Steam Key LATAM</t>
  </si>
  <si>
    <t>2026-07-12T13:18:41.914Z</t>
  </si>
  <si>
    <t>eneba:164826</t>
  </si>
  <si>
    <t>164826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</si>
  <si>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</si>
  <si>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</si>
  <si>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</si>
  <si>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Steam (PC) Key GLOBAL</t>
  </si>
  <si>
    <t>2026-07-12T13:19:58.219Z</t>
  </si>
  <si>
    <t>eneba:76864</t>
  </si>
  <si>
    <t>76864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</si>
  <si>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</si>
  <si>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</si>
  <si>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</si>
  <si>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</si>
  <si>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Código de Steam (PC) GLOBAL</t>
  </si>
  <si>
    <t>2026-07-12T13:19:34.433Z</t>
  </si>
  <si>
    <t>eneba:61878</t>
  </si>
  <si>
    <t>61878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</si>
  <si>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</si>
  <si>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</si>
  <si>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</si>
  <si>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</si>
  <si>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Dynasty Warriors: Origins</t>
  </si>
  <si>
    <t>DYNASTY WARRIORS: ORIGINS (PC) Código de Steam LATAM</t>
  </si>
  <si>
    <t>2026-07-12T13:20:21.832Z</t>
  </si>
  <si>
    <t>eneba:71244</t>
  </si>
  <si>
    <t>71244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</si>
  <si>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</si>
  <si>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</si>
  <si>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</si>
  <si>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</si>
  <si>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ELDEN RING</t>
  </si>
  <si>
    <t>Elden Ring (PC) Steam Key LATAM</t>
  </si>
  <si>
    <t>2026-07-12T13:21:11.892Z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</si>
  <si>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</si>
  <si>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</si>
  <si>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</si>
  <si>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</si>
  <si>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</si>
  <si>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</si>
  <si>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Steam Key (PC) LATAM</t>
  </si>
  <si>
    <t>2026-07-12T13:22:16.649Z</t>
  </si>
  <si>
    <t>eneba:43349</t>
  </si>
  <si>
    <t>43349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</si>
  <si>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</si>
  <si>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</si>
  <si>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</si>
  <si>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</si>
  <si>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Steam Key (PC) LATAM</t>
  </si>
  <si>
    <t>2026-07-12T13:23:31.693Z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</si>
  <si>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</si>
  <si>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</si>
  <si>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</si>
  <si>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</si>
  <si>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</si>
  <si>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</si>
  <si>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FINAL FANTASY VII REMAKE INTERGRADE</t>
  </si>
  <si>
    <t>Final Fantasy VII Remake Intergrade (PC) Código de Steam GLOBAL</t>
  </si>
  <si>
    <t>2026-07-12T13:23:52.659Z</t>
  </si>
  <si>
    <t>eneba:30814</t>
  </si>
  <si>
    <t>30814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</si>
  <si>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</si>
  <si>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</si>
  <si>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</si>
  <si>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</si>
  <si>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Ghost of Tsushima</t>
  </si>
  <si>
    <t>Director's Cut - CD Key LATAM (Steam)</t>
  </si>
  <si>
    <t>Ghost of Tsushima DIRECTOR'S CUT (PC) Código de Steam LATAM</t>
  </si>
  <si>
    <t>2026-07-12T13:24:54.054Z</t>
  </si>
  <si>
    <t>eneba:37745</t>
  </si>
  <si>
    <t>37745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</si>
  <si>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</si>
  <si>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</si>
  <si>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</si>
  <si>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</si>
  <si>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 Ragnarök</t>
  </si>
  <si>
    <t>God of War Ragnarök (PC) Código de Steam LATAM</t>
  </si>
  <si>
    <t>2026-07-12T13:25:41.360Z</t>
  </si>
  <si>
    <t>eneba:43786</t>
  </si>
  <si>
    <t>43786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</si>
  <si>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</si>
  <si>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</si>
  <si>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</si>
  <si>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</si>
  <si>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</si>
  <si>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2026-07-12T13:26:17.366Z</t>
  </si>
  <si>
    <t>eneba:36527</t>
  </si>
  <si>
    <t>36527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</si>
  <si>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</si>
  <si>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</si>
  <si>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</si>
  <si>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</si>
  <si>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</si>
  <si>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HELLDIVERS 2 (PC) Código de Steam LATAM</t>
  </si>
  <si>
    <t>2026-07-12T13:26:41.942Z</t>
  </si>
  <si>
    <t>eneba:37932</t>
  </si>
  <si>
    <t>37932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</si>
  <si>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</si>
  <si>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</si>
  <si>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</si>
  <si>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</si>
  <si>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Hogwarts Legacy</t>
  </si>
  <si>
    <t>Hogwarts Legacy Deluxe Edition (PC) Código de Steam LATAM</t>
  </si>
  <si>
    <t>2026-07-12T13:28:05.673Z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</si>
  <si>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</si>
  <si>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</si>
  <si>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</si>
  <si>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</si>
  <si>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</si>
  <si>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</si>
  <si>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(PC) Código de Steam LATAM</t>
  </si>
  <si>
    <t>2026-07-12T13:27:44.596Z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</si>
  <si>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</si>
  <si>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</si>
  <si>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</si>
  <si>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</si>
  <si>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Invincible VS</t>
  </si>
  <si>
    <t>Invincible Vs. Steam Key (PC) GLOBAL</t>
  </si>
  <si>
    <t>2026-07-12T13:28:25.382Z</t>
  </si>
  <si>
    <t>eneba:84294</t>
  </si>
  <si>
    <t>84294</t>
  </si>
  <si>
    <t>https://www.eneba.com/latam/steam-invincible-vs-steam-key-pc-global</t>
  </si>
  <si>
    <t>https://www.loaded.com/es_es/invincible-vs-pc-steam</t>
  </si>
  <si>
    <t>It takes two</t>
  </si>
  <si>
    <t>It Takes Two Código de Código de Steam GLOBAL</t>
  </si>
  <si>
    <t>2026-07-12T13:28:54.069Z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</si>
  <si>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</si>
  <si>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</si>
  <si>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</si>
  <si>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</si>
  <si>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</si>
  <si>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LEGO Batman: Legacy of the Dark Knight</t>
  </si>
  <si>
    <t>LEGO® Batman™: Legacy of the Dark Knight Deluxe Edition Steam Key (PC) LATAM</t>
  </si>
  <si>
    <t>2026-07-12T13:29:35.872Z</t>
  </si>
  <si>
    <t>eneba:90694</t>
  </si>
  <si>
    <t>90694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</si>
  <si>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</si>
  <si>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</si>
  <si>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</si>
  <si>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</si>
  <si>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</si>
  <si>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2026-07-12T13:29:15.041Z</t>
  </si>
  <si>
    <t>eneba:68965</t>
  </si>
  <si>
    <t>68965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</si>
  <si>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</si>
  <si>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</si>
  <si>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</si>
  <si>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</si>
  <si>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</si>
  <si>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(PC) Steam Key LATAM</t>
  </si>
  <si>
    <t>2026-07-12T13:29:53.264Z</t>
  </si>
  <si>
    <t>eneba:48578</t>
  </si>
  <si>
    <t>48578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</si>
  <si>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</si>
  <si>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</si>
  <si>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</si>
  <si>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</si>
  <si>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</si>
  <si>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2026-07-12T13:30:25.869Z</t>
  </si>
  <si>
    <t>eneba:26381</t>
  </si>
  <si>
    <t>26381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</si>
  <si>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</si>
  <si>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</si>
  <si>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</si>
  <si>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</si>
  <si>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Monster Hunter Wilds</t>
  </si>
  <si>
    <t>Premium Deluxe - CD Key LATAM (Steam)</t>
  </si>
  <si>
    <t>Monster Hunter Wilds Premium Deluxe Edition (PC) Código de Steam LATAM</t>
  </si>
  <si>
    <t>2026-07-12T13:32:44.429Z</t>
  </si>
  <si>
    <t>eneba:50873</t>
  </si>
  <si>
    <t>50873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</si>
  <si>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</si>
  <si>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</si>
  <si>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</si>
  <si>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</si>
  <si>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</si>
  <si>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2026-07-12T13:33:31.638Z</t>
  </si>
  <si>
    <t>eneba:25351</t>
  </si>
  <si>
    <t>25351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</si>
  <si>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</si>
  <si>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</si>
  <si>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</si>
  <si>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</si>
  <si>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</si>
  <si>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2026-07-12T13:33:06.561Z</t>
  </si>
  <si>
    <t>eneba:12800</t>
  </si>
  <si>
    <t>12800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</si>
  <si>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</si>
  <si>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</si>
  <si>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</si>
  <si>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</si>
  <si>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</si>
  <si>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</si>
  <si>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2026-07-12T13:33:54.979Z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</si>
  <si>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</si>
  <si>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</si>
  <si>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</si>
  <si>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</si>
  <si>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</si>
  <si>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</si>
  <si>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Slam Edition - CD Key LATAM (Steam)</t>
  </si>
  <si>
    <t>NBA 2K26 Slam Edition Steam Key (PC) GLOBAL</t>
  </si>
  <si>
    <t>2026-07-12T13:34:18.152Z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</si>
  <si>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</si>
  <si>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</si>
  <si>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</si>
  <si>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</si>
  <si>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</si>
  <si>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</si>
  <si>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</si>
  <si>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</si>
  <si>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2026-07-12T13:34:41.429Z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</si>
  <si>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</si>
  <si>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</si>
  <si>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</si>
  <si>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</si>
  <si>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</si>
  <si>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</si>
  <si>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</si>
  <si>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</si>
  <si>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</si>
  <si>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2026-07-12T13:35:04.184Z</t>
  </si>
  <si>
    <t>eneba:15860</t>
  </si>
  <si>
    <t>15860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</si>
  <si>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</si>
  <si>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</si>
  <si>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</si>
  <si>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</si>
  <si>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Persona 3 Reload</t>
  </si>
  <si>
    <t>Persona 3 Reload (PC) Código de Steam GLOBAL</t>
  </si>
  <si>
    <t>2026-07-12T13:35:45.699Z</t>
  </si>
  <si>
    <t>eneba:29019</t>
  </si>
  <si>
    <t>29019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</si>
  <si>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</si>
  <si>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</si>
  <si>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</si>
  <si>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</si>
  <si>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</si>
  <si>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</si>
  <si>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2026-07-12T13:37:13.995Z</t>
  </si>
  <si>
    <t>eneba:74491</t>
  </si>
  <si>
    <t>74491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</si>
  <si>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</si>
  <si>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</si>
  <si>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</si>
  <si>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</si>
  <si>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</si>
  <si>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2026-07-12T13:36:46.551Z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</si>
  <si>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</si>
  <si>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</si>
  <si>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</si>
  <si>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</si>
  <si>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</si>
  <si>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</si>
  <si>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</si>
  <si>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</si>
  <si>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2026-07-12T13:37:41.355Z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</si>
  <si>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</si>
  <si>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</si>
  <si>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</si>
  <si>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</si>
  <si>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</si>
  <si>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</si>
  <si>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RESIDENT EVIL 2</t>
  </si>
  <si>
    <t>Resident Evil 2 / Biohazard RE:2 Código de Steam LATAM</t>
  </si>
  <si>
    <t>2026-07-12T13:38:33.813Z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</si>
  <si>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</si>
  <si>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</si>
  <si>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</si>
  <si>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</si>
  <si>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</si>
  <si>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</si>
  <si>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</si>
  <si>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2026-07-12T13:39:29.193Z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</si>
  <si>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</si>
  <si>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</si>
  <si>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</si>
  <si>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</si>
  <si>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</si>
  <si>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</si>
  <si>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</si>
  <si>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</si>
  <si>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2026-07-12T13:40:13.055Z</t>
  </si>
  <si>
    <t>eneba:34561</t>
  </si>
  <si>
    <t>34561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</si>
  <si>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</si>
  <si>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</si>
  <si>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</si>
  <si>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</si>
  <si>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Gold Edition - CD Key LATAM (Steam)</t>
  </si>
  <si>
    <t>Resident Evil 7 - Biohazard (Gold Edition) Steam Key LATAM</t>
  </si>
  <si>
    <t>2026-07-12T13:41:12.515Z</t>
  </si>
  <si>
    <t>eneba:11801</t>
  </si>
  <si>
    <t>11801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</si>
  <si>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</si>
  <si>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</si>
  <si>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</si>
  <si>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Village</t>
  </si>
  <si>
    <t>Resident Evil Village / Resident Evil 8 Código de Steam LATAM</t>
  </si>
  <si>
    <t>2026-07-12T13:42:52.805Z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</si>
  <si>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</si>
  <si>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</si>
  <si>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</si>
  <si>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</si>
  <si>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</si>
  <si>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</si>
  <si>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</si>
  <si>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2026-07-12T13:43:15.813Z</t>
  </si>
  <si>
    <t>eneba:17639</t>
  </si>
  <si>
    <t>17639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</si>
  <si>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</si>
  <si>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</si>
  <si>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</si>
  <si>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</si>
  <si>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SILENT HILL 2</t>
  </si>
  <si>
    <t>SILENT HILL 2 (PC) Código de Steam GLOBAL</t>
  </si>
  <si>
    <t>2026-07-12T13:44:00.866Z</t>
  </si>
  <si>
    <t>eneba:40289</t>
  </si>
  <si>
    <t>40289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</si>
  <si>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</si>
  <si>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</si>
  <si>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</si>
  <si>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</si>
  <si>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</si>
  <si>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</si>
  <si>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2026-07-12T13:44:37.595Z</t>
  </si>
  <si>
    <t>eneba:36246</t>
  </si>
  <si>
    <t>36246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</si>
  <si>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</si>
  <si>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</si>
  <si>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</si>
  <si>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STAR WARS Jedi: Survivor</t>
  </si>
  <si>
    <t>STAR WARS Jedi: Survivor™ (PC) Código de Steam GLOBAL</t>
  </si>
  <si>
    <t>2026-07-12T13:45:47.718Z</t>
  </si>
  <si>
    <t>eneba:21854</t>
  </si>
  <si>
    <t>21854</t>
  </si>
  <si>
    <t>https://www.eneba.com/latam/steam-star-wars-jedi-survivortm-pc-steam-key-global</t>
  </si>
  <si>
    <t>Stellar Blade</t>
  </si>
  <si>
    <t>Complete Edition - CD Key LATAM (Steam)</t>
  </si>
  <si>
    <t>Stellar Blade Complete Edition Código de Steam (PC) LATAM</t>
  </si>
  <si>
    <t>2026-07-12T13:47:07.586Z</t>
  </si>
  <si>
    <t>eneba:72977</t>
  </si>
  <si>
    <t>72977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</si>
  <si>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</si>
  <si>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</si>
  <si>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</si>
  <si>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</si>
  <si>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</si>
  <si>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2026-07-12T13:46:46.920Z</t>
  </si>
  <si>
    <t>eneba:52590</t>
  </si>
  <si>
    <t>52590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</si>
  <si>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</si>
  <si>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</si>
  <si>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</si>
  <si>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</si>
  <si>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TEKKEN 8</t>
  </si>
  <si>
    <t>TEKKEN 8 (PC) Código de Steam GLOBAL</t>
  </si>
  <si>
    <t>2026-07-12T13:48:34.716Z</t>
  </si>
  <si>
    <t>eneba:34358</t>
  </si>
  <si>
    <t>34358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</si>
  <si>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</si>
  <si>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</si>
  <si>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</si>
  <si>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</si>
  <si>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</si>
  <si>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</si>
  <si>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2026-07-12T13:48:58.368Z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</si>
  <si>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</si>
  <si>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</si>
  <si>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</si>
  <si>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</si>
  <si>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</si>
  <si>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</si>
  <si>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</si>
  <si>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</si>
  <si>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2026-07-12T13:50:20.910Z</t>
  </si>
  <si>
    <t>eneba:18404</t>
  </si>
  <si>
    <t>18404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</si>
  <si>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</si>
  <si>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</si>
  <si>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</si>
  <si>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</si>
  <si>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WWE 2K25</t>
  </si>
  <si>
    <t>WWE 2K25 Código de Steam (PC) GLOBAL</t>
  </si>
  <si>
    <t>2026-07-12T13:51:11.801Z</t>
  </si>
  <si>
    <t>eneba:24757</t>
  </si>
  <si>
    <t>24757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</si>
  <si>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</si>
  <si>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</si>
  <si>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</si>
  <si>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</si>
  <si>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</si>
  <si>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2026-07-12T13:51:46.091Z</t>
  </si>
  <si>
    <t>eneba:71260</t>
  </si>
  <si>
    <t>71260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</si>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</sst>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72149</v>
      </c>
      <c r="F2">
        <v>73066</v>
      </c>
      <c r="G2">
        <v>87149</v>
      </c>
      <c r="H2">
        <v>15000</v>
      </c>
      <c r="I2">
        <v>125495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41</v>
      </c>
      <c r="B3" t="s">
        <v>27</v>
      </c>
      <c r="C3" t="s">
        <v>28</v>
      </c>
      <c r="D3" t="s">
        <v>29</v>
      </c>
      <c r="E3">
        <v>36153</v>
      </c>
      <c r="F3">
        <v>73066</v>
      </c>
      <c r="G3">
        <v>53341</v>
      </c>
      <c r="H3">
        <v>17188</v>
      </c>
      <c r="I3">
        <v>76811</v>
      </c>
      <c r="J3" t="str">
        <f>HYPERLINK("https://www.eneba.com/latam/steam-arc-raiders-steam-key-pc-global","Abrir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42</v>
      </c>
      <c r="N3" t="s">
        <v>28</v>
      </c>
      <c r="O3" t="s">
        <v>43</v>
      </c>
      <c r="P3" t="s">
        <v>44</v>
      </c>
      <c r="Q3" t="s">
        <v>28</v>
      </c>
      <c r="R3" t="s">
        <v>45</v>
      </c>
      <c r="S3" t="s">
        <v>35</v>
      </c>
      <c r="T3" t="s">
        <v>46</v>
      </c>
      <c r="U3" t="s">
        <v>35</v>
      </c>
      <c r="V3" t="s">
        <v>35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51</v>
      </c>
      <c r="B4" t="s">
        <v>27</v>
      </c>
      <c r="C4" t="s">
        <v>28</v>
      </c>
      <c r="D4" t="s">
        <v>29</v>
      </c>
      <c r="E4">
        <v>76973</v>
      </c>
      <c r="F4">
        <v>109608</v>
      </c>
      <c r="G4">
        <v>91973</v>
      </c>
      <c r="H4">
        <v>15000</v>
      </c>
      <c r="I4">
        <v>132441</v>
      </c>
      <c r="J4" t="str">
        <f>HYPERLINK("https://www.eneba.com/latam/steam-black-myth-wukong-pc-steam-key-global","Abrir compra")</f>
        <v>Abrir compra</v>
      </c>
      <c r="K4" t="str">
        <f>HYPERLINK("https://store.steampowered.com/app/2358720/Black_Myth_Wukong/","Abrir Steam")</f>
        <v>Abrir Steam</v>
      </c>
      <c r="L4" t="s">
        <v>30</v>
      </c>
      <c r="M4" t="s">
        <v>42</v>
      </c>
      <c r="N4" t="s">
        <v>28</v>
      </c>
      <c r="O4" t="s">
        <v>52</v>
      </c>
      <c r="P4" t="s">
        <v>53</v>
      </c>
      <c r="Q4" t="s">
        <v>28</v>
      </c>
      <c r="R4" t="s">
        <v>54</v>
      </c>
      <c r="S4" t="s">
        <v>35</v>
      </c>
      <c r="T4" t="s">
        <v>55</v>
      </c>
      <c r="U4" t="s">
        <v>35</v>
      </c>
      <c r="V4" t="s">
        <v>35</v>
      </c>
      <c r="W4" t="s">
        <v>56</v>
      </c>
      <c r="X4" t="s">
        <v>57</v>
      </c>
      <c r="Y4" t="s">
        <v>58</v>
      </c>
      <c r="Z4" t="s">
        <v>59</v>
      </c>
    </row>
    <row r="5">
      <c r="A5" t="s">
        <v>60</v>
      </c>
      <c r="B5" t="s">
        <v>27</v>
      </c>
      <c r="C5" t="s">
        <v>28</v>
      </c>
      <c r="D5" t="s">
        <v>29</v>
      </c>
      <c r="E5">
        <v>46643</v>
      </c>
      <c r="F5">
        <v>127879</v>
      </c>
      <c r="G5">
        <v>73643</v>
      </c>
      <c r="H5">
        <v>27000</v>
      </c>
      <c r="I5">
        <v>106046</v>
      </c>
      <c r="J5" t="str">
        <f>HYPERLINK("https://www.eneba.com/latam/steam-borderlands-4-steam-key-pc-global","Abrir compra")</f>
        <v>Abrir compra</v>
      </c>
      <c r="K5" t="str">
        <f>HYPERLINK("https://store.steampowered.com/app/1285190/Borderlands_4/","Abrir Steam")</f>
        <v>Abrir Steam</v>
      </c>
      <c r="L5" t="s">
        <v>30</v>
      </c>
      <c r="M5" t="s">
        <v>42</v>
      </c>
      <c r="N5" t="s">
        <v>28</v>
      </c>
      <c r="O5" t="s">
        <v>61</v>
      </c>
      <c r="P5" t="s">
        <v>62</v>
      </c>
      <c r="Q5" t="s">
        <v>28</v>
      </c>
      <c r="R5" t="s">
        <v>63</v>
      </c>
      <c r="S5" t="s">
        <v>35</v>
      </c>
      <c r="T5" t="s">
        <v>64</v>
      </c>
      <c r="U5" t="s">
        <v>35</v>
      </c>
      <c r="V5" t="s">
        <v>35</v>
      </c>
      <c r="W5" t="s">
        <v>65</v>
      </c>
      <c r="X5" t="s">
        <v>66</v>
      </c>
      <c r="Y5" t="s">
        <v>67</v>
      </c>
      <c r="Z5" t="s">
        <v>68</v>
      </c>
    </row>
    <row r="6">
      <c r="A6" t="s">
        <v>69</v>
      </c>
      <c r="B6" t="s">
        <v>27</v>
      </c>
      <c r="C6" t="s">
        <v>28</v>
      </c>
      <c r="D6" t="s">
        <v>29</v>
      </c>
      <c r="E6">
        <v>37152</v>
      </c>
      <c r="F6">
        <v>63930</v>
      </c>
      <c r="G6">
        <v>52152</v>
      </c>
      <c r="H6">
        <v>15000</v>
      </c>
      <c r="I6">
        <v>75099</v>
      </c>
      <c r="J6" t="str">
        <f>HYPERLINK("https://www.eneba.com/latam/steam-clair-obscur-expedition-33-steam-key-pc-latam","Abrir compra")</f>
        <v>Abrir compra</v>
      </c>
      <c r="K6" t="str">
        <f>HYPERLINK("https://store.steampowered.com/app/1903340/Clair_Obscur_Expedition_33/","Abrir Steam")</f>
        <v>Abrir Steam</v>
      </c>
      <c r="L6" t="s">
        <v>30</v>
      </c>
      <c r="M6" t="s">
        <v>31</v>
      </c>
      <c r="N6" t="s">
        <v>28</v>
      </c>
      <c r="O6" t="s">
        <v>70</v>
      </c>
      <c r="P6" t="s">
        <v>71</v>
      </c>
      <c r="Q6" t="s">
        <v>28</v>
      </c>
      <c r="R6" t="s">
        <v>72</v>
      </c>
      <c r="S6" t="s">
        <v>35</v>
      </c>
      <c r="T6" t="s">
        <v>73</v>
      </c>
      <c r="U6" t="s">
        <v>35</v>
      </c>
      <c r="V6" t="s">
        <v>35</v>
      </c>
      <c r="W6" t="s">
        <v>74</v>
      </c>
      <c r="X6" t="s">
        <v>75</v>
      </c>
      <c r="Y6" t="s">
        <v>76</v>
      </c>
      <c r="Z6" t="s">
        <v>77</v>
      </c>
    </row>
    <row r="7">
      <c r="A7" t="s">
        <v>78</v>
      </c>
      <c r="B7" t="s">
        <v>27</v>
      </c>
      <c r="C7" t="s">
        <v>28</v>
      </c>
      <c r="D7" t="s">
        <v>29</v>
      </c>
      <c r="E7">
        <v>53277</v>
      </c>
      <c r="F7">
        <v>127879</v>
      </c>
      <c r="G7">
        <v>80277</v>
      </c>
      <c r="H7">
        <v>27000</v>
      </c>
      <c r="I7">
        <v>115599</v>
      </c>
      <c r="J7" t="str">
        <f>HYPERLINK("https://www.eneba.com/latam/steam-crimson-desert-steam-key-pc-latam","Abrir compra")</f>
        <v>Abrir compra</v>
      </c>
      <c r="K7" t="str">
        <f>HYPERLINK("https://store.steampowered.com/app/3321460/Crimson_Desert/","Abrir Steam")</f>
        <v>Abrir Steam</v>
      </c>
      <c r="L7" t="s">
        <v>30</v>
      </c>
      <c r="M7" t="s">
        <v>31</v>
      </c>
      <c r="N7" t="s">
        <v>28</v>
      </c>
      <c r="O7" t="s">
        <v>79</v>
      </c>
      <c r="P7" t="s">
        <v>80</v>
      </c>
      <c r="Q7" t="s">
        <v>28</v>
      </c>
      <c r="R7" t="s">
        <v>81</v>
      </c>
      <c r="S7" t="s">
        <v>35</v>
      </c>
      <c r="T7" t="s">
        <v>82</v>
      </c>
      <c r="U7" t="s">
        <v>35</v>
      </c>
      <c r="V7" t="s">
        <v>35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88</v>
      </c>
      <c r="C8" t="s">
        <v>28</v>
      </c>
      <c r="D8" t="s">
        <v>29</v>
      </c>
      <c r="E8">
        <v>106632</v>
      </c>
      <c r="F8">
        <v>127879</v>
      </c>
      <c r="G8">
        <v>121632</v>
      </c>
      <c r="H8">
        <v>15000</v>
      </c>
      <c r="I8">
        <v>175150</v>
      </c>
      <c r="J8" t="str">
        <f>HYPERLINK("https://www.eneba.com/latam/steam-dayz-cool-edition-steam-key-pc-global","Abrir compra")</f>
        <v>Abrir compra</v>
      </c>
      <c r="K8" t="str">
        <f>HYPERLINK("https://store.steampowered.com/app/221100/DayZ/","Abrir Steam")</f>
        <v>Abrir Steam</v>
      </c>
      <c r="L8" t="s">
        <v>30</v>
      </c>
      <c r="M8" t="s">
        <v>42</v>
      </c>
      <c r="N8" t="s">
        <v>28</v>
      </c>
      <c r="O8" t="s">
        <v>89</v>
      </c>
      <c r="P8" t="s">
        <v>90</v>
      </c>
      <c r="Q8" t="s">
        <v>28</v>
      </c>
      <c r="R8" t="s">
        <v>91</v>
      </c>
      <c r="S8" t="s">
        <v>35</v>
      </c>
      <c r="T8" t="s">
        <v>92</v>
      </c>
      <c r="U8" t="s">
        <v>35</v>
      </c>
      <c r="V8" t="s">
        <v>35</v>
      </c>
      <c r="W8" t="s">
        <v>35</v>
      </c>
      <c r="X8" t="s">
        <v>93</v>
      </c>
      <c r="Y8" t="s">
        <v>94</v>
      </c>
      <c r="Z8" t="s">
        <v>35</v>
      </c>
    </row>
    <row r="9">
      <c r="A9" t="s">
        <v>87</v>
      </c>
      <c r="B9" t="s">
        <v>95</v>
      </c>
      <c r="C9" t="s">
        <v>28</v>
      </c>
      <c r="D9" t="s">
        <v>29</v>
      </c>
      <c r="E9">
        <v>62206</v>
      </c>
      <c r="F9">
        <v>109608</v>
      </c>
      <c r="G9">
        <v>80206</v>
      </c>
      <c r="H9">
        <v>18000</v>
      </c>
      <c r="I9">
        <v>115497</v>
      </c>
      <c r="J9" t="str">
        <f>HYPERLINK("https://www.eneba.com/latam/steam-dayz-deluxe-edition-steam-key-pc-latam","Abrir compra")</f>
        <v>Abrir compra</v>
      </c>
      <c r="K9" t="str">
        <f>HYPERLINK("https://store.steampowered.com/app/221100/DayZ/","Abrir Steam")</f>
        <v>Abrir Steam</v>
      </c>
      <c r="L9" t="s">
        <v>30</v>
      </c>
      <c r="M9" t="s">
        <v>31</v>
      </c>
      <c r="N9" t="s">
        <v>28</v>
      </c>
      <c r="O9" t="s">
        <v>96</v>
      </c>
      <c r="P9" t="s">
        <v>97</v>
      </c>
      <c r="Q9" t="s">
        <v>28</v>
      </c>
      <c r="R9" t="s">
        <v>98</v>
      </c>
      <c r="S9" t="s">
        <v>35</v>
      </c>
      <c r="T9" t="s">
        <v>99</v>
      </c>
      <c r="U9" t="s">
        <v>35</v>
      </c>
      <c r="V9" t="s">
        <v>35</v>
      </c>
      <c r="W9" t="s">
        <v>100</v>
      </c>
      <c r="X9" t="s">
        <v>101</v>
      </c>
      <c r="Y9" t="s">
        <v>102</v>
      </c>
      <c r="Z9" t="s">
        <v>103</v>
      </c>
    </row>
    <row r="10">
      <c r="A10" t="s">
        <v>87</v>
      </c>
      <c r="B10" t="s">
        <v>27</v>
      </c>
      <c r="C10" t="s">
        <v>28</v>
      </c>
      <c r="D10" t="s">
        <v>29</v>
      </c>
      <c r="E10">
        <v>23056</v>
      </c>
      <c r="F10">
        <v>91337</v>
      </c>
      <c r="G10">
        <v>50056</v>
      </c>
      <c r="H10">
        <v>27000</v>
      </c>
      <c r="I10">
        <v>72081</v>
      </c>
      <c r="J10" t="str">
        <f>HYPERLINK("https://www.eneba.com/latam/steam-dayz-pc-steam-key-latam","Abrir compra")</f>
        <v>Abrir compra</v>
      </c>
      <c r="K10" t="str">
        <f>HYPERLINK("https://store.steampowered.com/app/221100/DayZ/","Abrir Steam")</f>
        <v>Abrir Steam</v>
      </c>
      <c r="L10" t="s">
        <v>30</v>
      </c>
      <c r="M10" t="s">
        <v>31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35</v>
      </c>
      <c r="T10" t="s">
        <v>107</v>
      </c>
      <c r="U10" t="s">
        <v>35</v>
      </c>
      <c r="V10" t="s">
        <v>35</v>
      </c>
      <c r="W10" t="s">
        <v>108</v>
      </c>
      <c r="X10" t="s">
        <v>109</v>
      </c>
      <c r="Y10" t="s">
        <v>110</v>
      </c>
      <c r="Z10" t="s">
        <v>35</v>
      </c>
    </row>
    <row r="11">
      <c r="A11" t="s">
        <v>111</v>
      </c>
      <c r="B11" t="s">
        <v>27</v>
      </c>
      <c r="C11" t="s">
        <v>28</v>
      </c>
      <c r="D11" t="s">
        <v>29</v>
      </c>
      <c r="E11">
        <v>86011</v>
      </c>
      <c r="F11">
        <v>127879</v>
      </c>
      <c r="G11">
        <v>101011</v>
      </c>
      <c r="H11">
        <v>15000</v>
      </c>
      <c r="I11">
        <v>145456</v>
      </c>
      <c r="J11" t="str">
        <f>HYPERLINK("https://www.eneba.com/latam/steam-death-stranding-2-on-the-beach-steam-key-pc-global","Abrir compra")</f>
        <v>Abrir compra</v>
      </c>
      <c r="K11" t="str">
        <f>HYPERLINK("https://store.steampowered.com/app/3280350/DEATH_STRANDING_2_ON_THE_BEACH/","Abrir Steam")</f>
        <v>Abrir Steam</v>
      </c>
      <c r="L11" t="s">
        <v>30</v>
      </c>
      <c r="M11" t="s">
        <v>31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35</v>
      </c>
      <c r="T11" t="s">
        <v>115</v>
      </c>
      <c r="U11" t="s">
        <v>35</v>
      </c>
      <c r="V11" t="s">
        <v>35</v>
      </c>
      <c r="W11" t="s">
        <v>116</v>
      </c>
      <c r="X11" t="s">
        <v>117</v>
      </c>
      <c r="Y11" t="s">
        <v>118</v>
      </c>
      <c r="Z11" t="s">
        <v>35</v>
      </c>
    </row>
    <row r="12">
      <c r="A12" t="s">
        <v>119</v>
      </c>
      <c r="B12" t="s">
        <v>27</v>
      </c>
      <c r="C12" t="s">
        <v>28</v>
      </c>
      <c r="D12" t="s">
        <v>29</v>
      </c>
      <c r="E12">
        <v>7680</v>
      </c>
      <c r="F12">
        <v>58449</v>
      </c>
      <c r="G12">
        <v>35000</v>
      </c>
      <c r="H12">
        <v>27320</v>
      </c>
      <c r="I12">
        <v>50400</v>
      </c>
      <c r="J12" t="str">
        <f>HYPERLINK("https://www.eneba.com/latam/steam-detroit-become-human-steam-key-latam","Abrir compra")</f>
        <v>Abrir compra</v>
      </c>
      <c r="K12" t="str">
        <f>HYPERLINK("https://store.steampowered.com/app/1222140/Detroit_Become_Human/?curator_clanid=4777282","Abrir Steam")</f>
        <v>Abrir Steam</v>
      </c>
      <c r="L12" t="s">
        <v>30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123</v>
      </c>
      <c r="U12" t="s">
        <v>35</v>
      </c>
      <c r="V12" t="s">
        <v>35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128</v>
      </c>
      <c r="B13" t="s">
        <v>95</v>
      </c>
      <c r="C13" t="s">
        <v>28</v>
      </c>
      <c r="D13" t="s">
        <v>29</v>
      </c>
      <c r="E13">
        <v>149887</v>
      </c>
      <c r="F13">
        <v>146150</v>
      </c>
      <c r="G13">
        <v>164887</v>
      </c>
      <c r="H13">
        <v>15000</v>
      </c>
      <c r="I13">
        <v>237437</v>
      </c>
      <c r="J13" t="str">
        <f>HYPERLINK("https://www.eneba.com/latam/steam-dragon-ball-sparking-zero-deluxe-edition-pc-steam-key-latam","Abrir compra")</f>
        <v>Abrir compra</v>
      </c>
      <c r="K13" t="str">
        <f>HYPERLINK("https://store.steampowered.com/app/1790600/DRAGON_BALL_Sparking_ZERO/","Abrir Steam")</f>
        <v>Abrir Steam</v>
      </c>
      <c r="L13" t="s">
        <v>30</v>
      </c>
      <c r="M13" t="s">
        <v>31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35</v>
      </c>
      <c r="T13" t="s">
        <v>132</v>
      </c>
      <c r="U13" t="s">
        <v>35</v>
      </c>
      <c r="V13" t="s">
        <v>35</v>
      </c>
      <c r="W13" t="s">
        <v>133</v>
      </c>
      <c r="X13" t="s">
        <v>134</v>
      </c>
      <c r="Y13" t="s">
        <v>35</v>
      </c>
      <c r="Z13" t="s">
        <v>35</v>
      </c>
    </row>
    <row r="14">
      <c r="A14" t="s">
        <v>128</v>
      </c>
      <c r="B14" t="s">
        <v>27</v>
      </c>
      <c r="C14" t="s">
        <v>28</v>
      </c>
      <c r="D14" t="s">
        <v>29</v>
      </c>
      <c r="E14">
        <v>46955</v>
      </c>
      <c r="F14">
        <v>102299</v>
      </c>
      <c r="G14">
        <v>70816</v>
      </c>
      <c r="H14">
        <v>23861</v>
      </c>
      <c r="I14">
        <v>101975</v>
      </c>
      <c r="J14" t="str">
        <f>HYPERLINK("https://www.eneba.com/latam/steam-dragon-ball-sparking-zero-pc-steam-key-latam","Abrir compra")</f>
        <v>Abrir compra</v>
      </c>
      <c r="K14" t="str">
        <f>HYPERLINK("https://store.steampowered.com/app/1790600/DRAGON_BALL_Sparking_ZERO/","Abrir Steam")</f>
        <v>Abrir Steam</v>
      </c>
      <c r="L14" t="s">
        <v>30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35</v>
      </c>
      <c r="T14" t="s">
        <v>138</v>
      </c>
      <c r="U14" t="s">
        <v>35</v>
      </c>
      <c r="V14" t="s">
        <v>35</v>
      </c>
      <c r="W14" t="s">
        <v>139</v>
      </c>
      <c r="X14" t="s">
        <v>140</v>
      </c>
      <c r="Y14" t="s">
        <v>35</v>
      </c>
      <c r="Z14" t="s">
        <v>35</v>
      </c>
    </row>
    <row r="15">
      <c r="A15" t="s">
        <v>128</v>
      </c>
      <c r="B15" t="s">
        <v>141</v>
      </c>
      <c r="C15" t="s">
        <v>28</v>
      </c>
      <c r="D15" t="s">
        <v>29</v>
      </c>
      <c r="E15">
        <v>164826</v>
      </c>
      <c r="F15">
        <v>160767</v>
      </c>
      <c r="G15">
        <v>179826</v>
      </c>
      <c r="H15">
        <v>15000</v>
      </c>
      <c r="I15">
        <v>258949</v>
      </c>
      <c r="J15" t="str">
        <f>HYPERLINK("https://www.eneba.com/latam/steam-dragon-ball-sparking-zero-ultimate-edition-pc-steam-key-latam","Abrir compra")</f>
        <v>Abrir compra</v>
      </c>
      <c r="K15" t="str">
        <f>HYPERLINK("https://store.steampowered.com/app/1790600/DRAGON_BALL_Sparking_ZERO/","Abrir Steam")</f>
        <v>Abrir Steam</v>
      </c>
      <c r="L15" t="s">
        <v>30</v>
      </c>
      <c r="M15" t="s">
        <v>31</v>
      </c>
      <c r="N15" t="s">
        <v>28</v>
      </c>
      <c r="O15" t="s">
        <v>142</v>
      </c>
      <c r="P15" t="s">
        <v>143</v>
      </c>
      <c r="Q15" t="s">
        <v>28</v>
      </c>
      <c r="R15" t="s">
        <v>144</v>
      </c>
      <c r="S15" t="s">
        <v>35</v>
      </c>
      <c r="T15" t="s">
        <v>145</v>
      </c>
      <c r="U15" t="s">
        <v>35</v>
      </c>
      <c r="V15" t="s">
        <v>35</v>
      </c>
      <c r="W15" t="s">
        <v>146</v>
      </c>
      <c r="X15" t="s">
        <v>147</v>
      </c>
      <c r="Y15" t="s">
        <v>35</v>
      </c>
      <c r="Z15" t="s">
        <v>35</v>
      </c>
    </row>
    <row r="16">
      <c r="A16" t="s">
        <v>148</v>
      </c>
      <c r="B16" t="s">
        <v>95</v>
      </c>
      <c r="C16" t="s">
        <v>28</v>
      </c>
      <c r="D16" t="s">
        <v>29</v>
      </c>
      <c r="E16">
        <v>76864</v>
      </c>
      <c r="F16">
        <v>94991</v>
      </c>
      <c r="G16">
        <v>91864</v>
      </c>
      <c r="H16">
        <v>15000</v>
      </c>
      <c r="I16">
        <v>132284</v>
      </c>
      <c r="J16" t="str">
        <f>HYPERLINK("https://www.eneba.com/latam/steam-dying-light-the-beast-deluxe-edition-steam-pc-key-global","Abrir compra")</f>
        <v>Abrir compra</v>
      </c>
      <c r="K16" t="str">
        <f>HYPERLINK("https://store.steampowered.com/app/3008130/Dying_Light_The_Beast/","Abrir Steam")</f>
        <v>Abrir Steam</v>
      </c>
      <c r="L16" t="s">
        <v>30</v>
      </c>
      <c r="M16" t="s">
        <v>42</v>
      </c>
      <c r="N16" t="s">
        <v>28</v>
      </c>
      <c r="O16" t="s">
        <v>149</v>
      </c>
      <c r="P16" t="s">
        <v>150</v>
      </c>
      <c r="Q16" t="s">
        <v>28</v>
      </c>
      <c r="R16" t="s">
        <v>151</v>
      </c>
      <c r="S16" t="s">
        <v>35</v>
      </c>
      <c r="T16" t="s">
        <v>152</v>
      </c>
      <c r="U16" t="s">
        <v>35</v>
      </c>
      <c r="V16" t="s">
        <v>35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148</v>
      </c>
      <c r="B17" t="s">
        <v>27</v>
      </c>
      <c r="C17" t="s">
        <v>28</v>
      </c>
      <c r="D17" t="s">
        <v>29</v>
      </c>
      <c r="E17">
        <v>61878</v>
      </c>
      <c r="F17">
        <v>82201</v>
      </c>
      <c r="G17">
        <v>76878</v>
      </c>
      <c r="H17">
        <v>15000</v>
      </c>
      <c r="I17">
        <v>110704</v>
      </c>
      <c r="J17" t="str">
        <f>HYPERLINK("https://www.eneba.com/latam/steam-dying-light-the-beast-steam-pc-key-global","Abrir compra")</f>
        <v>Abrir compra</v>
      </c>
      <c r="K17" t="str">
        <f>HYPERLINK("https://store.steampowered.com/app/3008130/Dying_Light_The_Beast/","Abrir Steam")</f>
        <v>Abrir Steam</v>
      </c>
      <c r="L17" t="s">
        <v>30</v>
      </c>
      <c r="M17" t="s">
        <v>42</v>
      </c>
      <c r="N17" t="s">
        <v>28</v>
      </c>
      <c r="O17" t="s">
        <v>157</v>
      </c>
      <c r="P17" t="s">
        <v>158</v>
      </c>
      <c r="Q17" t="s">
        <v>28</v>
      </c>
      <c r="R17" t="s">
        <v>159</v>
      </c>
      <c r="S17" t="s">
        <v>35</v>
      </c>
      <c r="T17" t="s">
        <v>160</v>
      </c>
      <c r="U17" t="s">
        <v>35</v>
      </c>
      <c r="V17" t="s">
        <v>35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165</v>
      </c>
      <c r="B18" t="s">
        <v>27</v>
      </c>
      <c r="C18" t="s">
        <v>28</v>
      </c>
      <c r="D18" t="s">
        <v>29</v>
      </c>
      <c r="E18">
        <v>71244</v>
      </c>
      <c r="F18">
        <v>106502</v>
      </c>
      <c r="G18">
        <v>86244</v>
      </c>
      <c r="H18">
        <v>15000</v>
      </c>
      <c r="I18">
        <v>124191</v>
      </c>
      <c r="J18" t="str">
        <f>HYPERLINK("https://www.eneba.com/latam/steam-dynasty-warriors-origins-pc-steam-key-latam","Abrir compra")</f>
        <v>Abrir compra</v>
      </c>
      <c r="K18" t="str">
        <f>HYPERLINK("https://store.steampowered.com/app/2384580/DYNASTY_WARRIORS_ORIGINS/","Abrir Steam")</f>
        <v>Abrir Steam</v>
      </c>
      <c r="L18" t="s">
        <v>30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169</v>
      </c>
      <c r="U18" t="s">
        <v>35</v>
      </c>
      <c r="V18" t="s">
        <v>35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174</v>
      </c>
      <c r="B19" t="s">
        <v>27</v>
      </c>
      <c r="C19" t="s">
        <v>28</v>
      </c>
      <c r="D19" t="s">
        <v>29</v>
      </c>
      <c r="E19">
        <v>81703</v>
      </c>
      <c r="F19">
        <v>87683</v>
      </c>
      <c r="G19">
        <v>96703</v>
      </c>
      <c r="H19">
        <v>15000</v>
      </c>
      <c r="I19">
        <v>139252</v>
      </c>
      <c r="J19" t="str">
        <f>HYPERLINK("https://www.eneba.com/latam/steam-elden-ring-pc-steam-key-latam","Abrir compra")</f>
        <v>Abrir compra</v>
      </c>
      <c r="K19" t="str">
        <f>HYPERLINK("https://store.steampowered.com/app/1245620/ELDEN_RING/","Abrir Steam")</f>
        <v>Abrir Steam</v>
      </c>
      <c r="L19" t="s">
        <v>30</v>
      </c>
      <c r="M19" t="s">
        <v>31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35</v>
      </c>
      <c r="T19" t="s">
        <v>178</v>
      </c>
      <c r="U19" t="s">
        <v>35</v>
      </c>
      <c r="V19" t="s">
        <v>35</v>
      </c>
      <c r="W19" t="s">
        <v>179</v>
      </c>
      <c r="X19" t="s">
        <v>180</v>
      </c>
      <c r="Y19" t="s">
        <v>181</v>
      </c>
      <c r="Z19" t="s">
        <v>35</v>
      </c>
    </row>
    <row r="20">
      <c r="A20" t="s">
        <v>182</v>
      </c>
      <c r="B20" t="s">
        <v>27</v>
      </c>
      <c r="C20" t="s">
        <v>28</v>
      </c>
      <c r="D20" t="s">
        <v>29</v>
      </c>
      <c r="E20">
        <v>43349</v>
      </c>
      <c r="F20">
        <v>58449</v>
      </c>
      <c r="G20">
        <v>58349</v>
      </c>
      <c r="H20">
        <v>15000</v>
      </c>
      <c r="I20">
        <v>84023</v>
      </c>
      <c r="J20" t="str">
        <f>HYPERLINK("https://www.eneba.com/latam/steam-elden-ring-nightreign-steam-key-pc-latam","Abrir compra")</f>
        <v>Abrir compra</v>
      </c>
      <c r="K20" t="str">
        <f>HYPERLINK("https://store.steampowered.com/app/2622380/ELDEN_RING_NIGHTREIGN/","Abrir Steam")</f>
        <v>Abrir Steam</v>
      </c>
      <c r="L20" t="s">
        <v>30</v>
      </c>
      <c r="M20" t="s">
        <v>31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35</v>
      </c>
      <c r="T20" t="s">
        <v>186</v>
      </c>
      <c r="U20" t="s">
        <v>35</v>
      </c>
      <c r="V20" t="s">
        <v>35</v>
      </c>
      <c r="W20" t="s">
        <v>187</v>
      </c>
      <c r="X20" t="s">
        <v>188</v>
      </c>
      <c r="Y20" t="s">
        <v>189</v>
      </c>
      <c r="Z20" t="s">
        <v>35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13846</v>
      </c>
      <c r="F21">
        <v>43832</v>
      </c>
      <c r="G21">
        <v>31263</v>
      </c>
      <c r="H21">
        <v>17417</v>
      </c>
      <c r="I21">
        <v>45019</v>
      </c>
      <c r="J21" t="str">
        <f>HYPERLINK("https://www.eneba.com/latam/steam-fallout-76-steam-key-pc-latam","Abrir compra")</f>
        <v>Abrir compra</v>
      </c>
      <c r="K21" t="str">
        <f>HYPERLINK("https://store.steampowered.com/app/1151340/Fallout_76/?curator_clanid=4777282","Abrir Steam")</f>
        <v>Abrir Steam</v>
      </c>
      <c r="L21" t="s">
        <v>30</v>
      </c>
      <c r="M21" t="s">
        <v>31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35</v>
      </c>
      <c r="T21" t="s">
        <v>194</v>
      </c>
      <c r="U21" t="s">
        <v>35</v>
      </c>
      <c r="V21" t="s">
        <v>35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199</v>
      </c>
      <c r="B22" t="s">
        <v>27</v>
      </c>
      <c r="C22" t="s">
        <v>28</v>
      </c>
      <c r="D22" t="s">
        <v>29</v>
      </c>
      <c r="E22">
        <v>30814</v>
      </c>
      <c r="F22">
        <v>58449</v>
      </c>
      <c r="G22">
        <v>45814</v>
      </c>
      <c r="H22">
        <v>15000</v>
      </c>
      <c r="I22">
        <v>65972</v>
      </c>
      <c r="J22" t="str">
        <f>HYPERLINK("https://www.eneba.com/latam/steam-final-fantasy-vii-remake-intergrade-pc-steam-key-global","Abrir compra")</f>
        <v>Abrir compra</v>
      </c>
      <c r="K22" t="str">
        <f>HYPERLINK("https://store.steampowered.com/app/1462040/FINAL_FANTASY_VII_REMAKE_INTERGRADE/?curator_clanid=4777282","Abrir Steam")</f>
        <v>Abrir Steam</v>
      </c>
      <c r="L22" t="s">
        <v>30</v>
      </c>
      <c r="M22" t="s">
        <v>31</v>
      </c>
      <c r="N22" t="s">
        <v>28</v>
      </c>
      <c r="O22" t="s">
        <v>200</v>
      </c>
      <c r="P22" t="s">
        <v>201</v>
      </c>
      <c r="Q22" t="s">
        <v>28</v>
      </c>
      <c r="R22" t="s">
        <v>202</v>
      </c>
      <c r="S22" t="s">
        <v>35</v>
      </c>
      <c r="T22" t="s">
        <v>203</v>
      </c>
      <c r="U22" t="s">
        <v>35</v>
      </c>
      <c r="V22" t="s">
        <v>35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208</v>
      </c>
      <c r="B23" t="s">
        <v>209</v>
      </c>
      <c r="C23" t="s">
        <v>28</v>
      </c>
      <c r="D23" t="s">
        <v>29</v>
      </c>
      <c r="E23">
        <v>37745</v>
      </c>
      <c r="F23">
        <v>91337</v>
      </c>
      <c r="G23">
        <v>62200</v>
      </c>
      <c r="H23">
        <v>24455</v>
      </c>
      <c r="I23">
        <v>89568</v>
      </c>
      <c r="J23" t="str">
        <f>HYPERLINK("https://www.eneba.com/latam/steam-ghost-of-tsushima-directors-cut-pc-steam-key-latam","Abrir compra")</f>
        <v>Abrir compra</v>
      </c>
      <c r="K23" t="str">
        <f>HYPERLINK("https://store.steampowered.com/app/2215430/Ghost_of_Tsushima_VERSIN_DEL_DIRECTOR/?l=spanish","Abrir Steam")</f>
        <v>Abrir Steam</v>
      </c>
      <c r="L23" t="s">
        <v>30</v>
      </c>
      <c r="M23" t="s">
        <v>31</v>
      </c>
      <c r="N23" t="s">
        <v>28</v>
      </c>
      <c r="O23" t="s">
        <v>210</v>
      </c>
      <c r="P23" t="s">
        <v>211</v>
      </c>
      <c r="Q23" t="s">
        <v>28</v>
      </c>
      <c r="R23" t="s">
        <v>212</v>
      </c>
      <c r="S23" t="s">
        <v>35</v>
      </c>
      <c r="T23" t="s">
        <v>213</v>
      </c>
      <c r="U23" t="s">
        <v>35</v>
      </c>
      <c r="V23" t="s">
        <v>35</v>
      </c>
      <c r="W23" t="s">
        <v>214</v>
      </c>
      <c r="X23" t="s">
        <v>215</v>
      </c>
      <c r="Y23" t="s">
        <v>216</v>
      </c>
      <c r="Z23" t="s">
        <v>217</v>
      </c>
    </row>
    <row r="24">
      <c r="A24" t="s">
        <v>218</v>
      </c>
      <c r="B24" t="s">
        <v>27</v>
      </c>
      <c r="C24" t="s">
        <v>28</v>
      </c>
      <c r="D24" t="s">
        <v>29</v>
      </c>
      <c r="E24">
        <v>43786</v>
      </c>
      <c r="F24">
        <v>91337</v>
      </c>
      <c r="G24">
        <v>64616</v>
      </c>
      <c r="H24">
        <v>20830</v>
      </c>
      <c r="I24">
        <v>93047</v>
      </c>
      <c r="J24" t="str">
        <f>HYPERLINK("https://www.eneba.com/latam/steam-god-of-war-ragnarok-pc-steam-key-latam","Abrir compra")</f>
        <v>Abrir compra</v>
      </c>
      <c r="K24" t="str">
        <f>HYPERLINK("https://store.steampowered.com/app/2322010/God_of_War_Ragnark/?curator_clanid=4777282","Abrir Steam")</f>
        <v>Abrir Steam</v>
      </c>
      <c r="L24" t="s">
        <v>30</v>
      </c>
      <c r="M24" t="s">
        <v>31</v>
      </c>
      <c r="N24" t="s">
        <v>28</v>
      </c>
      <c r="O24" t="s">
        <v>219</v>
      </c>
      <c r="P24" t="s">
        <v>220</v>
      </c>
      <c r="Q24" t="s">
        <v>28</v>
      </c>
      <c r="R24" t="s">
        <v>221</v>
      </c>
      <c r="S24" t="s">
        <v>35</v>
      </c>
      <c r="T24" t="s">
        <v>222</v>
      </c>
      <c r="U24" t="s">
        <v>35</v>
      </c>
      <c r="V24" t="s">
        <v>35</v>
      </c>
      <c r="W24" t="s">
        <v>223</v>
      </c>
      <c r="X24" t="s">
        <v>224</v>
      </c>
      <c r="Y24" t="s">
        <v>225</v>
      </c>
      <c r="Z24" t="s">
        <v>35</v>
      </c>
    </row>
    <row r="25">
      <c r="A25" t="s">
        <v>226</v>
      </c>
      <c r="B25" t="s">
        <v>27</v>
      </c>
      <c r="C25" t="s">
        <v>28</v>
      </c>
      <c r="D25" t="s">
        <v>29</v>
      </c>
      <c r="E25">
        <v>36527</v>
      </c>
      <c r="F25">
        <v>62103</v>
      </c>
      <c r="G25">
        <v>51527</v>
      </c>
      <c r="H25">
        <v>15000</v>
      </c>
      <c r="I25">
        <v>74199</v>
      </c>
      <c r="J25" t="str">
        <f>HYPERLINK("https://www.eneba.com/latam/steam-gothic-1-remake-steam-key-pc-latam","Abrir compra")</f>
        <v>Abrir compra</v>
      </c>
      <c r="K25" t="str">
        <f>HYPERLINK("https://store.steampowered.com/app/1297900/Gothic_1_Remake/?curator_clanid=4777282","Abrir Steam")</f>
        <v>Abrir Steam</v>
      </c>
      <c r="L25" t="s">
        <v>30</v>
      </c>
      <c r="M25" t="s">
        <v>31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35</v>
      </c>
      <c r="T25" t="s">
        <v>230</v>
      </c>
      <c r="U25" t="s">
        <v>35</v>
      </c>
      <c r="V25" t="s">
        <v>35</v>
      </c>
      <c r="W25" t="s">
        <v>231</v>
      </c>
      <c r="X25" t="s">
        <v>232</v>
      </c>
      <c r="Y25" t="s">
        <v>233</v>
      </c>
      <c r="Z25" t="s">
        <v>234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37932</v>
      </c>
      <c r="F26">
        <v>73066</v>
      </c>
      <c r="G26">
        <v>54053</v>
      </c>
      <c r="H26">
        <v>16121</v>
      </c>
      <c r="I26">
        <v>77836</v>
      </c>
      <c r="J26" t="str">
        <f>HYPERLINK("https://www.eneba.com/latam/steam-helldivers-2-pc-steam-key-latam-10","Abrir compra")</f>
        <v>Abrir compra</v>
      </c>
      <c r="K26" t="str">
        <f>HYPERLINK("https://store.steampowered.com/app/553850/HELLDIVERS_2/","Abrir Steam")</f>
        <v>Abrir Steam</v>
      </c>
      <c r="L26" t="s">
        <v>30</v>
      </c>
      <c r="M26" t="s">
        <v>31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35</v>
      </c>
      <c r="T26" t="s">
        <v>239</v>
      </c>
      <c r="U26" t="s">
        <v>35</v>
      </c>
      <c r="V26" t="s">
        <v>35</v>
      </c>
      <c r="W26" t="s">
        <v>240</v>
      </c>
      <c r="X26" t="s">
        <v>241</v>
      </c>
      <c r="Y26" t="s">
        <v>242</v>
      </c>
      <c r="Z26" t="s">
        <v>243</v>
      </c>
    </row>
    <row r="27">
      <c r="A27" t="s">
        <v>244</v>
      </c>
      <c r="B27" t="s">
        <v>95</v>
      </c>
      <c r="C27" t="s">
        <v>28</v>
      </c>
      <c r="D27" t="s">
        <v>29</v>
      </c>
      <c r="E27">
        <v>10147</v>
      </c>
      <c r="F27">
        <v>73066</v>
      </c>
      <c r="G27">
        <v>37147</v>
      </c>
      <c r="H27">
        <v>27000</v>
      </c>
      <c r="I27">
        <v>53492</v>
      </c>
      <c r="J27" t="str">
        <f>HYPERLINK("https://www.eneba.com/latam/steam-hogwarts-legacy-deluxe-edition-pc-steam-key-latam","Abrir compra")</f>
        <v>Abrir compra</v>
      </c>
      <c r="K27" t="str">
        <f>HYPERLINK("https://store.steampowered.com/app/990080/Hogwarts_Legacy/?curator_clanid=4777282","Abrir Steam")</f>
        <v>Abrir Steam</v>
      </c>
      <c r="L27" t="s">
        <v>30</v>
      </c>
      <c r="M27" t="s">
        <v>31</v>
      </c>
      <c r="N27" t="s">
        <v>28</v>
      </c>
      <c r="O27" t="s">
        <v>245</v>
      </c>
      <c r="P27" t="s">
        <v>246</v>
      </c>
      <c r="Q27" t="s">
        <v>28</v>
      </c>
      <c r="R27" t="s">
        <v>247</v>
      </c>
      <c r="S27" t="s">
        <v>35</v>
      </c>
      <c r="T27" t="s">
        <v>248</v>
      </c>
      <c r="U27" t="s">
        <v>35</v>
      </c>
      <c r="V27" t="s">
        <v>35</v>
      </c>
      <c r="W27" t="s">
        <v>249</v>
      </c>
      <c r="X27" t="s">
        <v>250</v>
      </c>
      <c r="Y27" t="s">
        <v>251</v>
      </c>
      <c r="Z27" t="s">
        <v>252</v>
      </c>
    </row>
    <row r="28">
      <c r="A28" t="s">
        <v>244</v>
      </c>
      <c r="B28" t="s">
        <v>27</v>
      </c>
      <c r="C28" t="s">
        <v>28</v>
      </c>
      <c r="D28" t="s">
        <v>29</v>
      </c>
      <c r="E28">
        <v>7680</v>
      </c>
      <c r="F28">
        <v>54813</v>
      </c>
      <c r="G28">
        <v>35000</v>
      </c>
      <c r="H28">
        <v>27320</v>
      </c>
      <c r="I28">
        <v>50400</v>
      </c>
      <c r="J28" t="str">
        <f>HYPERLINK("https://www.eneba.com/latam/steam-hogwarts-legacy-pc-steam-key-latam","Abrir compra")</f>
        <v>Abrir compra</v>
      </c>
      <c r="K28" t="str">
        <f>HYPERLINK("https://store.steampowered.com/app/990080/Hogwarts_Legacy/?curator_clanid=4777282","Abrir Steam")</f>
        <v>Abrir Steam</v>
      </c>
      <c r="L28" t="s">
        <v>30</v>
      </c>
      <c r="M28" t="s">
        <v>31</v>
      </c>
      <c r="N28" t="s">
        <v>28</v>
      </c>
      <c r="O28" t="s">
        <v>253</v>
      </c>
      <c r="P28" t="s">
        <v>254</v>
      </c>
      <c r="Q28" t="s">
        <v>28</v>
      </c>
      <c r="R28" t="s">
        <v>122</v>
      </c>
      <c r="S28" t="s">
        <v>35</v>
      </c>
      <c r="T28" t="s">
        <v>123</v>
      </c>
      <c r="U28" t="s">
        <v>35</v>
      </c>
      <c r="V28" t="s">
        <v>35</v>
      </c>
      <c r="W28" t="s">
        <v>255</v>
      </c>
      <c r="X28" t="s">
        <v>256</v>
      </c>
      <c r="Y28" t="s">
        <v>257</v>
      </c>
      <c r="Z28" t="s">
        <v>258</v>
      </c>
    </row>
    <row r="29">
      <c r="A29" t="s">
        <v>259</v>
      </c>
      <c r="B29" t="s">
        <v>27</v>
      </c>
      <c r="C29" t="s">
        <v>28</v>
      </c>
      <c r="D29" t="s">
        <v>29</v>
      </c>
      <c r="E29">
        <v>84294</v>
      </c>
      <c r="F29">
        <v>68516</v>
      </c>
      <c r="G29">
        <v>99294</v>
      </c>
      <c r="H29">
        <v>15000</v>
      </c>
      <c r="I29">
        <v>142983</v>
      </c>
      <c r="J29" t="str">
        <f>HYPERLINK("https://www.eneba.com/latam/steam-invincible-vs-steam-key-pc-global","Abrir compra")</f>
        <v>Abrir compra</v>
      </c>
      <c r="K29" t="str">
        <f>HYPERLINK("https://store.steampowered.com/app/2353060/Invincible_VS/","Abrir Steam")</f>
        <v>Abrir Steam</v>
      </c>
      <c r="L29" t="s">
        <v>30</v>
      </c>
      <c r="M29" t="s">
        <v>42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35</v>
      </c>
      <c r="T29" t="s">
        <v>263</v>
      </c>
      <c r="U29" t="s">
        <v>35</v>
      </c>
      <c r="V29" t="s">
        <v>35</v>
      </c>
      <c r="W29" t="s">
        <v>35</v>
      </c>
      <c r="X29" t="s">
        <v>264</v>
      </c>
      <c r="Y29" t="s">
        <v>35</v>
      </c>
      <c r="Z29" t="s">
        <v>265</v>
      </c>
    </row>
    <row r="30">
      <c r="A30" t="s">
        <v>266</v>
      </c>
      <c r="B30" t="s">
        <v>27</v>
      </c>
      <c r="C30" t="s">
        <v>28</v>
      </c>
      <c r="D30" t="s">
        <v>29</v>
      </c>
      <c r="E30">
        <v>88821</v>
      </c>
      <c r="F30">
        <v>73066</v>
      </c>
      <c r="G30">
        <v>103821</v>
      </c>
      <c r="H30">
        <v>15000</v>
      </c>
      <c r="I30">
        <v>149502</v>
      </c>
      <c r="J30" t="str">
        <f>HYPERLINK("https://www.eneba.com/latam/steam-it-takes-two-steam-key-global","Abrir compra")</f>
        <v>Abrir compra</v>
      </c>
      <c r="K30" t="str">
        <f>HYPERLINK("https://store.steampowered.com/app/1426210/It_Takes_Two/?curator_clanid=4777282","Abrir Steam")</f>
        <v>Abrir Steam</v>
      </c>
      <c r="L30" t="s">
        <v>30</v>
      </c>
      <c r="M30" t="s">
        <v>42</v>
      </c>
      <c r="N30" t="s">
        <v>28</v>
      </c>
      <c r="O30" t="s">
        <v>267</v>
      </c>
      <c r="P30" t="s">
        <v>268</v>
      </c>
      <c r="Q30" t="s">
        <v>28</v>
      </c>
      <c r="R30" t="s">
        <v>269</v>
      </c>
      <c r="S30" t="s">
        <v>35</v>
      </c>
      <c r="T30" t="s">
        <v>270</v>
      </c>
      <c r="U30" t="s">
        <v>35</v>
      </c>
      <c r="V30" t="s">
        <v>35</v>
      </c>
      <c r="W30" t="s">
        <v>271</v>
      </c>
      <c r="X30" t="s">
        <v>272</v>
      </c>
      <c r="Y30" t="s">
        <v>273</v>
      </c>
      <c r="Z30" t="s">
        <v>35</v>
      </c>
    </row>
    <row r="31">
      <c r="A31" t="s">
        <v>274</v>
      </c>
      <c r="B31" t="s">
        <v>95</v>
      </c>
      <c r="C31" t="s">
        <v>28</v>
      </c>
      <c r="D31" t="s">
        <v>29</v>
      </c>
      <c r="E31">
        <v>90694</v>
      </c>
      <c r="F31">
        <v>146150</v>
      </c>
      <c r="G31">
        <v>108045</v>
      </c>
      <c r="H31">
        <v>17351</v>
      </c>
      <c r="I31">
        <v>155585</v>
      </c>
      <c r="J31" t="str">
        <f>HYPERLINK("https://www.eneba.com/latam/steam-lego-r-batmantm-legacy-of-the-dark-knight-deluxe-edition-steam-key-pc-latam","Abrir compra")</f>
        <v>Abrir compra</v>
      </c>
      <c r="K31" t="str">
        <f>HYPERLINK("https://store.steampowered.com/app/2215200/LEGO_Batman_El_Legado_del_Caballero_Oscuro/","Abrir Steam")</f>
        <v>Abrir Steam</v>
      </c>
      <c r="L31" t="s">
        <v>30</v>
      </c>
      <c r="M31" t="s">
        <v>31</v>
      </c>
      <c r="N31" t="s">
        <v>28</v>
      </c>
      <c r="O31" t="s">
        <v>275</v>
      </c>
      <c r="P31" t="s">
        <v>276</v>
      </c>
      <c r="Q31" t="s">
        <v>28</v>
      </c>
      <c r="R31" t="s">
        <v>277</v>
      </c>
      <c r="S31" t="s">
        <v>35</v>
      </c>
      <c r="T31" t="s">
        <v>278</v>
      </c>
      <c r="U31" t="s">
        <v>35</v>
      </c>
      <c r="V31" t="s">
        <v>35</v>
      </c>
      <c r="W31" t="s">
        <v>279</v>
      </c>
      <c r="X31" t="s">
        <v>280</v>
      </c>
      <c r="Y31" t="s">
        <v>281</v>
      </c>
      <c r="Z31" t="s">
        <v>282</v>
      </c>
    </row>
    <row r="32">
      <c r="A32" t="s">
        <v>274</v>
      </c>
      <c r="B32" t="s">
        <v>27</v>
      </c>
      <c r="C32" t="s">
        <v>28</v>
      </c>
      <c r="D32" t="s">
        <v>29</v>
      </c>
      <c r="E32">
        <v>68965</v>
      </c>
      <c r="F32">
        <v>109608</v>
      </c>
      <c r="G32">
        <v>83965</v>
      </c>
      <c r="H32">
        <v>15000</v>
      </c>
      <c r="I32">
        <v>120910</v>
      </c>
      <c r="J32" t="str">
        <f>HYPERLINK("https://www.eneba.com/latam/steam-lego-r-batmantm-legacy-of-the-dark-knight-steam-key-pc-latam","Abrir compra")</f>
        <v>Abrir compra</v>
      </c>
      <c r="K32" t="str">
        <f>HYPERLINK("https://store.steampowered.com/app/2215200/LEGO_Batman_El_Legado_del_Caballero_Oscuro/","Abrir Steam")</f>
        <v>Abrir Steam</v>
      </c>
      <c r="L32" t="s">
        <v>30</v>
      </c>
      <c r="M32" t="s">
        <v>31</v>
      </c>
      <c r="N32" t="s">
        <v>28</v>
      </c>
      <c r="O32" t="s">
        <v>283</v>
      </c>
      <c r="P32" t="s">
        <v>284</v>
      </c>
      <c r="Q32" t="s">
        <v>28</v>
      </c>
      <c r="R32" t="s">
        <v>285</v>
      </c>
      <c r="S32" t="s">
        <v>35</v>
      </c>
      <c r="T32" t="s">
        <v>286</v>
      </c>
      <c r="U32" t="s">
        <v>35</v>
      </c>
      <c r="V32" t="s">
        <v>35</v>
      </c>
      <c r="W32" t="s">
        <v>287</v>
      </c>
      <c r="X32" t="s">
        <v>288</v>
      </c>
      <c r="Y32" t="s">
        <v>289</v>
      </c>
      <c r="Z32" t="s">
        <v>290</v>
      </c>
    </row>
    <row r="33">
      <c r="A33" t="s">
        <v>291</v>
      </c>
      <c r="B33" t="s">
        <v>27</v>
      </c>
      <c r="C33" t="s">
        <v>28</v>
      </c>
      <c r="D33" t="s">
        <v>29</v>
      </c>
      <c r="E33">
        <v>48578</v>
      </c>
      <c r="F33">
        <v>91337</v>
      </c>
      <c r="G33">
        <v>66533</v>
      </c>
      <c r="H33">
        <v>17955</v>
      </c>
      <c r="I33">
        <v>95808</v>
      </c>
      <c r="J33" t="str">
        <f>HYPERLINK("https://www.eneba.com/latam/steam-marvels-spider-man-2-pc-steam-key-latam","Abrir compra")</f>
        <v>Abrir compra</v>
      </c>
      <c r="K33" t="str">
        <f>HYPERLINK("https://store.steampowered.com/app/2651280/Marvels_SpiderMan_2/","Abrir Steam")</f>
        <v>Abrir Steam</v>
      </c>
      <c r="L33" t="s">
        <v>30</v>
      </c>
      <c r="M33" t="s">
        <v>31</v>
      </c>
      <c r="N33" t="s">
        <v>28</v>
      </c>
      <c r="O33" t="s">
        <v>292</v>
      </c>
      <c r="P33" t="s">
        <v>293</v>
      </c>
      <c r="Q33" t="s">
        <v>28</v>
      </c>
      <c r="R33" t="s">
        <v>294</v>
      </c>
      <c r="S33" t="s">
        <v>35</v>
      </c>
      <c r="T33" t="s">
        <v>295</v>
      </c>
      <c r="U33" t="s">
        <v>35</v>
      </c>
      <c r="V33" t="s">
        <v>35</v>
      </c>
      <c r="W33" t="s">
        <v>296</v>
      </c>
      <c r="X33" t="s">
        <v>297</v>
      </c>
      <c r="Y33" t="s">
        <v>298</v>
      </c>
      <c r="Z33" t="s">
        <v>35</v>
      </c>
    </row>
    <row r="34">
      <c r="A34" t="s">
        <v>299</v>
      </c>
      <c r="B34" t="s">
        <v>27</v>
      </c>
      <c r="C34" t="s">
        <v>28</v>
      </c>
      <c r="D34" t="s">
        <v>29</v>
      </c>
      <c r="E34">
        <v>26381</v>
      </c>
      <c r="F34">
        <v>109608</v>
      </c>
      <c r="G34">
        <v>53381</v>
      </c>
      <c r="H34">
        <v>27000</v>
      </c>
      <c r="I34">
        <v>76869</v>
      </c>
      <c r="J34" t="str">
        <f>HYPERLINK("https://www.eneba.com/latam/steam-marvels-spider-man-remastered-pc-steam-key-latam","Abrir compra")</f>
        <v>Abrir compra</v>
      </c>
      <c r="K34" t="str">
        <f>HYPERLINK("https://store.steampowered.com/app/1817070/Marvels_SpiderMan_Remastered/","Abrir Steam")</f>
        <v>Abrir Steam</v>
      </c>
      <c r="L34" t="s">
        <v>30</v>
      </c>
      <c r="M34" t="s">
        <v>31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35</v>
      </c>
      <c r="T34" t="s">
        <v>303</v>
      </c>
      <c r="U34" t="s">
        <v>35</v>
      </c>
      <c r="V34" t="s">
        <v>35</v>
      </c>
      <c r="W34" t="s">
        <v>304</v>
      </c>
      <c r="X34" t="s">
        <v>305</v>
      </c>
      <c r="Y34" t="s">
        <v>306</v>
      </c>
      <c r="Z34" t="s">
        <v>307</v>
      </c>
    </row>
    <row r="35">
      <c r="A35" t="s">
        <v>308</v>
      </c>
      <c r="B35" t="s">
        <v>309</v>
      </c>
      <c r="C35" t="s">
        <v>28</v>
      </c>
      <c r="D35" t="s">
        <v>29</v>
      </c>
      <c r="E35">
        <v>50873</v>
      </c>
      <c r="F35">
        <v>150900</v>
      </c>
      <c r="G35">
        <v>77873</v>
      </c>
      <c r="H35">
        <v>27000</v>
      </c>
      <c r="I35">
        <v>112137</v>
      </c>
      <c r="J35" t="str">
        <f>HYPERLINK("https://www.eneba.com/latam/steam-monster-hunter-wilds-premium-deluxe-edition-pc-steam-key-latam","Abrir compra")</f>
        <v>Abrir compra</v>
      </c>
      <c r="K35" t="str">
        <f>HYPERLINK("https://store.steampowered.com/app/2246340/Monster_Hunter_Wilds/?curator_clanid=4777282","Abrir Steam")</f>
        <v>Abrir Steam</v>
      </c>
      <c r="L35" t="s">
        <v>30</v>
      </c>
      <c r="M35" t="s">
        <v>31</v>
      </c>
      <c r="N35" t="s">
        <v>28</v>
      </c>
      <c r="O35" t="s">
        <v>310</v>
      </c>
      <c r="P35" t="s">
        <v>311</v>
      </c>
      <c r="Q35" t="s">
        <v>28</v>
      </c>
      <c r="R35" t="s">
        <v>312</v>
      </c>
      <c r="S35" t="s">
        <v>35</v>
      </c>
      <c r="T35" t="s">
        <v>313</v>
      </c>
      <c r="U35" t="s">
        <v>35</v>
      </c>
      <c r="V35" t="s">
        <v>35</v>
      </c>
      <c r="W35" t="s">
        <v>314</v>
      </c>
      <c r="X35" t="s">
        <v>315</v>
      </c>
      <c r="Y35" t="s">
        <v>35</v>
      </c>
      <c r="Z35" t="s">
        <v>35</v>
      </c>
    </row>
    <row r="36">
      <c r="A36" t="s">
        <v>316</v>
      </c>
      <c r="B36" t="s">
        <v>317</v>
      </c>
      <c r="C36" t="s">
        <v>28</v>
      </c>
      <c r="D36" t="s">
        <v>29</v>
      </c>
      <c r="E36">
        <v>25351</v>
      </c>
      <c r="F36">
        <v>109608</v>
      </c>
      <c r="G36">
        <v>52351</v>
      </c>
      <c r="H36">
        <v>27000</v>
      </c>
      <c r="I36">
        <v>75385</v>
      </c>
      <c r="J36" t="str">
        <f>HYPERLINK("https://www.eneba.com/latam/steam-mortal-kombat-1-definitive-edition-steam-key-pc-latam","Abrir compra")</f>
        <v>Abrir compra</v>
      </c>
      <c r="K36" t="str">
        <f>HYPERLINK("https://store.steampowered.com/app/1971870/Mortal_Kombat_1/?curator_clanid=4777282","Abrir Steam")</f>
        <v>Abrir Steam</v>
      </c>
      <c r="L36" t="s">
        <v>30</v>
      </c>
      <c r="M36" t="s">
        <v>31</v>
      </c>
      <c r="N36" t="s">
        <v>28</v>
      </c>
      <c r="O36" t="s">
        <v>318</v>
      </c>
      <c r="P36" t="s">
        <v>319</v>
      </c>
      <c r="Q36" t="s">
        <v>28</v>
      </c>
      <c r="R36" t="s">
        <v>320</v>
      </c>
      <c r="S36" t="s">
        <v>35</v>
      </c>
      <c r="T36" t="s">
        <v>321</v>
      </c>
      <c r="U36" t="s">
        <v>35</v>
      </c>
      <c r="V36" t="s">
        <v>35</v>
      </c>
      <c r="W36" t="s">
        <v>322</v>
      </c>
      <c r="X36" t="s">
        <v>323</v>
      </c>
      <c r="Y36" t="s">
        <v>324</v>
      </c>
      <c r="Z36" t="s">
        <v>325</v>
      </c>
    </row>
    <row r="37">
      <c r="A37" t="s">
        <v>316</v>
      </c>
      <c r="B37" t="s">
        <v>27</v>
      </c>
      <c r="C37" t="s">
        <v>28</v>
      </c>
      <c r="D37" t="s">
        <v>29</v>
      </c>
      <c r="E37">
        <v>12800</v>
      </c>
      <c r="F37">
        <v>73066</v>
      </c>
      <c r="G37">
        <v>39800</v>
      </c>
      <c r="H37">
        <v>27000</v>
      </c>
      <c r="I37">
        <v>57312</v>
      </c>
      <c r="J37" t="str">
        <f>HYPERLINK("https://www.eneba.com/latam/steam-mortal-kombat-1-pc-steam-key-latam","Abrir compra")</f>
        <v>Abrir compra</v>
      </c>
      <c r="K37" t="str">
        <f>HYPERLINK("https://store.steampowered.com/app/1971870/Mortal_Kombat_1/?curator_clanid=4777282","Abrir Steam")</f>
        <v>Abrir Steam</v>
      </c>
      <c r="L37" t="s">
        <v>30</v>
      </c>
      <c r="M37" t="s">
        <v>31</v>
      </c>
      <c r="N37" t="s">
        <v>28</v>
      </c>
      <c r="O37" t="s">
        <v>326</v>
      </c>
      <c r="P37" t="s">
        <v>327</v>
      </c>
      <c r="Q37" t="s">
        <v>28</v>
      </c>
      <c r="R37" t="s">
        <v>328</v>
      </c>
      <c r="S37" t="s">
        <v>35</v>
      </c>
      <c r="T37" t="s">
        <v>329</v>
      </c>
      <c r="U37" t="s">
        <v>35</v>
      </c>
      <c r="V37" t="s">
        <v>35</v>
      </c>
      <c r="W37" t="s">
        <v>330</v>
      </c>
      <c r="X37" t="s">
        <v>331</v>
      </c>
      <c r="Y37" t="s">
        <v>332</v>
      </c>
      <c r="Z37" t="s">
        <v>333</v>
      </c>
    </row>
    <row r="38">
      <c r="A38" t="s">
        <v>334</v>
      </c>
      <c r="B38" t="s">
        <v>27</v>
      </c>
      <c r="C38" t="s">
        <v>28</v>
      </c>
      <c r="D38" t="s">
        <v>29</v>
      </c>
      <c r="E38">
        <v>14065</v>
      </c>
      <c r="F38">
        <v>127879</v>
      </c>
      <c r="G38">
        <v>41065</v>
      </c>
      <c r="H38">
        <v>27000</v>
      </c>
      <c r="I38">
        <v>59134</v>
      </c>
      <c r="J38" t="str">
        <f>HYPERLINK("https://www.eneba.com/latam/steam-nba-2k26-steam-key-pc-global","Abrir compra")</f>
        <v>Abrir compra</v>
      </c>
      <c r="K38" t="str">
        <f>HYPERLINK("https://store.steampowered.com/app/3472040/NBA_2K26/","Abrir Steam")</f>
        <v>Abrir Steam</v>
      </c>
      <c r="L38" t="s">
        <v>30</v>
      </c>
      <c r="M38" t="s">
        <v>42</v>
      </c>
      <c r="N38" t="s">
        <v>28</v>
      </c>
      <c r="O38" t="s">
        <v>335</v>
      </c>
      <c r="P38" t="s">
        <v>336</v>
      </c>
      <c r="Q38" t="s">
        <v>28</v>
      </c>
      <c r="R38" t="s">
        <v>337</v>
      </c>
      <c r="S38" t="s">
        <v>35</v>
      </c>
      <c r="T38" t="s">
        <v>338</v>
      </c>
      <c r="U38" t="s">
        <v>35</v>
      </c>
      <c r="V38" t="s">
        <v>35</v>
      </c>
      <c r="W38" t="s">
        <v>339</v>
      </c>
      <c r="X38" t="s">
        <v>340</v>
      </c>
      <c r="Y38" t="s">
        <v>341</v>
      </c>
      <c r="Z38" t="s">
        <v>342</v>
      </c>
    </row>
    <row r="39">
      <c r="A39" t="s">
        <v>334</v>
      </c>
      <c r="B39" t="s">
        <v>343</v>
      </c>
      <c r="C39" t="s">
        <v>28</v>
      </c>
      <c r="D39" t="s">
        <v>29</v>
      </c>
      <c r="E39">
        <v>22432</v>
      </c>
      <c r="F39">
        <v>146150</v>
      </c>
      <c r="G39">
        <v>49432</v>
      </c>
      <c r="H39">
        <v>27000</v>
      </c>
      <c r="I39">
        <v>71182</v>
      </c>
      <c r="J39" t="str">
        <f>HYPERLINK("https://www.eneba.com/latam/steam-nba-2k26-slam-edition-steam-key-pc-global","Abrir compra")</f>
        <v>Abrir compra</v>
      </c>
      <c r="K39" t="str">
        <f>HYPERLINK("https://store.steampowered.com/app/3472040/NBA_2K26/","Abrir Steam")</f>
        <v>Abrir Steam</v>
      </c>
      <c r="L39" t="s">
        <v>30</v>
      </c>
      <c r="M39" t="s">
        <v>42</v>
      </c>
      <c r="N39" t="s">
        <v>28</v>
      </c>
      <c r="O39" t="s">
        <v>344</v>
      </c>
      <c r="P39" t="s">
        <v>345</v>
      </c>
      <c r="Q39" t="s">
        <v>28</v>
      </c>
      <c r="R39" t="s">
        <v>346</v>
      </c>
      <c r="S39" t="s">
        <v>35</v>
      </c>
      <c r="T39" t="s">
        <v>347</v>
      </c>
      <c r="U39" t="s">
        <v>35</v>
      </c>
      <c r="V39" t="s">
        <v>35</v>
      </c>
      <c r="W39" t="s">
        <v>348</v>
      </c>
      <c r="X39" t="s">
        <v>349</v>
      </c>
      <c r="Y39" t="s">
        <v>350</v>
      </c>
      <c r="Z39" t="s">
        <v>351</v>
      </c>
    </row>
    <row r="40">
      <c r="A40" t="s">
        <v>334</v>
      </c>
      <c r="B40" t="s">
        <v>352</v>
      </c>
      <c r="C40" t="s">
        <v>28</v>
      </c>
      <c r="D40" t="s">
        <v>29</v>
      </c>
      <c r="E40">
        <v>28738</v>
      </c>
      <c r="F40">
        <v>182692</v>
      </c>
      <c r="G40">
        <v>55738</v>
      </c>
      <c r="H40">
        <v>27000</v>
      </c>
      <c r="I40">
        <v>80263</v>
      </c>
      <c r="J40" t="str">
        <f>HYPERLINK("https://www.eneba.com/latam/steam-nba-2k26-superstar-edition-steam-key-pc-global","Abrir compra")</f>
        <v>Abrir compra</v>
      </c>
      <c r="K40" t="str">
        <f>HYPERLINK("https://store.steampowered.com/app/3472040/NBA_2K26/","Abrir Steam")</f>
        <v>Abrir Steam</v>
      </c>
      <c r="L40" t="s">
        <v>30</v>
      </c>
      <c r="M40" t="s">
        <v>42</v>
      </c>
      <c r="N40" t="s">
        <v>28</v>
      </c>
      <c r="O40" t="s">
        <v>353</v>
      </c>
      <c r="P40" t="s">
        <v>354</v>
      </c>
      <c r="Q40" t="s">
        <v>28</v>
      </c>
      <c r="R40" t="s">
        <v>355</v>
      </c>
      <c r="S40" t="s">
        <v>35</v>
      </c>
      <c r="T40" t="s">
        <v>356</v>
      </c>
      <c r="U40" t="s">
        <v>35</v>
      </c>
      <c r="V40" t="s">
        <v>35</v>
      </c>
      <c r="W40" t="s">
        <v>357</v>
      </c>
      <c r="X40" t="s">
        <v>358</v>
      </c>
      <c r="Y40" t="s">
        <v>359</v>
      </c>
      <c r="Z40" t="s">
        <v>360</v>
      </c>
    </row>
    <row r="41">
      <c r="A41" t="s">
        <v>361</v>
      </c>
      <c r="B41" t="s">
        <v>362</v>
      </c>
      <c r="C41" t="s">
        <v>28</v>
      </c>
      <c r="D41" t="s">
        <v>29</v>
      </c>
      <c r="E41">
        <v>15860</v>
      </c>
      <c r="F41">
        <v>58449</v>
      </c>
      <c r="G41">
        <v>38646</v>
      </c>
      <c r="H41">
        <v>22786</v>
      </c>
      <c r="I41">
        <v>55650</v>
      </c>
      <c r="J41" t="str">
        <f>HYPERLINK("https://www.eneba.com/latam/steam-nier-automata-game-of-the-yorha-edition-steam-key-pc-latam","Abrir compra")</f>
        <v>Abrir compra</v>
      </c>
      <c r="K41" t="str">
        <f>HYPERLINK("https://store.steampowered.com/app/524220/NieRAutomata/?curator_clanid=4777282","Abrir Steam")</f>
        <v>Abrir Steam</v>
      </c>
      <c r="L41" t="s">
        <v>30</v>
      </c>
      <c r="M41" t="s">
        <v>31</v>
      </c>
      <c r="N41" t="s">
        <v>28</v>
      </c>
      <c r="O41" t="s">
        <v>363</v>
      </c>
      <c r="P41" t="s">
        <v>364</v>
      </c>
      <c r="Q41" t="s">
        <v>28</v>
      </c>
      <c r="R41" t="s">
        <v>365</v>
      </c>
      <c r="S41" t="s">
        <v>35</v>
      </c>
      <c r="T41" t="s">
        <v>366</v>
      </c>
      <c r="U41" t="s">
        <v>35</v>
      </c>
      <c r="V41" t="s">
        <v>35</v>
      </c>
      <c r="W41" t="s">
        <v>367</v>
      </c>
      <c r="X41" t="s">
        <v>368</v>
      </c>
      <c r="Y41" t="s">
        <v>369</v>
      </c>
      <c r="Z41" t="s">
        <v>370</v>
      </c>
    </row>
    <row r="42">
      <c r="A42" t="s">
        <v>371</v>
      </c>
      <c r="B42" t="s">
        <v>27</v>
      </c>
      <c r="C42" t="s">
        <v>28</v>
      </c>
      <c r="D42" t="s">
        <v>29</v>
      </c>
      <c r="E42">
        <v>29019</v>
      </c>
      <c r="F42">
        <v>87683</v>
      </c>
      <c r="G42">
        <v>56019</v>
      </c>
      <c r="H42">
        <v>27000</v>
      </c>
      <c r="I42">
        <v>80667</v>
      </c>
      <c r="J42" t="str">
        <f>HYPERLINK("https://www.eneba.com/latam/steam-persona-3-reload-pc-steam-key-global","Abrir compra")</f>
        <v>Abrir compra</v>
      </c>
      <c r="K42" t="str">
        <f>HYPERLINK("https://store.steampowered.com/app/2161700/Persona_3_Reload/","Abrir Steam")</f>
        <v>Abrir Steam</v>
      </c>
      <c r="L42" t="s">
        <v>30</v>
      </c>
      <c r="M42" t="s">
        <v>42</v>
      </c>
      <c r="N42" t="s">
        <v>28</v>
      </c>
      <c r="O42" t="s">
        <v>372</v>
      </c>
      <c r="P42" t="s">
        <v>373</v>
      </c>
      <c r="Q42" t="s">
        <v>28</v>
      </c>
      <c r="R42" t="s">
        <v>374</v>
      </c>
      <c r="S42" t="s">
        <v>35</v>
      </c>
      <c r="T42" t="s">
        <v>375</v>
      </c>
      <c r="U42" t="s">
        <v>35</v>
      </c>
      <c r="V42" t="s">
        <v>35</v>
      </c>
      <c r="W42" t="s">
        <v>376</v>
      </c>
      <c r="X42" t="s">
        <v>377</v>
      </c>
      <c r="Y42" t="s">
        <v>378</v>
      </c>
      <c r="Z42" t="s">
        <v>379</v>
      </c>
    </row>
    <row r="43">
      <c r="A43" t="s">
        <v>380</v>
      </c>
      <c r="B43" t="s">
        <v>95</v>
      </c>
      <c r="C43" t="s">
        <v>28</v>
      </c>
      <c r="D43" t="s">
        <v>29</v>
      </c>
      <c r="E43">
        <v>74491</v>
      </c>
      <c r="F43">
        <v>96836</v>
      </c>
      <c r="G43">
        <v>89491</v>
      </c>
      <c r="H43">
        <v>15000</v>
      </c>
      <c r="I43">
        <v>128867</v>
      </c>
      <c r="J43" t="str">
        <f>HYPERLINK("https://www.eneba.com/latam/steam-pragmata-deluxe-edition-steam-key-pc-latam","Abrir compra")</f>
        <v>Abrir compra</v>
      </c>
      <c r="K43" t="str">
        <f>HYPERLINK("https://store.steampowered.com/app/3357650/PRAGMATA/","Abrir Steam")</f>
        <v>Abrir Steam</v>
      </c>
      <c r="L43" t="s">
        <v>30</v>
      </c>
      <c r="M43" t="s">
        <v>31</v>
      </c>
      <c r="N43" t="s">
        <v>28</v>
      </c>
      <c r="O43" t="s">
        <v>381</v>
      </c>
      <c r="P43" t="s">
        <v>382</v>
      </c>
      <c r="Q43" t="s">
        <v>28</v>
      </c>
      <c r="R43" t="s">
        <v>383</v>
      </c>
      <c r="S43" t="s">
        <v>35</v>
      </c>
      <c r="T43" t="s">
        <v>384</v>
      </c>
      <c r="U43" t="s">
        <v>35</v>
      </c>
      <c r="V43" t="s">
        <v>35</v>
      </c>
      <c r="W43" t="s">
        <v>385</v>
      </c>
      <c r="X43" t="s">
        <v>386</v>
      </c>
      <c r="Y43" t="s">
        <v>387</v>
      </c>
      <c r="Z43" t="s">
        <v>388</v>
      </c>
    </row>
    <row r="44">
      <c r="A44" t="s">
        <v>380</v>
      </c>
      <c r="B44" t="s">
        <v>27</v>
      </c>
      <c r="C44" t="s">
        <v>28</v>
      </c>
      <c r="D44" t="s">
        <v>29</v>
      </c>
      <c r="E44">
        <v>59287</v>
      </c>
      <c r="F44">
        <v>82220</v>
      </c>
      <c r="G44">
        <v>74287</v>
      </c>
      <c r="H44">
        <v>15000</v>
      </c>
      <c r="I44">
        <v>106973</v>
      </c>
      <c r="J44" t="str">
        <f>HYPERLINK("https://www.eneba.com/latam/steam-pragmata-steam-key-pc-latam","Abrir compra")</f>
        <v>Abrir compra</v>
      </c>
      <c r="K44" t="str">
        <f>HYPERLINK("https://store.steampowered.com/app/3357650/PRAGMATA/","Abrir Steam")</f>
        <v>Abrir Steam</v>
      </c>
      <c r="L44" t="s">
        <v>30</v>
      </c>
      <c r="M44" t="s">
        <v>31</v>
      </c>
      <c r="N44" t="s">
        <v>28</v>
      </c>
      <c r="O44" t="s">
        <v>389</v>
      </c>
      <c r="P44" t="s">
        <v>390</v>
      </c>
      <c r="Q44" t="s">
        <v>28</v>
      </c>
      <c r="R44" t="s">
        <v>391</v>
      </c>
      <c r="S44" t="s">
        <v>35</v>
      </c>
      <c r="T44" t="s">
        <v>392</v>
      </c>
      <c r="U44" t="s">
        <v>35</v>
      </c>
      <c r="V44" t="s">
        <v>35</v>
      </c>
      <c r="W44" t="s">
        <v>393</v>
      </c>
      <c r="X44" t="s">
        <v>394</v>
      </c>
      <c r="Y44" t="s">
        <v>395</v>
      </c>
      <c r="Z44" t="s">
        <v>396</v>
      </c>
    </row>
    <row r="45">
      <c r="A45" t="s">
        <v>397</v>
      </c>
      <c r="B45" t="s">
        <v>27</v>
      </c>
      <c r="C45" t="s">
        <v>28</v>
      </c>
      <c r="D45" t="s">
        <v>29</v>
      </c>
      <c r="E45">
        <v>16578</v>
      </c>
      <c r="F45">
        <v>60276</v>
      </c>
      <c r="G45">
        <v>39755</v>
      </c>
      <c r="H45">
        <v>23177</v>
      </c>
      <c r="I45">
        <v>57247</v>
      </c>
      <c r="J45" t="str">
        <f>HYPERLINK("https://www.eneba.com/latam/steam-ready-or-not-pc-steam-key-latam","Abrir compra")</f>
        <v>Abrir compra</v>
      </c>
      <c r="K45" t="str">
        <f>HYPERLINK("https://store.steampowered.com/app/1144200/Ready_or_Not/","Abrir Steam")</f>
        <v>Abrir Steam</v>
      </c>
      <c r="L45" t="s">
        <v>30</v>
      </c>
      <c r="M45" t="s">
        <v>31</v>
      </c>
      <c r="N45" t="s">
        <v>28</v>
      </c>
      <c r="O45" t="s">
        <v>398</v>
      </c>
      <c r="P45" t="s">
        <v>399</v>
      </c>
      <c r="Q45" t="s">
        <v>28</v>
      </c>
      <c r="R45" t="s">
        <v>400</v>
      </c>
      <c r="S45" t="s">
        <v>35</v>
      </c>
      <c r="T45" t="s">
        <v>401</v>
      </c>
      <c r="U45" t="s">
        <v>35</v>
      </c>
      <c r="V45" t="s">
        <v>35</v>
      </c>
      <c r="W45" t="s">
        <v>402</v>
      </c>
      <c r="X45" t="s">
        <v>403</v>
      </c>
      <c r="Y45" t="s">
        <v>404</v>
      </c>
      <c r="Z45" t="s">
        <v>405</v>
      </c>
    </row>
    <row r="46">
      <c r="A46" t="s">
        <v>406</v>
      </c>
      <c r="B46" t="s">
        <v>27</v>
      </c>
      <c r="C46" t="s">
        <v>28</v>
      </c>
      <c r="D46" t="s">
        <v>29</v>
      </c>
      <c r="E46">
        <v>9335</v>
      </c>
      <c r="F46">
        <v>52986</v>
      </c>
      <c r="G46">
        <v>34665</v>
      </c>
      <c r="H46">
        <v>25330</v>
      </c>
      <c r="I46">
        <v>49918</v>
      </c>
      <c r="J46" t="str">
        <f>HYPERLINK("https://www.eneba.com/latam/steam-resident-evil-2-biohazard-re-2-steam-key-latam","Abrir compra")</f>
        <v>Abrir compra</v>
      </c>
      <c r="K46" t="str">
        <f>HYPERLINK("https://store.steampowered.com/app/883710/Resident_Evil_2/?curator_clanid=4777282","Abrir Steam")</f>
        <v>Abrir Steam</v>
      </c>
      <c r="L46" t="s">
        <v>30</v>
      </c>
      <c r="M46" t="s">
        <v>31</v>
      </c>
      <c r="N46" t="s">
        <v>28</v>
      </c>
      <c r="O46" t="s">
        <v>407</v>
      </c>
      <c r="P46" t="s">
        <v>408</v>
      </c>
      <c r="Q46" t="s">
        <v>28</v>
      </c>
      <c r="R46" t="s">
        <v>409</v>
      </c>
      <c r="S46" t="s">
        <v>35</v>
      </c>
      <c r="T46" t="s">
        <v>410</v>
      </c>
      <c r="U46" t="s">
        <v>35</v>
      </c>
      <c r="V46" t="s">
        <v>35</v>
      </c>
      <c r="W46" t="s">
        <v>411</v>
      </c>
      <c r="X46" t="s">
        <v>412</v>
      </c>
      <c r="Y46" t="s">
        <v>413</v>
      </c>
      <c r="Z46" t="s">
        <v>35</v>
      </c>
    </row>
    <row r="47">
      <c r="A47" t="s">
        <v>414</v>
      </c>
      <c r="B47" t="s">
        <v>27</v>
      </c>
      <c r="C47" t="s">
        <v>28</v>
      </c>
      <c r="D47" t="s">
        <v>29</v>
      </c>
      <c r="E47">
        <v>8351</v>
      </c>
      <c r="F47">
        <v>52986</v>
      </c>
      <c r="G47">
        <v>34665</v>
      </c>
      <c r="H47">
        <v>26314</v>
      </c>
      <c r="I47">
        <v>49918</v>
      </c>
      <c r="J47" t="str">
        <f>HYPERLINK("https://www.eneba.com/latam/steam-resident-evil-3-steam-key-latam","Abrir compra")</f>
        <v>Abrir compra</v>
      </c>
      <c r="K47" t="str">
        <f>HYPERLINK("https://store.steampowered.com/app/952060/Resident_Evil_3/?curator_clanid=4777282","Abrir Steam")</f>
        <v>Abrir Steam</v>
      </c>
      <c r="L47" t="s">
        <v>30</v>
      </c>
      <c r="M47" t="s">
        <v>31</v>
      </c>
      <c r="N47" t="s">
        <v>28</v>
      </c>
      <c r="O47" t="s">
        <v>415</v>
      </c>
      <c r="P47" t="s">
        <v>416</v>
      </c>
      <c r="Q47" t="s">
        <v>28</v>
      </c>
      <c r="R47" t="s">
        <v>417</v>
      </c>
      <c r="S47" t="s">
        <v>35</v>
      </c>
      <c r="T47" t="s">
        <v>418</v>
      </c>
      <c r="U47" t="s">
        <v>35</v>
      </c>
      <c r="V47" t="s">
        <v>35</v>
      </c>
      <c r="W47" t="s">
        <v>419</v>
      </c>
      <c r="X47" t="s">
        <v>420</v>
      </c>
      <c r="Y47" t="s">
        <v>421</v>
      </c>
      <c r="Z47" t="s">
        <v>35</v>
      </c>
    </row>
    <row r="48">
      <c r="A48" t="s">
        <v>422</v>
      </c>
      <c r="B48" t="s">
        <v>423</v>
      </c>
      <c r="C48" t="s">
        <v>28</v>
      </c>
      <c r="D48" t="s">
        <v>29</v>
      </c>
      <c r="E48">
        <v>34561</v>
      </c>
      <c r="F48">
        <v>71257</v>
      </c>
      <c r="G48">
        <v>51890</v>
      </c>
      <c r="H48">
        <v>17329</v>
      </c>
      <c r="I48">
        <v>74722</v>
      </c>
      <c r="J48" t="str">
        <f>HYPERLINK("https://www.eneba.com/latam/steam-resident-evil-7-gold-edition-village-gold-edition-pc-steam-key-latam","Abrir compra")</f>
        <v>Abrir compra</v>
      </c>
      <c r="K48" t="str">
        <f>HYPERLINK("https://store.steampowered.com/app/1196590/Resident_Evil_Village/?l=spanish","Abrir Steam")</f>
        <v>Abrir Steam</v>
      </c>
      <c r="L48" t="s">
        <v>30</v>
      </c>
      <c r="M48" t="s">
        <v>31</v>
      </c>
      <c r="N48" t="s">
        <v>28</v>
      </c>
      <c r="O48" t="s">
        <v>424</v>
      </c>
      <c r="P48" t="s">
        <v>425</v>
      </c>
      <c r="Q48" t="s">
        <v>28</v>
      </c>
      <c r="R48" t="s">
        <v>426</v>
      </c>
      <c r="S48" t="s">
        <v>35</v>
      </c>
      <c r="T48" t="s">
        <v>427</v>
      </c>
      <c r="U48" t="s">
        <v>35</v>
      </c>
      <c r="V48" t="s">
        <v>35</v>
      </c>
      <c r="W48" t="s">
        <v>428</v>
      </c>
      <c r="X48" t="s">
        <v>429</v>
      </c>
      <c r="Y48" t="s">
        <v>430</v>
      </c>
      <c r="Z48" t="s">
        <v>35</v>
      </c>
    </row>
    <row r="49">
      <c r="A49" t="s">
        <v>431</v>
      </c>
      <c r="B49" t="s">
        <v>432</v>
      </c>
      <c r="C49" t="s">
        <v>28</v>
      </c>
      <c r="D49" t="s">
        <v>29</v>
      </c>
      <c r="E49">
        <v>11801</v>
      </c>
      <c r="F49">
        <v>109608</v>
      </c>
      <c r="G49">
        <v>38801</v>
      </c>
      <c r="H49">
        <v>27000</v>
      </c>
      <c r="I49">
        <v>55873</v>
      </c>
      <c r="J49" t="str">
        <f>HYPERLINK("https://www.eneba.com/latam/steam-resident-evil-7-biohazard-gold-edition-steam-key-latam","Abrir compra")</f>
        <v>Abrir compra</v>
      </c>
      <c r="K49" t="str">
        <f>HYPERLINK("https://store.steampowered.com/app/418370/Resident_Evil_7_Biohazard/","Abrir Steam")</f>
        <v>Abrir Steam</v>
      </c>
      <c r="L49" t="s">
        <v>30</v>
      </c>
      <c r="M49" t="s">
        <v>31</v>
      </c>
      <c r="N49" t="s">
        <v>28</v>
      </c>
      <c r="O49" t="s">
        <v>433</v>
      </c>
      <c r="P49" t="s">
        <v>434</v>
      </c>
      <c r="Q49" t="s">
        <v>28</v>
      </c>
      <c r="R49" t="s">
        <v>435</v>
      </c>
      <c r="S49" t="s">
        <v>35</v>
      </c>
      <c r="T49" t="s">
        <v>436</v>
      </c>
      <c r="U49" t="s">
        <v>35</v>
      </c>
      <c r="V49" t="s">
        <v>35</v>
      </c>
      <c r="W49" t="s">
        <v>437</v>
      </c>
      <c r="X49" t="s">
        <v>438</v>
      </c>
      <c r="Y49" t="s">
        <v>439</v>
      </c>
      <c r="Z49" t="s">
        <v>35</v>
      </c>
    </row>
    <row r="50">
      <c r="A50" t="s">
        <v>440</v>
      </c>
      <c r="B50" t="s">
        <v>27</v>
      </c>
      <c r="C50" t="s">
        <v>28</v>
      </c>
      <c r="D50" t="s">
        <v>29</v>
      </c>
      <c r="E50">
        <v>11817</v>
      </c>
      <c r="F50">
        <v>52986</v>
      </c>
      <c r="G50">
        <v>34665</v>
      </c>
      <c r="H50">
        <v>22848</v>
      </c>
      <c r="I50">
        <v>49918</v>
      </c>
      <c r="J50" t="str">
        <f>HYPERLINK("https://www.eneba.com/latam/steam-resident-evil-village-resident-evil-8-steam-key-latam","Abrir compra")</f>
        <v>Abrir compra</v>
      </c>
      <c r="K50" t="str">
        <f>HYPERLINK("https://store.steampowered.com/app/1196590/Resident_Evil_Village/?l=spanish","Abrir Steam")</f>
        <v>Abrir Steam</v>
      </c>
      <c r="L50" t="s">
        <v>30</v>
      </c>
      <c r="M50" t="s">
        <v>31</v>
      </c>
      <c r="N50" t="s">
        <v>28</v>
      </c>
      <c r="O50" t="s">
        <v>441</v>
      </c>
      <c r="P50" t="s">
        <v>442</v>
      </c>
      <c r="Q50" t="s">
        <v>28</v>
      </c>
      <c r="R50" t="s">
        <v>443</v>
      </c>
      <c r="S50" t="s">
        <v>35</v>
      </c>
      <c r="T50" t="s">
        <v>444</v>
      </c>
      <c r="U50" t="s">
        <v>35</v>
      </c>
      <c r="V50" t="s">
        <v>35</v>
      </c>
      <c r="W50" t="s">
        <v>445</v>
      </c>
      <c r="X50" t="s">
        <v>446</v>
      </c>
      <c r="Y50" t="s">
        <v>447</v>
      </c>
      <c r="Z50" t="s">
        <v>448</v>
      </c>
    </row>
    <row r="51">
      <c r="A51" t="s">
        <v>440</v>
      </c>
      <c r="B51" t="s">
        <v>432</v>
      </c>
      <c r="C51" t="s">
        <v>28</v>
      </c>
      <c r="D51" t="s">
        <v>29</v>
      </c>
      <c r="E51">
        <v>17639</v>
      </c>
      <c r="F51">
        <v>71257</v>
      </c>
      <c r="G51">
        <v>44639</v>
      </c>
      <c r="H51">
        <v>27000</v>
      </c>
      <c r="I51">
        <v>64280</v>
      </c>
      <c r="J51" t="str">
        <f>HYPERLINK("https://www.eneba.com/latam/steam-resident-evil-village-resident-evil-8-gold-edition-pc-steam-key-latam","Abrir compra")</f>
        <v>Abrir compra</v>
      </c>
      <c r="K51" t="str">
        <f>HYPERLINK("https://store.steampowered.com/app/1196590/Resident_Evil_Village/?l=spanish","Abrir Steam")</f>
        <v>Abrir Steam</v>
      </c>
      <c r="L51" t="s">
        <v>30</v>
      </c>
      <c r="M51" t="s">
        <v>31</v>
      </c>
      <c r="N51" t="s">
        <v>28</v>
      </c>
      <c r="O51" t="s">
        <v>449</v>
      </c>
      <c r="P51" t="s">
        <v>450</v>
      </c>
      <c r="Q51" t="s">
        <v>28</v>
      </c>
      <c r="R51" t="s">
        <v>451</v>
      </c>
      <c r="S51" t="s">
        <v>35</v>
      </c>
      <c r="T51" t="s">
        <v>452</v>
      </c>
      <c r="U51" t="s">
        <v>35</v>
      </c>
      <c r="V51" t="s">
        <v>35</v>
      </c>
      <c r="W51" t="s">
        <v>453</v>
      </c>
      <c r="X51" t="s">
        <v>454</v>
      </c>
      <c r="Y51" t="s">
        <v>455</v>
      </c>
      <c r="Z51" t="s">
        <v>456</v>
      </c>
    </row>
    <row r="52">
      <c r="A52" t="s">
        <v>457</v>
      </c>
      <c r="B52" t="s">
        <v>27</v>
      </c>
      <c r="C52" t="s">
        <v>28</v>
      </c>
      <c r="D52" t="s">
        <v>29</v>
      </c>
      <c r="E52">
        <v>40289</v>
      </c>
      <c r="F52">
        <v>60276</v>
      </c>
      <c r="G52">
        <v>55289</v>
      </c>
      <c r="H52">
        <v>15000</v>
      </c>
      <c r="I52">
        <v>79616</v>
      </c>
      <c r="J52" t="str">
        <f>HYPERLINK("https://www.eneba.com/latam/steam-silent-hill-2-pc-steam-key-global","Abrir compra")</f>
        <v>Abrir compra</v>
      </c>
      <c r="K52" t="str">
        <f>HYPERLINK("https://store.steampowered.com/app/2124490/SILENT_HILL_2/","Abrir Steam")</f>
        <v>Abrir Steam</v>
      </c>
      <c r="L52" t="s">
        <v>30</v>
      </c>
      <c r="M52" t="s">
        <v>42</v>
      </c>
      <c r="N52" t="s">
        <v>28</v>
      </c>
      <c r="O52" t="s">
        <v>458</v>
      </c>
      <c r="P52" t="s">
        <v>459</v>
      </c>
      <c r="Q52" t="s">
        <v>28</v>
      </c>
      <c r="R52" t="s">
        <v>460</v>
      </c>
      <c r="S52" t="s">
        <v>35</v>
      </c>
      <c r="T52" t="s">
        <v>461</v>
      </c>
      <c r="U52" t="s">
        <v>35</v>
      </c>
      <c r="V52" t="s">
        <v>35</v>
      </c>
      <c r="W52" t="s">
        <v>462</v>
      </c>
      <c r="X52" t="s">
        <v>463</v>
      </c>
      <c r="Y52" t="s">
        <v>464</v>
      </c>
      <c r="Z52" t="s">
        <v>465</v>
      </c>
    </row>
    <row r="53">
      <c r="A53" t="s">
        <v>466</v>
      </c>
      <c r="B53" t="s">
        <v>27</v>
      </c>
      <c r="C53" t="s">
        <v>28</v>
      </c>
      <c r="D53" t="s">
        <v>29</v>
      </c>
      <c r="E53">
        <v>36246</v>
      </c>
      <c r="F53">
        <v>60276</v>
      </c>
      <c r="G53">
        <v>51246</v>
      </c>
      <c r="H53">
        <v>15000</v>
      </c>
      <c r="I53">
        <v>73794</v>
      </c>
      <c r="J53" t="str">
        <f>HYPERLINK("https://www.eneba.com/latam/steam-silent-hill-f-steam-key-pc-latam","Abrir compra")</f>
        <v>Abrir compra</v>
      </c>
      <c r="K53" t="str">
        <f>HYPERLINK("https://store.steampowered.com/app/2947440/SILENT_HILL_f/","Abrir Steam")</f>
        <v>Abrir Steam</v>
      </c>
      <c r="L53" t="s">
        <v>30</v>
      </c>
      <c r="M53" t="s">
        <v>31</v>
      </c>
      <c r="N53" t="s">
        <v>28</v>
      </c>
      <c r="O53" t="s">
        <v>467</v>
      </c>
      <c r="P53" t="s">
        <v>468</v>
      </c>
      <c r="Q53" t="s">
        <v>28</v>
      </c>
      <c r="R53" t="s">
        <v>469</v>
      </c>
      <c r="S53" t="s">
        <v>35</v>
      </c>
      <c r="T53" t="s">
        <v>470</v>
      </c>
      <c r="U53" t="s">
        <v>35</v>
      </c>
      <c r="V53" t="s">
        <v>35</v>
      </c>
      <c r="W53" t="s">
        <v>471</v>
      </c>
      <c r="X53" t="s">
        <v>472</v>
      </c>
      <c r="Y53" t="s">
        <v>473</v>
      </c>
      <c r="Z53" t="s">
        <v>35</v>
      </c>
    </row>
    <row r="54">
      <c r="A54" t="s">
        <v>474</v>
      </c>
      <c r="B54" t="s">
        <v>27</v>
      </c>
      <c r="C54" t="s">
        <v>28</v>
      </c>
      <c r="D54" t="s">
        <v>29</v>
      </c>
      <c r="E54">
        <v>21854</v>
      </c>
      <c r="F54">
        <v>127879</v>
      </c>
      <c r="G54">
        <v>48854</v>
      </c>
      <c r="H54">
        <v>27000</v>
      </c>
      <c r="I54">
        <v>70350</v>
      </c>
      <c r="J54" t="str">
        <f>HYPERLINK("https://www.eneba.com/latam/steam-star-wars-jedi-survivortm-pc-steam-key-global","Abrir compra")</f>
        <v>Abrir compra</v>
      </c>
      <c r="K54" t="str">
        <f>HYPERLINK("https://store.steampowered.com/app/1774580/STAR_WARS_Jedi_Survivor/?curator_clanid=4777282","Abrir Steam")</f>
        <v>Abrir Steam</v>
      </c>
      <c r="L54" t="s">
        <v>30</v>
      </c>
      <c r="M54" t="s">
        <v>42</v>
      </c>
      <c r="N54" t="s">
        <v>28</v>
      </c>
      <c r="O54" t="s">
        <v>475</v>
      </c>
      <c r="P54" t="s">
        <v>476</v>
      </c>
      <c r="Q54" t="s">
        <v>28</v>
      </c>
      <c r="R54" t="s">
        <v>477</v>
      </c>
      <c r="S54" t="s">
        <v>35</v>
      </c>
      <c r="T54" t="s">
        <v>478</v>
      </c>
      <c r="U54" t="s">
        <v>35</v>
      </c>
      <c r="V54" t="s">
        <v>35</v>
      </c>
      <c r="W54" t="s">
        <v>35</v>
      </c>
      <c r="X54" t="s">
        <v>479</v>
      </c>
      <c r="Y54" t="s">
        <v>35</v>
      </c>
      <c r="Z54" t="s">
        <v>35</v>
      </c>
    </row>
    <row r="55">
      <c r="A55" t="s">
        <v>480</v>
      </c>
      <c r="B55" t="s">
        <v>481</v>
      </c>
      <c r="C55" t="s">
        <v>28</v>
      </c>
      <c r="D55" t="s">
        <v>29</v>
      </c>
      <c r="E55">
        <v>72977</v>
      </c>
      <c r="F55">
        <v>127879</v>
      </c>
      <c r="G55">
        <v>92736</v>
      </c>
      <c r="H55">
        <v>19759</v>
      </c>
      <c r="I55">
        <v>133540</v>
      </c>
      <c r="J55" t="str">
        <f>HYPERLINK("https://www.eneba.com/latam/steam-stellar-blade-complete-edition-steam-key-pc-latam","Abrir compra")</f>
        <v>Abrir compra</v>
      </c>
      <c r="K55" t="str">
        <f>HYPERLINK("https://store.steampowered.com/app/3489700/Stellar_Blade/","Abrir Steam")</f>
        <v>Abrir Steam</v>
      </c>
      <c r="L55" t="s">
        <v>30</v>
      </c>
      <c r="M55" t="s">
        <v>31</v>
      </c>
      <c r="N55" t="s">
        <v>28</v>
      </c>
      <c r="O55" t="s">
        <v>482</v>
      </c>
      <c r="P55" t="s">
        <v>483</v>
      </c>
      <c r="Q55" t="s">
        <v>28</v>
      </c>
      <c r="R55" t="s">
        <v>484</v>
      </c>
      <c r="S55" t="s">
        <v>35</v>
      </c>
      <c r="T55" t="s">
        <v>485</v>
      </c>
      <c r="U55" t="s">
        <v>35</v>
      </c>
      <c r="V55" t="s">
        <v>35</v>
      </c>
      <c r="W55" t="s">
        <v>486</v>
      </c>
      <c r="X55" t="s">
        <v>487</v>
      </c>
      <c r="Y55" t="s">
        <v>488</v>
      </c>
      <c r="Z55" t="s">
        <v>489</v>
      </c>
    </row>
    <row r="56">
      <c r="A56" t="s">
        <v>480</v>
      </c>
      <c r="B56" t="s">
        <v>27</v>
      </c>
      <c r="C56" t="s">
        <v>28</v>
      </c>
      <c r="D56" t="s">
        <v>29</v>
      </c>
      <c r="E56">
        <v>52590</v>
      </c>
      <c r="F56">
        <v>109608</v>
      </c>
      <c r="G56">
        <v>76360</v>
      </c>
      <c r="H56">
        <v>23770</v>
      </c>
      <c r="I56">
        <v>109958</v>
      </c>
      <c r="J56" t="str">
        <f>HYPERLINK("https://www.eneba.com/latam/steam-stellar-blade-steam-key-pc-latam","Abrir compra")</f>
        <v>Abrir compra</v>
      </c>
      <c r="K56" t="str">
        <f>HYPERLINK("https://store.steampowered.com/app/3489700/Stellar_Blade/","Abrir Steam")</f>
        <v>Abrir Steam</v>
      </c>
      <c r="L56" t="s">
        <v>30</v>
      </c>
      <c r="M56" t="s">
        <v>31</v>
      </c>
      <c r="N56" t="s">
        <v>28</v>
      </c>
      <c r="O56" t="s">
        <v>490</v>
      </c>
      <c r="P56" t="s">
        <v>491</v>
      </c>
      <c r="Q56" t="s">
        <v>28</v>
      </c>
      <c r="R56" t="s">
        <v>492</v>
      </c>
      <c r="S56" t="s">
        <v>35</v>
      </c>
      <c r="T56" t="s">
        <v>493</v>
      </c>
      <c r="U56" t="s">
        <v>35</v>
      </c>
      <c r="V56" t="s">
        <v>35</v>
      </c>
      <c r="W56" t="s">
        <v>494</v>
      </c>
      <c r="X56" t="s">
        <v>495</v>
      </c>
      <c r="Y56" t="s">
        <v>496</v>
      </c>
      <c r="Z56" t="s">
        <v>497</v>
      </c>
    </row>
    <row r="57">
      <c r="A57" t="s">
        <v>498</v>
      </c>
      <c r="B57" t="s">
        <v>27</v>
      </c>
      <c r="C57" t="s">
        <v>28</v>
      </c>
      <c r="D57" t="s">
        <v>29</v>
      </c>
      <c r="E57">
        <v>34358</v>
      </c>
      <c r="F57">
        <v>58449</v>
      </c>
      <c r="G57">
        <v>49358</v>
      </c>
      <c r="H57">
        <v>15000</v>
      </c>
      <c r="I57">
        <v>71076</v>
      </c>
      <c r="J57" t="str">
        <f>HYPERLINK("https://www.eneba.com/latam/steam-tekken-8-pc-steam-key-global","Abrir compra")</f>
        <v>Abrir compra</v>
      </c>
      <c r="K57" t="str">
        <f>HYPERLINK("https://store.steampowered.com/app/1778820/TEKKEN_8/?curator_clanid=4777282","Abrir Steam")</f>
        <v>Abrir Steam</v>
      </c>
      <c r="L57" t="s">
        <v>30</v>
      </c>
      <c r="M57" t="s">
        <v>42</v>
      </c>
      <c r="N57" t="s">
        <v>28</v>
      </c>
      <c r="O57" t="s">
        <v>499</v>
      </c>
      <c r="P57" t="s">
        <v>500</v>
      </c>
      <c r="Q57" t="s">
        <v>28</v>
      </c>
      <c r="R57" t="s">
        <v>501</v>
      </c>
      <c r="S57" t="s">
        <v>35</v>
      </c>
      <c r="T57" t="s">
        <v>502</v>
      </c>
      <c r="U57" t="s">
        <v>35</v>
      </c>
      <c r="V57" t="s">
        <v>35</v>
      </c>
      <c r="W57" t="s">
        <v>503</v>
      </c>
      <c r="X57" t="s">
        <v>504</v>
      </c>
      <c r="Y57" t="s">
        <v>505</v>
      </c>
      <c r="Z57" t="s">
        <v>506</v>
      </c>
    </row>
    <row r="58">
      <c r="A58" t="s">
        <v>507</v>
      </c>
      <c r="B58" t="s">
        <v>27</v>
      </c>
      <c r="C58" t="s">
        <v>28</v>
      </c>
      <c r="D58" t="s">
        <v>29</v>
      </c>
      <c r="E58">
        <v>10662</v>
      </c>
      <c r="F58">
        <v>43832</v>
      </c>
      <c r="G58">
        <v>31095</v>
      </c>
      <c r="H58">
        <v>20433</v>
      </c>
      <c r="I58">
        <v>44777</v>
      </c>
      <c r="J58" t="str">
        <f>HYPERLINK("https://www.eneba.com/latam/steam-the-elder-scrolls-v-skyrim-special-edition-steam-key-latam","Abrir compra")</f>
        <v>Abrir compra</v>
      </c>
      <c r="K58" t="str">
        <f>HYPERLINK("https://store.steampowered.com/app/489830/The_Elder_Scrolls_V_Skyrim_Special_Edition/","Abrir Steam")</f>
        <v>Abrir Steam</v>
      </c>
      <c r="L58" t="s">
        <v>30</v>
      </c>
      <c r="M58" t="s">
        <v>31</v>
      </c>
      <c r="N58" t="s">
        <v>28</v>
      </c>
      <c r="O58" t="s">
        <v>508</v>
      </c>
      <c r="P58" t="s">
        <v>509</v>
      </c>
      <c r="Q58" t="s">
        <v>28</v>
      </c>
      <c r="R58" t="s">
        <v>510</v>
      </c>
      <c r="S58" t="s">
        <v>35</v>
      </c>
      <c r="T58" t="s">
        <v>511</v>
      </c>
      <c r="U58" t="s">
        <v>35</v>
      </c>
      <c r="V58" t="s">
        <v>35</v>
      </c>
      <c r="W58" t="s">
        <v>512</v>
      </c>
      <c r="X58" t="s">
        <v>513</v>
      </c>
      <c r="Y58" t="s">
        <v>514</v>
      </c>
      <c r="Z58" t="s">
        <v>515</v>
      </c>
    </row>
    <row r="59">
      <c r="A59" t="s">
        <v>516</v>
      </c>
      <c r="B59" t="s">
        <v>27</v>
      </c>
      <c r="C59" t="s">
        <v>28</v>
      </c>
      <c r="D59" t="s">
        <v>29</v>
      </c>
      <c r="E59">
        <v>18404</v>
      </c>
      <c r="F59">
        <v>91337</v>
      </c>
      <c r="G59">
        <v>45404</v>
      </c>
      <c r="H59">
        <v>27000</v>
      </c>
      <c r="I59">
        <v>65382</v>
      </c>
      <c r="J59" t="str">
        <f>HYPERLINK("https://www.eneba.com/latam/steam-uncharted-legacy-of-thieves-collection-pc-steam-key-latam","Abrir compra")</f>
        <v>Abrir compra</v>
      </c>
      <c r="K59" t="str">
        <f>HYPERLINK("https://store.steampowered.com/app/1659420/UNCHARTED_Coleccin_Legado_de_los_Ladrones/?curator_clanid=4777282","Abrir Steam")</f>
        <v>Abrir Steam</v>
      </c>
      <c r="L59" t="s">
        <v>30</v>
      </c>
      <c r="M59" t="s">
        <v>31</v>
      </c>
      <c r="N59" t="s">
        <v>28</v>
      </c>
      <c r="O59" t="s">
        <v>517</v>
      </c>
      <c r="P59" t="s">
        <v>518</v>
      </c>
      <c r="Q59" t="s">
        <v>28</v>
      </c>
      <c r="R59" t="s">
        <v>519</v>
      </c>
      <c r="S59" t="s">
        <v>35</v>
      </c>
      <c r="T59" t="s">
        <v>520</v>
      </c>
      <c r="U59" t="s">
        <v>35</v>
      </c>
      <c r="V59" t="s">
        <v>35</v>
      </c>
      <c r="W59" t="s">
        <v>521</v>
      </c>
      <c r="X59" t="s">
        <v>522</v>
      </c>
      <c r="Y59" t="s">
        <v>523</v>
      </c>
      <c r="Z59" t="s">
        <v>524</v>
      </c>
    </row>
    <row r="60">
      <c r="A60" t="s">
        <v>525</v>
      </c>
      <c r="B60" t="s">
        <v>27</v>
      </c>
      <c r="C60" t="s">
        <v>28</v>
      </c>
      <c r="D60" t="s">
        <v>29</v>
      </c>
      <c r="E60">
        <v>24757</v>
      </c>
      <c r="F60">
        <v>109608</v>
      </c>
      <c r="G60">
        <v>51757</v>
      </c>
      <c r="H60">
        <v>27000</v>
      </c>
      <c r="I60">
        <v>74530</v>
      </c>
      <c r="J60" t="str">
        <f>HYPERLINK("https://www.eneba.com/latam/steam-wwe-2k25-steam-key-pc-global","Abrir compra")</f>
        <v>Abrir compra</v>
      </c>
      <c r="K60" t="str">
        <f>HYPERLINK("https://store.steampowered.com/app/2878960/WWE_2K25/","Abrir Steam")</f>
        <v>Abrir Steam</v>
      </c>
      <c r="L60" t="s">
        <v>30</v>
      </c>
      <c r="M60" t="s">
        <v>42</v>
      </c>
      <c r="N60" t="s">
        <v>28</v>
      </c>
      <c r="O60" t="s">
        <v>526</v>
      </c>
      <c r="P60" t="s">
        <v>527</v>
      </c>
      <c r="Q60" t="s">
        <v>28</v>
      </c>
      <c r="R60" t="s">
        <v>528</v>
      </c>
      <c r="S60" t="s">
        <v>35</v>
      </c>
      <c r="T60" t="s">
        <v>529</v>
      </c>
      <c r="U60" t="s">
        <v>35</v>
      </c>
      <c r="V60" t="s">
        <v>35</v>
      </c>
      <c r="W60" t="s">
        <v>530</v>
      </c>
      <c r="X60" t="s">
        <v>531</v>
      </c>
      <c r="Y60" t="s">
        <v>532</v>
      </c>
      <c r="Z60" t="s">
        <v>35</v>
      </c>
    </row>
    <row r="61">
      <c r="A61" t="s">
        <v>533</v>
      </c>
      <c r="B61" t="s">
        <v>27</v>
      </c>
      <c r="C61" t="s">
        <v>28</v>
      </c>
      <c r="D61" t="s">
        <v>29</v>
      </c>
      <c r="E61">
        <v>71260</v>
      </c>
      <c r="F61">
        <v>127879</v>
      </c>
      <c r="G61">
        <v>92049</v>
      </c>
      <c r="H61">
        <v>20789</v>
      </c>
      <c r="I61">
        <v>132551</v>
      </c>
      <c r="J61" t="str">
        <f>HYPERLINK("https://www.eneba.com/latam/steam-wwe-2k26-steam-key-pc-global","Abrir compra")</f>
        <v>Abrir compra</v>
      </c>
      <c r="K61" t="str">
        <f>HYPERLINK("https://store.steampowered.com/app/3717070/WWE_2K26/","Abrir Steam")</f>
        <v>Abrir Steam</v>
      </c>
      <c r="L61" t="s">
        <v>30</v>
      </c>
      <c r="M61" t="s">
        <v>42</v>
      </c>
      <c r="N61" t="s">
        <v>28</v>
      </c>
      <c r="O61" t="s">
        <v>534</v>
      </c>
      <c r="P61" t="s">
        <v>535</v>
      </c>
      <c r="Q61" t="s">
        <v>28</v>
      </c>
      <c r="R61" t="s">
        <v>536</v>
      </c>
      <c r="S61" t="s">
        <v>35</v>
      </c>
      <c r="T61" t="s">
        <v>537</v>
      </c>
      <c r="U61" t="s">
        <v>35</v>
      </c>
      <c r="V61" t="s">
        <v>35</v>
      </c>
      <c r="W61" t="s">
        <v>538</v>
      </c>
      <c r="X61" t="s">
        <v>539</v>
      </c>
      <c r="Y61" t="s">
        <v>35</v>
      </c>
      <c r="Z61" t="s">
        <v>35</v>
      </c>
    </row>
  </sheetData>
</worksheet>
</file>