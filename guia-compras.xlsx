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<sst xmlns="http://schemas.openxmlformats.org/spreadsheetml/2006/main" count="1830" uniqueCount="1830">
  <si>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</si>
  <si>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</si>
  <si>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</si>
  <si>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</si>
  <si>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</si>
  <si>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</si>
  <si>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</si>
  <si>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</si>
  <si>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</si>
  <si>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</si>
  <si>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</si>
  <si>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</si>
  <si>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</si>
  <si>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</si>
  <si>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</si>
  <si>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</si>
  <si>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</si>
  <si>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</si>
  <si>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</si>
  <si>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</si>
  <si>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</si>
  <si>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</si>
  <si>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</si>
  <si>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</si>
  <si>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</si>
  <si>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</si>
  <si>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</si>
  <si>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</si>
  <si>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</si>
  <si>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</si>
  <si>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</si>
  <si>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</si>
  <si>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</si>
  <si>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</si>
  <si>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2026-09-01T15:58:33.351Z</t>
  </si>
  <si>
    <t>kinguin:73013 | driffle:84795</t>
  </si>
  <si>
    <t>73013</t>
  </si>
  <si>
    <t/>
  </si>
  <si>
    <t>84795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</si>
  <si>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</si>
  <si>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</si>
  <si>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</si>
  <si>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</si>
  <si>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</si>
  <si>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</si>
  <si>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</si>
  <si>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2026-09-01T15:58:24.688Z</t>
  </si>
  <si>
    <t>eneba:94494 | driffle:103763 | loaded:110330</t>
  </si>
  <si>
    <t>94494</t>
  </si>
  <si>
    <t>103763</t>
  </si>
  <si>
    <t>110330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</si>
  <si>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</si>
  <si>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</si>
  <si>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</si>
  <si>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</si>
  <si>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</si>
  <si>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</si>
  <si>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</si>
  <si>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2026-09-01T15:57:09.493Z</t>
  </si>
  <si>
    <t>driffle:71789 | eneba:72138 | loaded:73442</t>
  </si>
  <si>
    <t>72138</t>
  </si>
  <si>
    <t>71789</t>
  </si>
  <si>
    <t>73442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</si>
  <si>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</si>
  <si>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</si>
  <si>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</si>
  <si>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</si>
  <si>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</si>
  <si>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</si>
  <si>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2026-09-01T15:57:42.022Z</t>
  </si>
  <si>
    <t>driffle:47764</t>
  </si>
  <si>
    <t>47764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</si>
  <si>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</si>
  <si>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</si>
  <si>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</si>
  <si>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</si>
  <si>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</si>
  <si>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2026-09-01T15:58:41.885Z</t>
  </si>
  <si>
    <t>driffle:7155 | kinguin:7537</t>
  </si>
  <si>
    <t>7537</t>
  </si>
  <si>
    <t>7155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</si>
  <si>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</si>
  <si>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</si>
  <si>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</si>
  <si>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</si>
  <si>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2026-09-01T16:01:44.068Z</t>
  </si>
  <si>
    <t>kinguin:61326</t>
  </si>
  <si>
    <t>61326</t>
  </si>
  <si>
    <t>https://www.kinguin.net/es/category/391314/arc-raiders-deluxe-edition-pc-steam-account</t>
  </si>
  <si>
    <t>ARC Raiders - Deluxe Edition Steam Código de (PC) GLOBAL</t>
  </si>
  <si>
    <t>2026-09-01T16:01:39.665Z</t>
  </si>
  <si>
    <t>driffle:55984 | loaded:56270 | eneba:54760</t>
  </si>
  <si>
    <t>54760</t>
  </si>
  <si>
    <t>55984</t>
  </si>
  <si>
    <t>56270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</si>
  <si>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</si>
  <si>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</si>
  <si>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</si>
  <si>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</si>
  <si>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</si>
  <si>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2026-09-01T16:00:24.105Z</t>
  </si>
  <si>
    <t>driffle:38717 | loaded:40052 | eneba:40418</t>
  </si>
  <si>
    <t>40418</t>
  </si>
  <si>
    <t>38717</t>
  </si>
  <si>
    <t>40052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</si>
  <si>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</si>
  <si>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</si>
  <si>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</si>
  <si>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</si>
  <si>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</si>
  <si>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2026-09-01T16:00:28.465Z</t>
  </si>
  <si>
    <t>kinguin:35362</t>
  </si>
  <si>
    <t>35362</t>
  </si>
  <si>
    <t>https://www.kinguin.net/es/category/391303/arc-raiders-pc-steam-account</t>
  </si>
  <si>
    <t>ARK: Survival Ascended</t>
  </si>
  <si>
    <t>ARK Survival Ascended (Global) (PC) - Steam - Digital Key</t>
  </si>
  <si>
    <t>2026-09-01T16:01:57.074Z</t>
  </si>
  <si>
    <t>driffle:82680 | kinguin:86273 | eneba:86719</t>
  </si>
  <si>
    <t>86273</t>
  </si>
  <si>
    <t>86719</t>
  </si>
  <si>
    <t>82680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</si>
  <si>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</si>
  <si>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</si>
  <si>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</si>
  <si>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</si>
  <si>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2026-09-01T16:02:06.429Z</t>
  </si>
  <si>
    <t>kinguin:12625 | driffle:13420</t>
  </si>
  <si>
    <t>12625</t>
  </si>
  <si>
    <t>13420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</si>
  <si>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</si>
  <si>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</si>
  <si>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</si>
  <si>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</si>
  <si>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2026-09-01T16:02:15.792Z</t>
  </si>
  <si>
    <t>driffle:51198</t>
  </si>
  <si>
    <t>51198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</si>
  <si>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</si>
  <si>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</si>
  <si>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</si>
  <si>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</si>
  <si>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2026-09-01T16:03:32.827Z</t>
  </si>
  <si>
    <t>kinguin:95845</t>
  </si>
  <si>
    <t>95845</t>
  </si>
  <si>
    <t>https://www.kinguin.net/es/category/305807/assassins-creed-shadows-deluxe-edition-pc-steam-account</t>
  </si>
  <si>
    <t>Assassin’s Creed Shadows PC Steam Account</t>
  </si>
  <si>
    <t>2026-09-01T16:03:13.127Z</t>
  </si>
  <si>
    <t>kinguin:36220 | driffle:88833</t>
  </si>
  <si>
    <t>36220</t>
  </si>
  <si>
    <t>88833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</si>
  <si>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</si>
  <si>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</si>
  <si>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</si>
  <si>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</si>
  <si>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2026-09-01T16:03:50.643Z</t>
  </si>
  <si>
    <t>driffle:21179</t>
  </si>
  <si>
    <t>21179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</si>
  <si>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</si>
  <si>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</si>
  <si>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</si>
  <si>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</si>
  <si>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2026-09-01T16:05:11.528Z</t>
  </si>
  <si>
    <t>driffle:80772</t>
  </si>
  <si>
    <t>80772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</si>
  <si>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</si>
  <si>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</si>
  <si>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</si>
  <si>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</si>
  <si>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</si>
  <si>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2026-09-01T16:05:20.881Z</t>
  </si>
  <si>
    <t>driffle:30528 | kinguin:33724</t>
  </si>
  <si>
    <t>33724</t>
  </si>
  <si>
    <t>30528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</si>
  <si>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</si>
  <si>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</si>
  <si>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</si>
  <si>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</si>
  <si>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2026-09-01T16:05:53.314Z</t>
  </si>
  <si>
    <t>driffle:131286</t>
  </si>
  <si>
    <t>131286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</si>
  <si>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</si>
  <si>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</si>
  <si>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</si>
  <si>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</si>
  <si>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</si>
  <si>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Deluxe Edition PC Steam Account</t>
  </si>
  <si>
    <t>2026-09-01T16:07:21.070Z</t>
  </si>
  <si>
    <t>kinguin:49242</t>
  </si>
  <si>
    <t>49242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</si>
  <si>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</si>
  <si>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</si>
  <si>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</si>
  <si>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2026-09-01T16:06:44.665Z</t>
  </si>
  <si>
    <t>driffle:64347 | loaded:60563 | eneba:59053</t>
  </si>
  <si>
    <t>59053</t>
  </si>
  <si>
    <t>64347</t>
  </si>
  <si>
    <t>60563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</si>
  <si>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</si>
  <si>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</si>
  <si>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</si>
  <si>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</si>
  <si>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</si>
  <si>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2026-09-01T16:06:53.968Z</t>
  </si>
  <si>
    <t>driffle:35950 | kinguin:40322</t>
  </si>
  <si>
    <t>40322</t>
  </si>
  <si>
    <t>35950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</si>
  <si>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</si>
  <si>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</si>
  <si>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</si>
  <si>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</si>
  <si>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2026-09-01T16:08:01.395Z</t>
  </si>
  <si>
    <t>kinguin:93826</t>
  </si>
  <si>
    <t>93826</t>
  </si>
  <si>
    <t>https://www.kinguin.net/es/category/352522/borderlands-4-deluxe-edition-pc-steam-account</t>
  </si>
  <si>
    <t>Borderlands 4 Super Deluxe Edition PC Steam Account</t>
  </si>
  <si>
    <t>2026-09-01T16:08:18.733Z</t>
  </si>
  <si>
    <t>kinguin:134164</t>
  </si>
  <si>
    <t>134164</t>
  </si>
  <si>
    <t>https://www.kinguin.net/es/category/352529/borderlands-4-super-deluxe-edition-pc-steam-account</t>
  </si>
  <si>
    <t>Borderlands 4 Deluxe Edition (Global) (PC) - Steam - Digital Key</t>
  </si>
  <si>
    <t>2026-09-01T16:07:56.896Z</t>
  </si>
  <si>
    <t>driffle:62757 | kinguin:70119 | eneba:62916</t>
  </si>
  <si>
    <t>70119</t>
  </si>
  <si>
    <t>62916</t>
  </si>
  <si>
    <t>62757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</si>
  <si>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</si>
  <si>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</si>
  <si>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</si>
  <si>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</si>
  <si>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2026-09-01T16:07:40.396Z</t>
  </si>
  <si>
    <t>driffle:45251 | kinguin:49449 | loaded:95384</t>
  </si>
  <si>
    <t>49449</t>
  </si>
  <si>
    <t>45251</t>
  </si>
  <si>
    <t>95384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</si>
  <si>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</si>
  <si>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</si>
  <si>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</si>
  <si>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</si>
  <si>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</si>
  <si>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2026-09-01T16:07:44.406Z</t>
  </si>
  <si>
    <t>kinguin:35409</t>
  </si>
  <si>
    <t>35409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</si>
  <si>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</si>
  <si>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</si>
  <si>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</si>
  <si>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2026-09-01T16:08:14.154Z</t>
  </si>
  <si>
    <t>driffle:80120 | kinguin:86496</t>
  </si>
  <si>
    <t>86496</t>
  </si>
  <si>
    <t>80120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</si>
  <si>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</si>
  <si>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</si>
  <si>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</si>
  <si>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</si>
  <si>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</si>
  <si>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2026-09-01T16:08:28.059Z</t>
  </si>
  <si>
    <t>driffle:58512 | kinguin:49544</t>
  </si>
  <si>
    <t>49544</t>
  </si>
  <si>
    <t>58512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</si>
  <si>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</si>
  <si>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</si>
  <si>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</si>
  <si>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</si>
  <si>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2026-09-01T16:08:32.446Z</t>
  </si>
  <si>
    <t>kinguin:119473</t>
  </si>
  <si>
    <t>119473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</si>
  <si>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</si>
  <si>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</si>
  <si>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</si>
  <si>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</si>
  <si>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2026-09-01T16:08:40.818Z</t>
  </si>
  <si>
    <t>driffle:32166 | kinguin:34455</t>
  </si>
  <si>
    <t>34455</t>
  </si>
  <si>
    <t>32166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</si>
  <si>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</si>
  <si>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</si>
  <si>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</si>
  <si>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</si>
  <si>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2026-09-01T16:09:38.879Z</t>
  </si>
  <si>
    <t>driffle:57971 | kinguin:58337</t>
  </si>
  <si>
    <t>58337</t>
  </si>
  <si>
    <t>57971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</si>
  <si>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</si>
  <si>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</si>
  <si>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</si>
  <si>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2026-09-01T16:09:30.508Z</t>
  </si>
  <si>
    <t>driffle:49338 | kinguin:51087 | loaded:50864 | eneba:50339</t>
  </si>
  <si>
    <t>51087</t>
  </si>
  <si>
    <t>50339</t>
  </si>
  <si>
    <t>49338</t>
  </si>
  <si>
    <t>50864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</si>
  <si>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</si>
  <si>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</si>
  <si>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</si>
  <si>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</si>
  <si>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</si>
  <si>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</si>
  <si>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2026-09-01T16:09:05.646Z</t>
  </si>
  <si>
    <t>driffle:41181 | kinguin:40132 | loaded:36713 | eneba:38876</t>
  </si>
  <si>
    <t>40132</t>
  </si>
  <si>
    <t>38876</t>
  </si>
  <si>
    <t>41181</t>
  </si>
  <si>
    <t>36713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</si>
  <si>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</si>
  <si>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</si>
  <si>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</si>
  <si>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</si>
  <si>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</si>
  <si>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2026-09-01T16:09:14.027Z</t>
  </si>
  <si>
    <t>driffle:29749 | kinguin:35091</t>
  </si>
  <si>
    <t>35091</t>
  </si>
  <si>
    <t>29749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</si>
  <si>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</si>
  <si>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</si>
  <si>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</si>
  <si>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</si>
  <si>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2026-09-01T16:10:59.030Z</t>
  </si>
  <si>
    <t>driffle:64490 | kinguin:71407</t>
  </si>
  <si>
    <t>71407</t>
  </si>
  <si>
    <t>64490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</si>
  <si>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</si>
  <si>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</si>
  <si>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</si>
  <si>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2026-09-01T16:10:50.669Z</t>
  </si>
  <si>
    <t>loaded:45458 | eneba:50912 | driffle:50912 | kinguin:55666</t>
  </si>
  <si>
    <t>55666</t>
  </si>
  <si>
    <t>50912</t>
  </si>
  <si>
    <t>45458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</si>
  <si>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</si>
  <si>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</si>
  <si>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</si>
  <si>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</si>
  <si>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</si>
  <si>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2026-09-01T16:09:57.772Z</t>
  </si>
  <si>
    <t>eneba:44822 | driffle:44870 | kinguin:49004 | loaded:49751</t>
  </si>
  <si>
    <t>49004</t>
  </si>
  <si>
    <t>44822</t>
  </si>
  <si>
    <t>44870</t>
  </si>
  <si>
    <t>49751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</si>
  <si>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</si>
  <si>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</si>
  <si>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</si>
  <si>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</si>
  <si>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</si>
  <si>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2026-09-01T16:10:06.110Z</t>
  </si>
  <si>
    <t>driffle:47000 | kinguin:52438</t>
  </si>
  <si>
    <t>52438</t>
  </si>
  <si>
    <t>47000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</si>
  <si>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</si>
  <si>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</si>
  <si>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</si>
  <si>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</si>
  <si>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</si>
  <si>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2026-09-01T16:11:56.718Z</t>
  </si>
  <si>
    <t>eneba:24009 | driffle:24740</t>
  </si>
  <si>
    <t>24009</t>
  </si>
  <si>
    <t>24740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</si>
  <si>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</si>
  <si>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</si>
  <si>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</si>
  <si>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</si>
  <si>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</si>
  <si>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2026-09-01T16:12:00.869Z</t>
  </si>
  <si>
    <t>kinguin:25472</t>
  </si>
  <si>
    <t>25472</t>
  </si>
  <si>
    <t>https://www.kinguin.net/es/category/234698/cuphead-the-delicious-last-course-bundle-steam-account</t>
  </si>
  <si>
    <t>Cuphead (Global) (PC / Mac) - Steam - Digital Key</t>
  </si>
  <si>
    <t>2026-09-01T16:11:35.841Z</t>
  </si>
  <si>
    <t>driffle:20193 | eneba:20257</t>
  </si>
  <si>
    <t>20257</t>
  </si>
  <si>
    <t>20193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</si>
  <si>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</si>
  <si>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</si>
  <si>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</si>
  <si>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</si>
  <si>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2026-09-01T16:11:44.354Z</t>
  </si>
  <si>
    <t>driffle:6392 | kinguin:7409</t>
  </si>
  <si>
    <t>7409</t>
  </si>
  <si>
    <t>6392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</si>
  <si>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</si>
  <si>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</si>
  <si>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</si>
  <si>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</si>
  <si>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2026-09-01T16:12:33.697Z</t>
  </si>
  <si>
    <t>driffle:14199</t>
  </si>
  <si>
    <t>14199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</si>
  <si>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</si>
  <si>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</si>
  <si>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</si>
  <si>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</si>
  <si>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2026-09-01T16:12:42.054Z</t>
  </si>
  <si>
    <t>driffle:23150</t>
  </si>
  <si>
    <t>23150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</si>
  <si>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</si>
  <si>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</si>
  <si>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</si>
  <si>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</si>
  <si>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</si>
  <si>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2026-09-01T16:13:35.795Z</t>
  </si>
  <si>
    <t>eneba:110426 | driffle:116150</t>
  </si>
  <si>
    <t>110426</t>
  </si>
  <si>
    <t>116150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</si>
  <si>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</si>
  <si>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</si>
  <si>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</si>
  <si>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</si>
  <si>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2026-09-01T16:13:39.910Z</t>
  </si>
  <si>
    <t>kinguin:50324</t>
  </si>
  <si>
    <t>50324</t>
  </si>
  <si>
    <t>https://www.kinguin.net/es/category/344471/dayz-cool-edition-pc-steam-account</t>
  </si>
  <si>
    <t>Deluxe Edition - CD Key LATAM (Steam)</t>
  </si>
  <si>
    <t>DayZ Deluxe Edition PC Key</t>
  </si>
  <si>
    <t>2026-09-01T16:13:22.130Z</t>
  </si>
  <si>
    <t>driffle:63807 | eneba:65683 | loaded:60563</t>
  </si>
  <si>
    <t>65683</t>
  </si>
  <si>
    <t>63807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</si>
  <si>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</si>
  <si>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</si>
  <si>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</si>
  <si>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</si>
  <si>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</si>
  <si>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2026-09-01T16:13:26.858Z</t>
  </si>
  <si>
    <t>kinguin:31736</t>
  </si>
  <si>
    <t>31736</t>
  </si>
  <si>
    <t>https://www.kinguin.net/es/category/249044/dayz-deluxe-edition-pc-steam-account</t>
  </si>
  <si>
    <t>DayZ (LATAM) (PC) - Steam - Digital Key</t>
  </si>
  <si>
    <t>2026-09-01T16:12:54.605Z</t>
  </si>
  <si>
    <t>driffle:34598 | eneba:35346 | kinguin:37301</t>
  </si>
  <si>
    <t>37301</t>
  </si>
  <si>
    <t>35346</t>
  </si>
  <si>
    <t>34598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</si>
  <si>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</si>
  <si>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</si>
  <si>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</si>
  <si>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</si>
  <si>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2026-09-01T16:13:03.162Z</t>
  </si>
  <si>
    <t>kinguin:21290 | driffle:22212</t>
  </si>
  <si>
    <t>21290</t>
  </si>
  <si>
    <t>22212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</si>
  <si>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</si>
  <si>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</si>
  <si>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</si>
  <si>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</si>
  <si>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2026-09-01T16:14:21.179Z</t>
  </si>
  <si>
    <t>driffle:7298 | kinguin:7600</t>
  </si>
  <si>
    <t>7600</t>
  </si>
  <si>
    <t>7298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</si>
  <si>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</si>
  <si>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</si>
  <si>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</si>
  <si>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</si>
  <si>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2026-09-01T16:15:12.963Z</t>
  </si>
  <si>
    <t>driffle:87879 | kinguin:88945 | eneba:107039</t>
  </si>
  <si>
    <t>88945</t>
  </si>
  <si>
    <t>107039</t>
  </si>
  <si>
    <t>87879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</si>
  <si>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</si>
  <si>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</si>
  <si>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</si>
  <si>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</si>
  <si>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2026-09-01T16:15:17.370Z</t>
  </si>
  <si>
    <t>driffle:59975</t>
  </si>
  <si>
    <t>59975</t>
  </si>
  <si>
    <t>https://driffle.com/es/death-stranding-2-on-the-beach-global-pc-steam-account-p9986853</t>
  </si>
  <si>
    <t>Detroit: Become Human</t>
  </si>
  <si>
    <t>Detroit: Become Human Código de Steam LATAM</t>
  </si>
  <si>
    <t>2026-09-01T16:16:58.955Z</t>
  </si>
  <si>
    <t>driffle:9111 | loaded:10796 | eneba:8189</t>
  </si>
  <si>
    <t>8189</t>
  </si>
  <si>
    <t>9111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</si>
  <si>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</si>
  <si>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</si>
  <si>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</si>
  <si>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</si>
  <si>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</si>
  <si>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</si>
  <si>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2026-09-01T16:17:07.611Z</t>
  </si>
  <si>
    <t>driffle:4373 | kinguin:6821</t>
  </si>
  <si>
    <t>6821</t>
  </si>
  <si>
    <t>4373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</si>
  <si>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</si>
  <si>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</si>
  <si>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</si>
  <si>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</si>
  <si>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</si>
  <si>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2026-09-01T16:15:55.203Z</t>
  </si>
  <si>
    <t>driffle:86925 | kinguin:93937</t>
  </si>
  <si>
    <t>93937</t>
  </si>
  <si>
    <t>86925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</si>
  <si>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</si>
  <si>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</si>
  <si>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</si>
  <si>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2026-09-01T16:15:46.784Z</t>
  </si>
  <si>
    <t>kinguin:35362 | driffle:38240</t>
  </si>
  <si>
    <t>38240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</si>
  <si>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</si>
  <si>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</si>
  <si>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</si>
  <si>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</si>
  <si>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2026-09-01T16:17:16.303Z</t>
  </si>
  <si>
    <t>driffle:10478 | kinguin:13292</t>
  </si>
  <si>
    <t>13292</t>
  </si>
  <si>
    <t>10478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</si>
  <si>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</si>
  <si>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</si>
  <si>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</si>
  <si>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</si>
  <si>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2026-09-01T16:16:13.026Z</t>
  </si>
  <si>
    <t>driffle:43455 | kinguin:55475</t>
  </si>
  <si>
    <t>55475</t>
  </si>
  <si>
    <t>43455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</si>
  <si>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</si>
  <si>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</si>
  <si>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</si>
  <si>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</si>
  <si>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2026-09-01T16:19:44.859Z</t>
  </si>
  <si>
    <t>driffle:79055 | eneba:96783</t>
  </si>
  <si>
    <t>96783</t>
  </si>
  <si>
    <t>79055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</si>
  <si>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</si>
  <si>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</si>
  <si>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</si>
  <si>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</si>
  <si>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</si>
  <si>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2026-09-01T16:19:53.228Z</t>
  </si>
  <si>
    <t>driffle:52518 | kinguin:49862</t>
  </si>
  <si>
    <t>49862</t>
  </si>
  <si>
    <t>52518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</si>
  <si>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</si>
  <si>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</si>
  <si>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</si>
  <si>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2026-09-01T16:18:40.799Z</t>
  </si>
  <si>
    <t>driffle:62089 | kinguin:67082 | loaded:64856 | eneba:60515</t>
  </si>
  <si>
    <t>67082</t>
  </si>
  <si>
    <t>60515</t>
  </si>
  <si>
    <t>62089</t>
  </si>
  <si>
    <t>64856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</si>
  <si>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</si>
  <si>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</si>
  <si>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</si>
  <si>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</si>
  <si>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</si>
  <si>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2026-09-01T16:18:49.144Z</t>
  </si>
  <si>
    <t>driffle:34455 | kinguin:38096</t>
  </si>
  <si>
    <t>38096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</si>
  <si>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</si>
  <si>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</si>
  <si>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</si>
  <si>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</si>
  <si>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2026-09-01T16:20:09.560Z</t>
  </si>
  <si>
    <t>driffle:62837 | loaded:63107 | eneba:73776</t>
  </si>
  <si>
    <t>73776</t>
  </si>
  <si>
    <t>62837</t>
  </si>
  <si>
    <t>63107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</si>
  <si>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</si>
  <si>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</si>
  <si>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</si>
  <si>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</si>
  <si>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</si>
  <si>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2026-09-01T16:20:13.681Z</t>
  </si>
  <si>
    <t>kinguin:63234</t>
  </si>
  <si>
    <t>63234</t>
  </si>
  <si>
    <t>https://www.kinguin.net/es/category/308192/dynasty-warriors-origins-pc-steam-account</t>
  </si>
  <si>
    <t>EA SPORTS FC 26</t>
  </si>
  <si>
    <t>EA SPORTS FC 26 (Global) (PC) - Steam Account</t>
  </si>
  <si>
    <t>2026-09-01T16:21:13.080Z</t>
  </si>
  <si>
    <t>driffle:6153 | kinguin:6217</t>
  </si>
  <si>
    <t>6217</t>
  </si>
  <si>
    <t>6153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</si>
  <si>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</si>
  <si>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</si>
  <si>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</si>
  <si>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</si>
  <si>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2026-09-01T16:21:28.485Z</t>
  </si>
  <si>
    <t>kinguin:16552 | driffle:14469</t>
  </si>
  <si>
    <t>16552</t>
  </si>
  <si>
    <t>14469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</si>
  <si>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</si>
  <si>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</si>
  <si>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</si>
  <si>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</si>
  <si>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2026-09-01T16:21:36.895Z</t>
  </si>
  <si>
    <t>driffle:51134 | kinguin:52565</t>
  </si>
  <si>
    <t>52565</t>
  </si>
  <si>
    <t>51134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</si>
  <si>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</si>
  <si>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</si>
  <si>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</si>
  <si>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2026-09-01T16:21:41.291Z</t>
  </si>
  <si>
    <t>kinguin:112047</t>
  </si>
  <si>
    <t>112047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</si>
  <si>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</si>
  <si>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</si>
  <si>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</si>
  <si>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2026-09-01T16:21:45.383Z</t>
  </si>
  <si>
    <t>kinguin:179273</t>
  </si>
  <si>
    <t>179273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</si>
  <si>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</si>
  <si>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</si>
  <si>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</si>
  <si>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2026-09-01T16:21:04.254Z</t>
  </si>
  <si>
    <t>kinguin:76908</t>
  </si>
  <si>
    <t>76908</t>
  </si>
  <si>
    <t>https://www.kinguin.net/es/category/563378/ea-sports-college-football-27-deluxe-edition-pc-steam-account</t>
  </si>
  <si>
    <t>EA SPORTS College Football 27 PC Steam Account</t>
  </si>
  <si>
    <t>2026-09-01T16:21:00.147Z</t>
  </si>
  <si>
    <t>kinguin:71439</t>
  </si>
  <si>
    <t>71439</t>
  </si>
  <si>
    <t>https://www.kinguin.net/es/category/563380/ea-sports-college-football-27-pc-steam-account</t>
  </si>
  <si>
    <t>ELDEN RING</t>
  </si>
  <si>
    <t>ELDEN RING: Shadow of the Erdtree Deluxe Edition Steam Account</t>
  </si>
  <si>
    <t>2026-09-01T16:22:51.641Z</t>
  </si>
  <si>
    <t>kinguin:116420</t>
  </si>
  <si>
    <t>116420</t>
  </si>
  <si>
    <t>https://www.kinguin.net/es/category/217210/elden-ring-shadow-of-the-erdtree-deluxe-edition-steam-account</t>
  </si>
  <si>
    <t>Elden Ring (LATAM) (PC) - Steam - Digital Key</t>
  </si>
  <si>
    <t>2026-09-01T16:22:21.976Z</t>
  </si>
  <si>
    <t>driffle:80104 | eneba:83316</t>
  </si>
  <si>
    <t>83316</t>
  </si>
  <si>
    <t>80104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</si>
  <si>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</si>
  <si>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</si>
  <si>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</si>
  <si>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</si>
  <si>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2026-09-01T16:22:30.246Z</t>
  </si>
  <si>
    <t>driffle:48686 | kinguin:50244</t>
  </si>
  <si>
    <t>50244</t>
  </si>
  <si>
    <t>48686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</si>
  <si>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</si>
  <si>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</si>
  <si>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</si>
  <si>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</si>
  <si>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2026-09-01T16:22:43.288Z</t>
  </si>
  <si>
    <t>driffle:101887 | kinguin:85637</t>
  </si>
  <si>
    <t>85637</t>
  </si>
  <si>
    <t>101887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</si>
  <si>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</si>
  <si>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</si>
  <si>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</si>
  <si>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</si>
  <si>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2026-09-01T16:23:49.967Z</t>
  </si>
  <si>
    <t>eneba:63648 | driffle:84286 | kinguin:91473</t>
  </si>
  <si>
    <t>91473</t>
  </si>
  <si>
    <t>63648</t>
  </si>
  <si>
    <t>84286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</si>
  <si>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</si>
  <si>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</si>
  <si>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</si>
  <si>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</si>
  <si>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2026-09-01T16:23:54.600Z</t>
  </si>
  <si>
    <t>kinguin:55586</t>
  </si>
  <si>
    <t>55586</t>
  </si>
  <si>
    <t>https://www.kinguin.net/es/category/311954/elden-ring-nightreign-deluxe-edition-pc-steam-account</t>
  </si>
  <si>
    <t>ELDEN RING NIGHTREIGN (Global) (PC) - Steam Account</t>
  </si>
  <si>
    <t>2026-09-01T16:23:37.217Z</t>
  </si>
  <si>
    <t>driffle:36061 | kinguin:36395</t>
  </si>
  <si>
    <t>36395</t>
  </si>
  <si>
    <t>36061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</si>
  <si>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</si>
  <si>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</si>
  <si>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</si>
  <si>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</si>
  <si>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</si>
  <si>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</si>
  <si>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2026-09-01T16:23:58.584Z</t>
  </si>
  <si>
    <t>kinguin:48002</t>
  </si>
  <si>
    <t>48002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</si>
  <si>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</si>
  <si>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</si>
  <si>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</si>
  <si>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2026-09-01T16:24:31.116Z</t>
  </si>
  <si>
    <t>driffle:54728</t>
  </si>
  <si>
    <t>54728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</si>
  <si>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</si>
  <si>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</si>
  <si>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</si>
  <si>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</si>
  <si>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2026-09-01T16:24:50.058Z</t>
  </si>
  <si>
    <t>eneba:12720 | kinguin:13769 | driffle:17538 | loaded:14930</t>
  </si>
  <si>
    <t>13769</t>
  </si>
  <si>
    <t>12720</t>
  </si>
  <si>
    <t>17538</t>
  </si>
  <si>
    <t>14930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</si>
  <si>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</si>
  <si>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</si>
  <si>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</si>
  <si>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</si>
  <si>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</si>
  <si>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2026-09-01T16:24:58.402Z</t>
  </si>
  <si>
    <t>kinguin:4786 | driffle:6153</t>
  </si>
  <si>
    <t>4786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</si>
  <si>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</si>
  <si>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</si>
  <si>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</si>
  <si>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</si>
  <si>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2026-09-01T16:26:18.484Z</t>
  </si>
  <si>
    <t>driffle:27920 | eneba:27587</t>
  </si>
  <si>
    <t>27587</t>
  </si>
  <si>
    <t>27920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</si>
  <si>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</si>
  <si>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</si>
  <si>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</si>
  <si>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</si>
  <si>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</si>
  <si>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</si>
  <si>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2026-09-01T16:26:44.131Z</t>
  </si>
  <si>
    <t>driffle:27857 | kinguin:28509</t>
  </si>
  <si>
    <t>28509</t>
  </si>
  <si>
    <t>27857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</si>
  <si>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</si>
  <si>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</si>
  <si>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</si>
  <si>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2026-09-01T16:26:35.758Z</t>
  </si>
  <si>
    <t>kinguin:20193 | driffle:20718</t>
  </si>
  <si>
    <t>20718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</si>
  <si>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</si>
  <si>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</si>
  <si>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</si>
  <si>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</si>
  <si>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2026-09-01T16:26:56.529Z</t>
  </si>
  <si>
    <t>driffle:31434 | kinguin:33756</t>
  </si>
  <si>
    <t>33756</t>
  </si>
  <si>
    <t>31434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</si>
  <si>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</si>
  <si>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</si>
  <si>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</si>
  <si>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</si>
  <si>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2026-09-01T16:27:13.531Z</t>
  </si>
  <si>
    <t>driffle:77465 | kinguin:80677</t>
  </si>
  <si>
    <t>80677</t>
  </si>
  <si>
    <t>77465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</si>
  <si>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</si>
  <si>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</si>
  <si>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</si>
  <si>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2026-09-01T16:27:04.986Z</t>
  </si>
  <si>
    <t>kinguin:54728 | driffle:58289</t>
  </si>
  <si>
    <t>58289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</si>
  <si>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</si>
  <si>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</si>
  <si>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</si>
  <si>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2026-09-01T16:27:21.853Z</t>
  </si>
  <si>
    <t>driffle:97276 | kinguin:105656</t>
  </si>
  <si>
    <t>105656</t>
  </si>
  <si>
    <t>97276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</si>
  <si>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</si>
  <si>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</si>
  <si>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</si>
  <si>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</si>
  <si>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2026-09-01T16:27:30.487Z</t>
  </si>
  <si>
    <t>kinguin:86067 | driffle:91934</t>
  </si>
  <si>
    <t>86067</t>
  </si>
  <si>
    <t>91934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</si>
  <si>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</si>
  <si>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</si>
  <si>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</si>
  <si>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2026-09-01T16:27:39.392Z</t>
  </si>
  <si>
    <t>kinguin:122128 | driffle:130460</t>
  </si>
  <si>
    <t>122128</t>
  </si>
  <si>
    <t>130460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</si>
  <si>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</si>
  <si>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</si>
  <si>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</si>
  <si>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</si>
  <si>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</si>
  <si>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2026-09-01T16:27:55.631Z</t>
  </si>
  <si>
    <t>driffle:38240 | kinguin:42167 | loaded:60563 | eneba:38860</t>
  </si>
  <si>
    <t>42167</t>
  </si>
  <si>
    <t>38860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</si>
  <si>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</si>
  <si>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</si>
  <si>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</si>
  <si>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</si>
  <si>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</si>
  <si>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</si>
  <si>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2026-09-01T16:28:04.219Z</t>
  </si>
  <si>
    <t>driffle:26744 | eneba:21926</t>
  </si>
  <si>
    <t>21926</t>
  </si>
  <si>
    <t>26744</t>
  </si>
  <si>
    <t>https://www.eneba.com/latam/steam-god-of-war-pc-steam-key-latam</t>
  </si>
  <si>
    <t>https://driffle.com/es/god-of-war-pc-steam-digital-code-p9878708</t>
  </si>
  <si>
    <t>God of War Steam Account</t>
  </si>
  <si>
    <t>2026-09-01T16:28:12.595Z</t>
  </si>
  <si>
    <t>kinguin:14549 | driffle:29606</t>
  </si>
  <si>
    <t>14549</t>
  </si>
  <si>
    <t>29606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</si>
  <si>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</si>
  <si>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</si>
  <si>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</si>
  <si>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</si>
  <si>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2026-09-01T16:28:46.297Z</t>
  </si>
  <si>
    <t>driffle:65826</t>
  </si>
  <si>
    <t>65826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</si>
  <si>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</si>
  <si>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</si>
  <si>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</si>
  <si>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</si>
  <si>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2026-09-01T16:28:25.184Z</t>
  </si>
  <si>
    <t>driffle:48622 | eneba:50530</t>
  </si>
  <si>
    <t>50530</t>
  </si>
  <si>
    <t>48622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</si>
  <si>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</si>
  <si>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</si>
  <si>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</si>
  <si>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</si>
  <si>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2026-09-01T16:28:33.398Z</t>
  </si>
  <si>
    <t>driffle:50785</t>
  </si>
  <si>
    <t>50785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</si>
  <si>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</si>
  <si>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</si>
  <si>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</si>
  <si>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</si>
  <si>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2026-09-01T16:29:33.020Z</t>
  </si>
  <si>
    <t>loaded:38939 | eneba:41356 | driffle:49481</t>
  </si>
  <si>
    <t>41356</t>
  </si>
  <si>
    <t>49481</t>
  </si>
  <si>
    <t>38939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</si>
  <si>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</si>
  <si>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</si>
  <si>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</si>
  <si>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</si>
  <si>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</si>
  <si>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2026-09-01T16:29:37.383Z</t>
  </si>
  <si>
    <t>driffle:41976</t>
  </si>
  <si>
    <t>41976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</si>
  <si>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</si>
  <si>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</si>
  <si>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</si>
  <si>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</si>
  <si>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2026-09-01T16:29:46.052Z</t>
  </si>
  <si>
    <t>kinguin:17188 | driffle:23675</t>
  </si>
  <si>
    <t>17188</t>
  </si>
  <si>
    <t>23675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</si>
  <si>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</si>
  <si>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</si>
  <si>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</si>
  <si>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</si>
  <si>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2026-09-01T16:29:54.572Z</t>
  </si>
  <si>
    <t>driffle:54426 | kinguin:56699</t>
  </si>
  <si>
    <t>56699</t>
  </si>
  <si>
    <t>54426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</si>
  <si>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</si>
  <si>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</si>
  <si>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</si>
  <si>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2026-09-01T16:30:03.192Z</t>
  </si>
  <si>
    <t>kinguin:70532 | driffle:76574</t>
  </si>
  <si>
    <t>70532</t>
  </si>
  <si>
    <t>76574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</si>
  <si>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</si>
  <si>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</si>
  <si>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</si>
  <si>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</si>
  <si>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2026-09-01T16:30:21.933Z</t>
  </si>
  <si>
    <t>driffle:39162 | kinguin:42421 | loaded:47525 | eneba:41006</t>
  </si>
  <si>
    <t>42421</t>
  </si>
  <si>
    <t>41006</t>
  </si>
  <si>
    <t>39162</t>
  </si>
  <si>
    <t>47525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</si>
  <si>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</si>
  <si>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</si>
  <si>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</si>
  <si>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</si>
  <si>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</si>
  <si>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2026-09-01T16:30:32.554Z</t>
  </si>
  <si>
    <t>driffle:30608 | kinguin:38287</t>
  </si>
  <si>
    <t>38287</t>
  </si>
  <si>
    <t>30608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</si>
  <si>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</si>
  <si>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</si>
  <si>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</si>
  <si>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</si>
  <si>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2026-09-01T16:30:50.733Z</t>
  </si>
  <si>
    <t>driffle:56795 | kinguin:62296 | loaded:69149 | eneba:57192</t>
  </si>
  <si>
    <t>62296</t>
  </si>
  <si>
    <t>57192</t>
  </si>
  <si>
    <t>56795</t>
  </si>
  <si>
    <t>69149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</si>
  <si>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</si>
  <si>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</si>
  <si>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</si>
  <si>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</si>
  <si>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</si>
  <si>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</si>
  <si>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2026-09-01T16:30:55.178Z</t>
  </si>
  <si>
    <t>kinguin:73951</t>
  </si>
  <si>
    <t>73951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</si>
  <si>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</si>
  <si>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</si>
  <si>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</si>
  <si>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2026-09-01T16:31:24.409Z</t>
  </si>
  <si>
    <t>driffle:31212 | kinguin:31450</t>
  </si>
  <si>
    <t>31450</t>
  </si>
  <si>
    <t>31212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</si>
  <si>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</si>
  <si>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</si>
  <si>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</si>
  <si>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</si>
  <si>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2026-09-01T16:31:06.161Z</t>
  </si>
  <si>
    <t>driffle:34932</t>
  </si>
  <si>
    <t>34932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</si>
  <si>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</si>
  <si>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</si>
  <si>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</si>
  <si>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2026-09-01T16:31:10.533Z</t>
  </si>
  <si>
    <t>driffle:13960</t>
  </si>
  <si>
    <t>13960</t>
  </si>
  <si>
    <t>https://driffle.com/es/hitman-world-of-assassination-global-pc-steam-account-p9945630</t>
  </si>
  <si>
    <t>Hogwarts Legacy</t>
  </si>
  <si>
    <t>Hogwarts Legacy Deluxe Edition (PC) Código de Steam LATAM</t>
  </si>
  <si>
    <t>2026-09-01T16:32:35.621Z</t>
  </si>
  <si>
    <t>kinguin:11766 | driffle:15359 | loaded:18428 | eneba:10319</t>
  </si>
  <si>
    <t>11766</t>
  </si>
  <si>
    <t>10319</t>
  </si>
  <si>
    <t>15359</t>
  </si>
  <si>
    <t>18428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</si>
  <si>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</si>
  <si>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</si>
  <si>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</si>
  <si>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</si>
  <si>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</si>
  <si>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2026-09-01T16:32:43.861Z</t>
  </si>
  <si>
    <t>driffle:9461 | kinguin:9604</t>
  </si>
  <si>
    <t>9604</t>
  </si>
  <si>
    <t>9461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</si>
  <si>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</si>
  <si>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</si>
  <si>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</si>
  <si>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2026-09-01T16:32:07.956Z</t>
  </si>
  <si>
    <t>driffle:8984 | loaded:13022 | eneba:7219</t>
  </si>
  <si>
    <t>7219</t>
  </si>
  <si>
    <t>8984</t>
  </si>
  <si>
    <t>13022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</si>
  <si>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</si>
  <si>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</si>
  <si>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</si>
  <si>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</si>
  <si>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</si>
  <si>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2026-09-01T16:32:18.741Z</t>
  </si>
  <si>
    <t>driffle:5295 | kinguin:7759</t>
  </si>
  <si>
    <t>7759</t>
  </si>
  <si>
    <t>5295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</si>
  <si>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</si>
  <si>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</si>
  <si>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</si>
  <si>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</si>
  <si>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2026-09-01T16:34:34.584Z</t>
  </si>
  <si>
    <t>kinguin:49735 | driffle:59768</t>
  </si>
  <si>
    <t>49735</t>
  </si>
  <si>
    <t>59768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</si>
  <si>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</si>
  <si>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</si>
  <si>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</si>
  <si>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2026-09-01T16:33:40.510Z</t>
  </si>
  <si>
    <t>driffle:21847 | kinguin:24979</t>
  </si>
  <si>
    <t>24979</t>
  </si>
  <si>
    <t>21847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</si>
  <si>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</si>
  <si>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</si>
  <si>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</si>
  <si>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</si>
  <si>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2026-09-01T16:34:47.364Z</t>
  </si>
  <si>
    <t>driffle:69260 | eneba:70771</t>
  </si>
  <si>
    <t>70771</t>
  </si>
  <si>
    <t>69260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</si>
  <si>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</si>
  <si>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</si>
  <si>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</si>
  <si>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</si>
  <si>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2026-09-01T16:34:55.747Z</t>
  </si>
  <si>
    <t>driffle:10097 | kinguin:11337</t>
  </si>
  <si>
    <t>11337</t>
  </si>
  <si>
    <t>10097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</si>
  <si>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</si>
  <si>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</si>
  <si>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</si>
  <si>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</si>
  <si>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2026-09-01T16:36:04.682Z</t>
  </si>
  <si>
    <t>loaded:79961 | eneba:89469 | driffle:104193</t>
  </si>
  <si>
    <t>89469</t>
  </si>
  <si>
    <t>104193</t>
  </si>
  <si>
    <t>79961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</si>
  <si>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</si>
  <si>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</si>
  <si>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</si>
  <si>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</si>
  <si>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</si>
  <si>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2026-09-01T16:36:08.679Z</t>
  </si>
  <si>
    <t>kinguin:81170</t>
  </si>
  <si>
    <t>81170</t>
  </si>
  <si>
    <t>https://www.kinguin.net/es/category/439223/lego-batman-legacy-of-the-dark-knight-deluxe-edition-pc-steam-account</t>
  </si>
  <si>
    <t>LEGO Batman: Legacy of the Dark Knight PC (Latin America) Key</t>
  </si>
  <si>
    <t>2026-09-01T16:35:41.923Z</t>
  </si>
  <si>
    <t>loaded:60563 | eneba:73108 | driffle:78451</t>
  </si>
  <si>
    <t>73108</t>
  </si>
  <si>
    <t>78451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</si>
  <si>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</si>
  <si>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</si>
  <si>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</si>
  <si>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</si>
  <si>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</si>
  <si>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2026-09-01T16:35:46.392Z</t>
  </si>
  <si>
    <t>kinguin:45617</t>
  </si>
  <si>
    <t>45617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</si>
  <si>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</si>
  <si>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</si>
  <si>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</si>
  <si>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</si>
  <si>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2026-09-01T16:36:41.945Z</t>
  </si>
  <si>
    <t>kinguin:172102</t>
  </si>
  <si>
    <t>172102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</si>
  <si>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</si>
  <si>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</si>
  <si>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</si>
  <si>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2026-09-01T16:37:41.719Z</t>
  </si>
  <si>
    <t>eneba:11591 | driffle:14008 | loaded:12227</t>
  </si>
  <si>
    <t>11591</t>
  </si>
  <si>
    <t>14008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</si>
  <si>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</si>
  <si>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</si>
  <si>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</si>
  <si>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</si>
  <si>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</si>
  <si>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</si>
  <si>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2026-09-01T16:36:54.429Z</t>
  </si>
  <si>
    <t>driffle:7680 | eneba:6646</t>
  </si>
  <si>
    <t>6646</t>
  </si>
  <si>
    <t>7680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</si>
  <si>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</si>
  <si>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</si>
  <si>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</si>
  <si>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</si>
  <si>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</si>
  <si>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2026-09-01T16:39:27.890Z</t>
  </si>
  <si>
    <t>driffle:54696</t>
  </si>
  <si>
    <t>54696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</si>
  <si>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</si>
  <si>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</si>
  <si>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</si>
  <si>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</si>
  <si>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2026-09-01T16:38:18.542Z</t>
  </si>
  <si>
    <t>driffle:50816 | eneba:51468</t>
  </si>
  <si>
    <t>51468</t>
  </si>
  <si>
    <t>50816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</si>
  <si>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</si>
  <si>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</si>
  <si>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</si>
  <si>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</si>
  <si>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2026-09-01T16:38:51.147Z</t>
  </si>
  <si>
    <t>driffle:74873</t>
  </si>
  <si>
    <t>74873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</si>
  <si>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</si>
  <si>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</si>
  <si>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</si>
  <si>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</si>
  <si>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2026-09-01T16:39:44.395Z</t>
  </si>
  <si>
    <t>eneba:36697</t>
  </si>
  <si>
    <t>36697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</si>
  <si>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</si>
  <si>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</si>
  <si>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</si>
  <si>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</si>
  <si>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</si>
  <si>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</si>
  <si>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2026-09-01T16:40:07.470Z</t>
  </si>
  <si>
    <t>driffle:44027 | eneba:25170</t>
  </si>
  <si>
    <t>25170</t>
  </si>
  <si>
    <t>44027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</si>
  <si>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</si>
  <si>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</si>
  <si>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</si>
  <si>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</si>
  <si>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</si>
  <si>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</si>
  <si>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</si>
  <si>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2026-09-01T16:41:07.573Z</t>
  </si>
  <si>
    <t>kinguin:257564</t>
  </si>
  <si>
    <t>257564</t>
  </si>
  <si>
    <t>https://www.kinguin.net/es/category/274088/microsoft-flight-simulator-2024-aviator-edition-pc-steam-account</t>
  </si>
  <si>
    <t>Microsoft Flight Simulator 2024 Deluxe Edition PC Steam Account</t>
  </si>
  <si>
    <t>2026-09-01T16:40:41.267Z</t>
  </si>
  <si>
    <t>kinguin:141287 | driffle:144754</t>
  </si>
  <si>
    <t>141287</t>
  </si>
  <si>
    <t>144754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</si>
  <si>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</si>
  <si>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</si>
  <si>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PC Key</t>
  </si>
  <si>
    <t>2026-09-01T16:40:18.288Z</t>
  </si>
  <si>
    <t>loaded:101744</t>
  </si>
  <si>
    <t>101744</t>
  </si>
  <si>
    <t>https://www.loaded.com/es_es/microsoft-flight-simulator-2024-pc-steam</t>
  </si>
  <si>
    <t>Microsoft Flight Simulator 2024 PC Steam Account</t>
  </si>
  <si>
    <t>2026-09-01T16:40:26.421Z</t>
  </si>
  <si>
    <t>kinguin:52565 | driffle:109662</t>
  </si>
  <si>
    <t>109662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</si>
  <si>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</si>
  <si>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</si>
  <si>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</si>
  <si>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</si>
  <si>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2026-09-01T16:41:40.338Z</t>
  </si>
  <si>
    <t>kinguin:24438 | eneba:46110</t>
  </si>
  <si>
    <t>24438</t>
  </si>
  <si>
    <t>46110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</si>
  <si>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</si>
  <si>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</si>
  <si>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</si>
  <si>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</si>
  <si>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2026-09-01T16:41:19.790Z</t>
  </si>
  <si>
    <t>kinguin:53965 | eneba:42707</t>
  </si>
  <si>
    <t>53965</t>
  </si>
  <si>
    <t>42707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</si>
  <si>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</si>
  <si>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</si>
  <si>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</si>
  <si>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</si>
  <si>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(PC) Código de Steam LATAM</t>
  </si>
  <si>
    <t>2026-09-01T16:42:16.679Z</t>
  </si>
  <si>
    <t>eneba:61342</t>
  </si>
  <si>
    <t>61342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</si>
  <si>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</si>
  <si>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</si>
  <si>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</si>
  <si>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</si>
  <si>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</si>
  <si>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2026-09-01T16:43:26.613Z</t>
  </si>
  <si>
    <t>eneba:21926 | driffle:28572 | loaded:27014</t>
  </si>
  <si>
    <t>28572</t>
  </si>
  <si>
    <t>27014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</si>
  <si>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</si>
  <si>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</si>
  <si>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</si>
  <si>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</si>
  <si>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</si>
  <si>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</si>
  <si>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2026-09-01T16:43:30.715Z</t>
  </si>
  <si>
    <t>kinguin:41324</t>
  </si>
  <si>
    <t>41324</t>
  </si>
  <si>
    <t>https://www.kinguin.net/es/category/405683/mortal-kombat-1-definitive-edition-pc-steam-account</t>
  </si>
  <si>
    <t>Mortal Kombat 1 (PC) Código de Steam LATAM</t>
  </si>
  <si>
    <t>2026-09-01T16:42:40.084Z</t>
  </si>
  <si>
    <t>driffle:13261 | kinguin:15630 | eneba:12164</t>
  </si>
  <si>
    <t>15630</t>
  </si>
  <si>
    <t>12164</t>
  </si>
  <si>
    <t>13261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</si>
  <si>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</si>
  <si>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</si>
  <si>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</si>
  <si>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</si>
  <si>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</si>
  <si>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2026-09-01T16:42:44.114Z</t>
  </si>
  <si>
    <t>kinguin:14962</t>
  </si>
  <si>
    <t>14962</t>
  </si>
  <si>
    <t>https://www.kinguin.net/es/category/185707/mortal-kombat-1-steam-account</t>
  </si>
  <si>
    <t>NBA 2K26</t>
  </si>
  <si>
    <t>NBA 2K26 (Global) (PC) - Steam - Digital Key</t>
  </si>
  <si>
    <t>2026-09-01T16:44:13.946Z</t>
  </si>
  <si>
    <t>driffle:16075 | eneba:16202 | loaded:95384</t>
  </si>
  <si>
    <t>16202</t>
  </si>
  <si>
    <t>16075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</si>
  <si>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</si>
  <si>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</si>
  <si>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</si>
  <si>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</si>
  <si>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</si>
  <si>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2026-09-01T16:44:22.297Z</t>
  </si>
  <si>
    <t>kinguin:10764 | driffle:11989</t>
  </si>
  <si>
    <t>10764</t>
  </si>
  <si>
    <t>11989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</si>
  <si>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</si>
  <si>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</si>
  <si>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</si>
  <si>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</si>
  <si>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2026-09-01T16:44:41.762Z</t>
  </si>
  <si>
    <t>driffle:25217 | eneba:25345 | loaded:108422</t>
  </si>
  <si>
    <t>25345</t>
  </si>
  <si>
    <t>25217</t>
  </si>
  <si>
    <t>108422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</si>
  <si>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</si>
  <si>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</si>
  <si>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</si>
  <si>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</si>
  <si>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</si>
  <si>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</si>
  <si>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2026-09-01T16:44:50.229Z</t>
  </si>
  <si>
    <t>kinguin:22976 | driffle:86782</t>
  </si>
  <si>
    <t>22976</t>
  </si>
  <si>
    <t>86782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</si>
  <si>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</si>
  <si>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</si>
  <si>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</si>
  <si>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</si>
  <si>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2026-09-01T16:45:08.607Z</t>
  </si>
  <si>
    <t>driffle:35044 | eneba:35664 | loaded:135452</t>
  </si>
  <si>
    <t>35664</t>
  </si>
  <si>
    <t>35044</t>
  </si>
  <si>
    <t>135452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</si>
  <si>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</si>
  <si>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</si>
  <si>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</si>
  <si>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</si>
  <si>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</si>
  <si>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</si>
  <si>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2026-09-01T16:45:12.597Z</t>
  </si>
  <si>
    <t>kinguin:35934</t>
  </si>
  <si>
    <t>35934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</si>
  <si>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</si>
  <si>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</si>
  <si>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</si>
  <si>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</si>
  <si>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2026-09-01T16:45:28.731Z</t>
  </si>
  <si>
    <t>driffle:22944 | kinguin:19144 | loaded:25106 | eneba:17236</t>
  </si>
  <si>
    <t>19144</t>
  </si>
  <si>
    <t>17236</t>
  </si>
  <si>
    <t>22944</t>
  </si>
  <si>
    <t>25106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</si>
  <si>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</si>
  <si>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</si>
  <si>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</si>
  <si>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</si>
  <si>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</si>
  <si>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</si>
  <si>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2026-09-01T16:45:37.374Z</t>
  </si>
  <si>
    <t>driffle:8173 | kinguin:7664</t>
  </si>
  <si>
    <t>7664</t>
  </si>
  <si>
    <t>8173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</si>
  <si>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</si>
  <si>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</si>
  <si>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</si>
  <si>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</si>
  <si>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2026-09-01T16:45:49.651Z</t>
  </si>
  <si>
    <t>kinguin:23389</t>
  </si>
  <si>
    <t>23389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</si>
  <si>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</si>
  <si>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</si>
  <si>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</si>
  <si>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</si>
  <si>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2026-09-01T16:45:58.064Z</t>
  </si>
  <si>
    <t>kinguin:86019</t>
  </si>
  <si>
    <t>86019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</si>
  <si>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</si>
  <si>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</si>
  <si>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</si>
  <si>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2026-09-01T16:45:53.861Z</t>
  </si>
  <si>
    <t>kinguin:41610</t>
  </si>
  <si>
    <t>41610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</si>
  <si>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</si>
  <si>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</si>
  <si>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</si>
  <si>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2026-09-01T16:48:52.608Z</t>
  </si>
  <si>
    <t>driffle:46937</t>
  </si>
  <si>
    <t>46937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</si>
  <si>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</si>
  <si>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</si>
  <si>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</si>
  <si>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</si>
  <si>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</si>
  <si>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2026-09-01T16:48:57.167Z</t>
  </si>
  <si>
    <t>kinguin:85574</t>
  </si>
  <si>
    <t>85574</t>
  </si>
  <si>
    <t>https://www.kinguin.net/es/category/212863/persona-3-reload-deluxe-edition-steam-account</t>
  </si>
  <si>
    <t>Persona 3 Reload (PC) Código de Steam GLOBAL</t>
  </si>
  <si>
    <t>2026-09-01T16:46:42.285Z</t>
  </si>
  <si>
    <t>driffle:28874 | loaded:28127 | eneba:25822</t>
  </si>
  <si>
    <t>25822</t>
  </si>
  <si>
    <t>28874</t>
  </si>
  <si>
    <t>28127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</si>
  <si>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</si>
  <si>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</si>
  <si>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</si>
  <si>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</si>
  <si>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</si>
  <si>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2026-09-01T16:46:46.310Z</t>
  </si>
  <si>
    <t>kinguin:31832</t>
  </si>
  <si>
    <t>31832</t>
  </si>
  <si>
    <t>https://www.kinguin.net/es/category/212612/persona-3-reload-steam-account</t>
  </si>
  <si>
    <t>Persona 3 Reload: Premium Edition Steam Account</t>
  </si>
  <si>
    <t>2026-09-01T16:49:45.775Z</t>
  </si>
  <si>
    <t>kinguin:110012</t>
  </si>
  <si>
    <t>110012</t>
  </si>
  <si>
    <t>https://www.kinguin.net/es/category/212869/persona-3-reload-premium-edition-steam-account</t>
  </si>
  <si>
    <t>PRAGMATA</t>
  </si>
  <si>
    <t>PRAGMATA Deluxe Edition PC (LATAM) Key</t>
  </si>
  <si>
    <t>2026-09-01T16:51:26.378Z</t>
  </si>
  <si>
    <t>loaded:75668 | eneba:76193 | driffle:80677 | kinguin:85526</t>
  </si>
  <si>
    <t>85526</t>
  </si>
  <si>
    <t>76193</t>
  </si>
  <si>
    <t>75668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</si>
  <si>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</si>
  <si>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</si>
  <si>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</si>
  <si>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</si>
  <si>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</si>
  <si>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2026-09-01T16:51:34.529Z</t>
  </si>
  <si>
    <t>kinguin:86766</t>
  </si>
  <si>
    <t>86766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</si>
  <si>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</si>
  <si>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</si>
  <si>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</si>
  <si>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2026-09-01T16:50:32.162Z</t>
  </si>
  <si>
    <t>eneba:61390 | loaded:64856 | driffle:68958 | kinguin:72774</t>
  </si>
  <si>
    <t>72774</t>
  </si>
  <si>
    <t>61390</t>
  </si>
  <si>
    <t>68958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</si>
  <si>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</si>
  <si>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</si>
  <si>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</si>
  <si>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</si>
  <si>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</si>
  <si>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2026-09-01T16:50:40.128Z</t>
  </si>
  <si>
    <t>kinguin:54187</t>
  </si>
  <si>
    <t>54187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</si>
  <si>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</si>
  <si>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</si>
  <si>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</si>
  <si>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</si>
  <si>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2026-09-01T16:52:21.520Z</t>
  </si>
  <si>
    <t>kinguin:40338</t>
  </si>
  <si>
    <t>40338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</si>
  <si>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</si>
  <si>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</si>
  <si>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</si>
  <si>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</si>
  <si>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</si>
  <si>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2026-09-01T16:52:25.719Z</t>
  </si>
  <si>
    <t>kinguin:23850</t>
  </si>
  <si>
    <t>23850</t>
  </si>
  <si>
    <t>https://www.kinguin.net/es/category/505409/ready-or-not-deluxe-edition-pc-steam-account</t>
  </si>
  <si>
    <t>Ready or Not (PC) Código de Steam LATAM</t>
  </si>
  <si>
    <t>2026-09-01T16:51:53.623Z</t>
  </si>
  <si>
    <t>loaded:18428 | driffle:19128 | kinguin:19637 | eneba:18142</t>
  </si>
  <si>
    <t>19637</t>
  </si>
  <si>
    <t>18142</t>
  </si>
  <si>
    <t>19128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</si>
  <si>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</si>
  <si>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</si>
  <si>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</si>
  <si>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</si>
  <si>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</si>
  <si>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2026-09-01T16:52:02.108Z</t>
  </si>
  <si>
    <t>driffle:11178 | kinguin:11273</t>
  </si>
  <si>
    <t>11273</t>
  </si>
  <si>
    <t>11178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</si>
  <si>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</si>
  <si>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</si>
  <si>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</si>
  <si>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</si>
  <si>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2026-09-01T16:52:34.030Z</t>
  </si>
  <si>
    <t>kinguin:15280</t>
  </si>
  <si>
    <t>15280</t>
  </si>
  <si>
    <t>https://www.kinguin.net/es/category/133287/red-dead-redemption-2-steam-account</t>
  </si>
  <si>
    <t>Red Dead Redemption 2 Ultimate Edition Steam Account</t>
  </si>
  <si>
    <t>2026-09-01T16:52:38.211Z</t>
  </si>
  <si>
    <t>kinguin:22928</t>
  </si>
  <si>
    <t>22928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</si>
  <si>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</si>
  <si>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</si>
  <si>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</si>
  <si>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2026-09-01T16:53:31.730Z</t>
  </si>
  <si>
    <t>eneba:11861 | driffle:22737</t>
  </si>
  <si>
    <t>11861</t>
  </si>
  <si>
    <t>22737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</si>
  <si>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</si>
  <si>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</si>
  <si>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</si>
  <si>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</si>
  <si>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2026-09-01T16:52:50.976Z</t>
  </si>
  <si>
    <t>driffle:14851 | kinguin:16234 | eneba:9063</t>
  </si>
  <si>
    <t>16234</t>
  </si>
  <si>
    <t>9063</t>
  </si>
  <si>
    <t>14851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</si>
  <si>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</si>
  <si>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</si>
  <si>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</si>
  <si>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</si>
  <si>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2026-09-01T16:52:55.136Z</t>
  </si>
  <si>
    <t>kinguin:15073</t>
  </si>
  <si>
    <t>15073</t>
  </si>
  <si>
    <t>https://www.kinguin.net/es/category/199156/resident-evil-2-steam-account</t>
  </si>
  <si>
    <t>Resident Evil 3</t>
  </si>
  <si>
    <t>Resident Evil 3 Código de Steam LATAM</t>
  </si>
  <si>
    <t>2026-09-01T16:53:44.605Z</t>
  </si>
  <si>
    <t>driffle:15391 | eneba:8300</t>
  </si>
  <si>
    <t>8300</t>
  </si>
  <si>
    <t>15391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</si>
  <si>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</si>
  <si>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</si>
  <si>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</si>
  <si>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</si>
  <si>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2026-09-01T16:53:52.754Z</t>
  </si>
  <si>
    <t>kinguin:22244 | driffle:30035</t>
  </si>
  <si>
    <t>22244</t>
  </si>
  <si>
    <t>30035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</si>
  <si>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</si>
  <si>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</si>
  <si>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</si>
  <si>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</si>
  <si>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2026-09-01T16:54:05.464Z</t>
  </si>
  <si>
    <t>kinguin:13404 | driffle:23914 | eneba:11241</t>
  </si>
  <si>
    <t>13404</t>
  </si>
  <si>
    <t>11241</t>
  </si>
  <si>
    <t>23914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</si>
  <si>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</si>
  <si>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</si>
  <si>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</si>
  <si>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</si>
  <si>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2026-09-01T16:54:09.616Z</t>
  </si>
  <si>
    <t>kinguin:10621</t>
  </si>
  <si>
    <t>10621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</si>
  <si>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</si>
  <si>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</si>
  <si>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</si>
  <si>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2026-09-01T16:54:42.944Z</t>
  </si>
  <si>
    <t>eneba:17903</t>
  </si>
  <si>
    <t>17903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</si>
  <si>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</si>
  <si>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</si>
  <si>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</si>
  <si>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</si>
  <si>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2026-09-01T16:54:47.488Z</t>
  </si>
  <si>
    <t>kinguin:73156</t>
  </si>
  <si>
    <t>73156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</si>
  <si>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</si>
  <si>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</si>
  <si>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</si>
  <si>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</si>
  <si>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2026-09-01T16:54:59.969Z</t>
  </si>
  <si>
    <t>eneba:29256</t>
  </si>
  <si>
    <t>29256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</si>
  <si>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</si>
  <si>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</si>
  <si>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</si>
  <si>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</si>
  <si>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</si>
  <si>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2026-09-01T16:55:04.025Z</t>
  </si>
  <si>
    <t>kinguin:91918</t>
  </si>
  <si>
    <t>91918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</si>
  <si>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</si>
  <si>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</si>
  <si>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</si>
  <si>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2026-09-01T16:55:33.127Z</t>
  </si>
  <si>
    <t>driffle:14199 | eneba:11877 | kinguin:13372</t>
  </si>
  <si>
    <t>13372</t>
  </si>
  <si>
    <t>11877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</si>
  <si>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</si>
  <si>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</si>
  <si>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</si>
  <si>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</si>
  <si>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</si>
  <si>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2026-09-01T16:57:05.634Z</t>
  </si>
  <si>
    <t>eneba:71661 | driffle:73474 | kinguin:74539</t>
  </si>
  <si>
    <t>74539</t>
  </si>
  <si>
    <t>71661</t>
  </si>
  <si>
    <t>73474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</si>
  <si>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</si>
  <si>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</si>
  <si>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</si>
  <si>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</si>
  <si>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</si>
  <si>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2026-09-01T16:57:10.018Z</t>
  </si>
  <si>
    <t>kinguin:77608</t>
  </si>
  <si>
    <t>77608</t>
  </si>
  <si>
    <t>https://www.kinguin.net/es/category/406014/resident-evil-requiem-deluxe-edition-pc-steam-account</t>
  </si>
  <si>
    <t>Resident Evil Requiem PC Steam Account</t>
  </si>
  <si>
    <t>2026-09-01T16:56:09.490Z</t>
  </si>
  <si>
    <t>kinguin:41897</t>
  </si>
  <si>
    <t>41897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</si>
  <si>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</si>
  <si>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</si>
  <si>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</si>
  <si>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2026-09-01T16:58:05.461Z</t>
  </si>
  <si>
    <t>driffle:22769 | eneba:11098</t>
  </si>
  <si>
    <t>11098</t>
  </si>
  <si>
    <t>22769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</si>
  <si>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</si>
  <si>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</si>
  <si>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</si>
  <si>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</si>
  <si>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</si>
  <si>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2026-09-01T16:59:29.301Z</t>
  </si>
  <si>
    <t>eneba:18317 | driffle:27634 | kinguin:28477</t>
  </si>
  <si>
    <t>28477</t>
  </si>
  <si>
    <t>18317</t>
  </si>
  <si>
    <t>27634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</si>
  <si>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</si>
  <si>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</si>
  <si>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</si>
  <si>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</si>
  <si>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</si>
  <si>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2026-09-01T16:59:33.466Z</t>
  </si>
  <si>
    <t>kinguin:73538</t>
  </si>
  <si>
    <t>73538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</si>
  <si>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</si>
  <si>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</si>
  <si>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</si>
  <si>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2026-09-01T17:00:10.422Z</t>
  </si>
  <si>
    <t>driffle:12148 | eneba:12370</t>
  </si>
  <si>
    <t>12370</t>
  </si>
  <si>
    <t>12148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</si>
  <si>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</si>
  <si>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</si>
  <si>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</si>
  <si>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</si>
  <si>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</si>
  <si>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</si>
  <si>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2026-09-01T17:00:19.575Z</t>
  </si>
  <si>
    <t>driffle:17856 | kinguin:28286</t>
  </si>
  <si>
    <t>28286</t>
  </si>
  <si>
    <t>17856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</si>
  <si>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</si>
  <si>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</si>
  <si>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</si>
  <si>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2026-09-01T17:00:29.535Z</t>
  </si>
  <si>
    <t>driffle:64777 | kinguin:67337</t>
  </si>
  <si>
    <t>67337</t>
  </si>
  <si>
    <t>64777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</si>
  <si>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</si>
  <si>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</si>
  <si>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</si>
  <si>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2026-09-01T17:00:37.893Z</t>
  </si>
  <si>
    <t>driffle:77926 | kinguin:80120</t>
  </si>
  <si>
    <t>77926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</si>
  <si>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</si>
  <si>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</si>
  <si>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</si>
  <si>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</si>
  <si>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2026-09-01T17:00:54.383Z</t>
  </si>
  <si>
    <t>driffle:43948 | loaded:41006 | eneba:44615</t>
  </si>
  <si>
    <t>44615</t>
  </si>
  <si>
    <t>43948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</si>
  <si>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</si>
  <si>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</si>
  <si>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</si>
  <si>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</si>
  <si>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</si>
  <si>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2026-09-01T17:01:03.575Z</t>
  </si>
  <si>
    <t>driffle:34471 | kinguin:59005</t>
  </si>
  <si>
    <t>59005</t>
  </si>
  <si>
    <t>34471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</si>
  <si>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</si>
  <si>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</si>
  <si>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</si>
  <si>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</si>
  <si>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2026-09-01T17:02:11.087Z</t>
  </si>
  <si>
    <t>kinguin:29717</t>
  </si>
  <si>
    <t>29717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</si>
  <si>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</si>
  <si>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</si>
  <si>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</si>
  <si>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2026-09-01T17:01:40.316Z</t>
  </si>
  <si>
    <t>eneba:35823 | driffle:37047 | kinguin:40736</t>
  </si>
  <si>
    <t>40736</t>
  </si>
  <si>
    <t>35823</t>
  </si>
  <si>
    <t>37047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</si>
  <si>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</si>
  <si>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</si>
  <si>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</si>
  <si>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</si>
  <si>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2026-09-01T17:01:49.454Z</t>
  </si>
  <si>
    <t>driffle:24709 | kinguin:24868</t>
  </si>
  <si>
    <t>24868</t>
  </si>
  <si>
    <t>24709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</si>
  <si>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</si>
  <si>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</si>
  <si>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</si>
  <si>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</si>
  <si>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2026-09-01T17:02:36.373Z</t>
  </si>
  <si>
    <t>eneba:92268 | loaded:74555</t>
  </si>
  <si>
    <t>92268</t>
  </si>
  <si>
    <t>74555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</si>
  <si>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</si>
  <si>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</si>
  <si>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</si>
  <si>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2026-09-01T17:02:26.104Z</t>
  </si>
  <si>
    <t>eneba:77497 | loaded:62630</t>
  </si>
  <si>
    <t>77497</t>
  </si>
  <si>
    <t>62630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</si>
  <si>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</si>
  <si>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</si>
  <si>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</si>
  <si>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</si>
  <si>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</si>
  <si>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2026-09-01T17:02:49.239Z</t>
  </si>
  <si>
    <t>driffle:70676 | eneba:71137</t>
  </si>
  <si>
    <t>71137</t>
  </si>
  <si>
    <t>70676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</si>
  <si>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</si>
  <si>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</si>
  <si>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</si>
  <si>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</si>
  <si>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2026-09-01T17:02:57.823Z</t>
  </si>
  <si>
    <t>kinguin:31577 | driffle:36856</t>
  </si>
  <si>
    <t>31577</t>
  </si>
  <si>
    <t>36856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</si>
  <si>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</si>
  <si>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</si>
  <si>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</si>
  <si>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</si>
  <si>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2026-09-01T17:03:18.859Z</t>
  </si>
  <si>
    <t>eneba:188701</t>
  </si>
  <si>
    <t>188701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</si>
  <si>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</si>
  <si>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</si>
  <si>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</si>
  <si>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2026-09-01T17:03:23.127Z</t>
  </si>
  <si>
    <t>kinguin:104447</t>
  </si>
  <si>
    <t>104447</t>
  </si>
  <si>
    <t>https://www.kinguin.net/es/category/160069/star-wars-jedi-survivor-deluxe-edition-steam-account</t>
  </si>
  <si>
    <t>STAR WARS Jedi: Survivor Steam Account</t>
  </si>
  <si>
    <t>2026-09-01T17:03:10.437Z</t>
  </si>
  <si>
    <t>driffle:13324 | kinguin:10764</t>
  </si>
  <si>
    <t>13324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</si>
  <si>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</si>
  <si>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</si>
  <si>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</si>
  <si>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</si>
  <si>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</si>
  <si>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2026-09-01T17:04:03.614Z</t>
  </si>
  <si>
    <t>driffle:69865 | kinguin:76908 | loaded:82187 | eneba:69197</t>
  </si>
  <si>
    <t>69197</t>
  </si>
  <si>
    <t>69865</t>
  </si>
  <si>
    <t>82187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</si>
  <si>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</si>
  <si>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</si>
  <si>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</si>
  <si>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</si>
  <si>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</si>
  <si>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</si>
  <si>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2026-09-01T17:04:11.922Z</t>
  </si>
  <si>
    <t>kinguin:77703 | driffle:108263</t>
  </si>
  <si>
    <t>77703</t>
  </si>
  <si>
    <t>108263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</si>
  <si>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</si>
  <si>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</si>
  <si>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</si>
  <si>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2026-09-01T17:03:42.631Z</t>
  </si>
  <si>
    <t>kinguin:52709 | driffle:53440 | loaded:64856 | eneba:50006</t>
  </si>
  <si>
    <t>52709</t>
  </si>
  <si>
    <t>50006</t>
  </si>
  <si>
    <t>53440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</si>
  <si>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</si>
  <si>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</si>
  <si>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</si>
  <si>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</si>
  <si>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</si>
  <si>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2026-09-01T17:03:47.362Z</t>
  </si>
  <si>
    <t>driffle:50355</t>
  </si>
  <si>
    <t>50355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</si>
  <si>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</si>
  <si>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</si>
  <si>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</si>
  <si>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</si>
  <si>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2026-09-01T17:04:36.761Z</t>
  </si>
  <si>
    <t>kinguin:43216 | driffle:48320</t>
  </si>
  <si>
    <t>43216</t>
  </si>
  <si>
    <t>48320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</si>
  <si>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</si>
  <si>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</si>
  <si>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</si>
  <si>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</si>
  <si>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</si>
  <si>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2026-09-01T17:04:41.593Z</t>
  </si>
  <si>
    <t>kinguin:63266</t>
  </si>
  <si>
    <t>63266</t>
  </si>
  <si>
    <t>https://www.kinguin.net/es/category/437624/street-fighter-6-years-1-2-fighters-edition-pc-steam-account</t>
  </si>
  <si>
    <t>Street Fighter 6 (PC) Código de Steam LATAM</t>
  </si>
  <si>
    <t>2026-09-01T17:04:20.073Z</t>
  </si>
  <si>
    <t>eneba:24263</t>
  </si>
  <si>
    <t>24263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</si>
  <si>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</si>
  <si>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</si>
  <si>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</si>
  <si>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2026-09-01T17:04:24.294Z</t>
  </si>
  <si>
    <t>kinguin:37349</t>
  </si>
  <si>
    <t>37349</t>
  </si>
  <si>
    <t>https://www.kinguin.net/es/category/153297/street-fighter-6-steam-account</t>
  </si>
  <si>
    <t>Subnautica 2</t>
  </si>
  <si>
    <t>Subnautica 2 (Global) (PC) - Steam Account</t>
  </si>
  <si>
    <t>2026-09-01T17:04:54.035Z</t>
  </si>
  <si>
    <t>driffle:20909 | kinguin:23516</t>
  </si>
  <si>
    <t>23516</t>
  </si>
  <si>
    <t>20909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</si>
  <si>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</si>
  <si>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</si>
  <si>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</si>
  <si>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</si>
  <si>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2026-09-01T17:05:10.301Z</t>
  </si>
  <si>
    <t>driffle:35362 | loaded:32420 | eneba:33883</t>
  </si>
  <si>
    <t>33883</t>
  </si>
  <si>
    <t>32420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</si>
  <si>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</si>
  <si>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</si>
  <si>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</si>
  <si>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</si>
  <si>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</si>
  <si>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2026-09-01T17:05:18.913Z</t>
  </si>
  <si>
    <t>kinguin:26537 | driffle:39543</t>
  </si>
  <si>
    <t>26537</t>
  </si>
  <si>
    <t>39543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</si>
  <si>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</si>
  <si>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</si>
  <si>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</si>
  <si>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</si>
  <si>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2026-09-01T17:06:07.131Z</t>
  </si>
  <si>
    <t>driffle:12974 | kinguin:11321 | loaded:16202 | eneba:12052</t>
  </si>
  <si>
    <t>11321</t>
  </si>
  <si>
    <t>12052</t>
  </si>
  <si>
    <t>12974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</si>
  <si>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</si>
  <si>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</si>
  <si>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</si>
  <si>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</si>
  <si>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</si>
  <si>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2026-09-01T17:06:17.421Z</t>
  </si>
  <si>
    <t>kinguin:37445</t>
  </si>
  <si>
    <t>37445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</si>
  <si>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</si>
  <si>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</si>
  <si>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</si>
  <si>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</si>
  <si>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2026-09-01T17:06:33.460Z</t>
  </si>
  <si>
    <t>kinguin:44854</t>
  </si>
  <si>
    <t>44854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</si>
  <si>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</si>
  <si>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</si>
  <si>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</si>
  <si>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</si>
  <si>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</si>
  <si>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2026-09-01T17:06:37.664Z</t>
  </si>
  <si>
    <t>kinguin:47096</t>
  </si>
  <si>
    <t>47096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</si>
  <si>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</si>
  <si>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</si>
  <si>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</si>
  <si>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2026-09-01T17:07:10.469Z</t>
  </si>
  <si>
    <t>kinguin:58735</t>
  </si>
  <si>
    <t>58735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</si>
  <si>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</si>
  <si>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</si>
  <si>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</si>
  <si>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</si>
  <si>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</si>
  <si>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Complete Edition PC Steam Account</t>
  </si>
  <si>
    <t>2026-09-01T17:07:58.120Z</t>
  </si>
  <si>
    <t>kinguin:17236</t>
  </si>
  <si>
    <t>https://www.kinguin.net/es/category/246280/the-witcher-3-wild-hunt-complete-edition-pc-steam-account</t>
  </si>
  <si>
    <t>The Witcher 3: Wild Hunt | Edicion estandar | Cuenta</t>
  </si>
  <si>
    <t>2026-09-01T17:07:53.737Z</t>
  </si>
  <si>
    <t>kinguin:9381</t>
  </si>
  <si>
    <t>9381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</si>
  <si>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</si>
  <si>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</si>
  <si>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</si>
  <si>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2026-09-01T17:08:40.856Z</t>
  </si>
  <si>
    <t>driffle:19191 | eneba:18826 | loaded:32420</t>
  </si>
  <si>
    <t>18826</t>
  </si>
  <si>
    <t>19191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</si>
  <si>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</si>
  <si>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</si>
  <si>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</si>
  <si>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</si>
  <si>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</si>
  <si>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</si>
  <si>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2026-09-01T17:08:53.935Z</t>
  </si>
  <si>
    <t>driffle:49751 | kinguin:54442 | eneba:45633</t>
  </si>
  <si>
    <t>54442</t>
  </si>
  <si>
    <t>45633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</si>
  <si>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</si>
  <si>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</si>
  <si>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</si>
  <si>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</si>
  <si>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2026-09-01T17:08:58.006Z</t>
  </si>
  <si>
    <t>kinguin:83252</t>
  </si>
  <si>
    <t>83252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</si>
  <si>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</si>
  <si>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</si>
  <si>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</si>
  <si>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</si>
  <si>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2026-09-01T17:09:23.314Z</t>
  </si>
  <si>
    <t>kinguin:210119 | driffle:188638</t>
  </si>
  <si>
    <t>210119</t>
  </si>
  <si>
    <t>188638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</si>
  <si>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</si>
  <si>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</si>
  <si>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</si>
  <si>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</si>
  <si>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2026-09-01T17:09:31.601Z</t>
  </si>
  <si>
    <t>kinguin:144022</t>
  </si>
  <si>
    <t>144022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</si>
  <si>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</si>
  <si>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</si>
  <si>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</si>
  <si>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2026-09-01T17:09:11.093Z</t>
  </si>
  <si>
    <t>driffle:32579 | kinguin:33422 | eneba:32786</t>
  </si>
  <si>
    <t>33422</t>
  </si>
  <si>
    <t>32786</t>
  </si>
  <si>
    <t>32579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</si>
  <si>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</si>
  <si>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</si>
  <si>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</si>
  <si>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</si>
  <si>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2026-09-01T17:09:15.086Z</t>
  </si>
  <si>
    <t>kinguin:49306</t>
  </si>
  <si>
    <t>49306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</si>
  <si>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</si>
  <si>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</si>
  <si>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</si>
  <si>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</si>
  <si>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2026-09-01T17:09:52.822Z</t>
  </si>
  <si>
    <t>kinguin:104050</t>
  </si>
  <si>
    <t>104050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</si>
  <si>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</si>
  <si>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</si>
  <si>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</si>
  <si>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2026-09-01T17:09:56.923Z</t>
  </si>
  <si>
    <t>kinguin:144038</t>
  </si>
  <si>
    <t>144038</t>
  </si>
  <si>
    <t>https://www.kinguin.net/es/category/476568/wwe-2k26-attitude-era-edition-pc-steam-account</t>
  </si>
  <si>
    <t>WWE 2K26 Steam Key (PC) GLOBAL</t>
  </si>
  <si>
    <t>2026-09-01T17:09:40.214Z</t>
  </si>
  <si>
    <t>eneba:44822 | kinguin:48511</t>
  </si>
  <si>
    <t>48511</t>
  </si>
  <si>
    <t>https://www.kinguin.net/es/category/549111/wwe-2k26-pc-steam-cd-key</t>
  </si>
  <si>
    <t>https://www.eneba.com/latam/steam-wwe-2k26-steam-key-pc-global</t>
  </si>
  <si>
    <t>WWE 2k26 PC Steam Account</t>
  </si>
  <si>
    <t>2026-09-01T17:09:44.422Z</t>
  </si>
  <si>
    <t>kinguin:59879</t>
  </si>
  <si>
    <t>59879</t>
  </si>
  <si>
    <t>https://www.kinguin.net/es/category/464749/wwe-2k26-pc-steam-account</t>
  </si>
  <si>
    <t>King of Kings Edition - Cuenta Steam</t>
  </si>
  <si>
    <t>WWE 2K26 King of Kings Edition PC Steam Account</t>
  </si>
  <si>
    <t>2026-09-01T17:09:48.519Z</t>
  </si>
  <si>
    <t>kinguin:109758</t>
  </si>
  <si>
    <t>109758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</si>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</sst>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73013</v>
      </c>
      <c r="F2">
        <v>85420</v>
      </c>
      <c r="G2">
        <v>88013</v>
      </c>
      <c r="H2">
        <v>15000</v>
      </c>
      <c r="I2">
        <v>126739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94494</v>
      </c>
      <c r="F3">
        <v>85420</v>
      </c>
      <c r="G3">
        <v>109494</v>
      </c>
      <c r="H3">
        <v>15000</v>
      </c>
      <c r="I3">
        <v>157671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71789</v>
      </c>
      <c r="F4">
        <v>74275</v>
      </c>
      <c r="G4">
        <v>86789</v>
      </c>
      <c r="H4">
        <v>15000</v>
      </c>
      <c r="I4">
        <v>124976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47764</v>
      </c>
      <c r="F5">
        <v>74275</v>
      </c>
      <c r="G5">
        <v>62764</v>
      </c>
      <c r="H5">
        <v>15000</v>
      </c>
      <c r="I5">
        <v>90380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37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67</v>
      </c>
      <c r="C6" t="s">
        <v>28</v>
      </c>
      <c r="D6" t="s">
        <v>29</v>
      </c>
      <c r="E6">
        <v>7155</v>
      </c>
      <c r="F6">
        <v>55702</v>
      </c>
      <c r="G6">
        <v>30586</v>
      </c>
      <c r="H6">
        <v>23431</v>
      </c>
      <c r="I6">
        <v>44044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61326</v>
      </c>
      <c r="F7">
        <v>111422</v>
      </c>
      <c r="G7">
        <v>76326</v>
      </c>
      <c r="H7">
        <v>15000</v>
      </c>
      <c r="I7">
        <v>109909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54760</v>
      </c>
      <c r="F8">
        <v>111422</v>
      </c>
      <c r="G8">
        <v>78044</v>
      </c>
      <c r="H8">
        <v>23284</v>
      </c>
      <c r="I8">
        <v>112383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75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83</v>
      </c>
      <c r="B9" t="s">
        <v>55</v>
      </c>
      <c r="C9" t="s">
        <v>32</v>
      </c>
      <c r="D9" t="s">
        <v>42</v>
      </c>
      <c r="E9">
        <v>38717</v>
      </c>
      <c r="F9">
        <v>74275</v>
      </c>
      <c r="G9">
        <v>55706</v>
      </c>
      <c r="H9">
        <v>16989</v>
      </c>
      <c r="I9">
        <v>80217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75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104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83</v>
      </c>
      <c r="B10" t="s">
        <v>67</v>
      </c>
      <c r="C10" t="s">
        <v>28</v>
      </c>
      <c r="D10" t="s">
        <v>29</v>
      </c>
      <c r="E10">
        <v>35362</v>
      </c>
      <c r="F10">
        <v>74275</v>
      </c>
      <c r="G10">
        <v>50362</v>
      </c>
      <c r="H10">
        <v>15000</v>
      </c>
      <c r="I10">
        <v>72521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37</v>
      </c>
      <c r="U10" t="s">
        <v>37</v>
      </c>
      <c r="V10" t="s">
        <v>37</v>
      </c>
      <c r="W10" t="s">
        <v>113</v>
      </c>
      <c r="X10" t="s">
        <v>37</v>
      </c>
      <c r="Y10" t="s">
        <v>37</v>
      </c>
      <c r="Z10" t="s">
        <v>37</v>
      </c>
    </row>
    <row r="11">
      <c r="A11" t="s">
        <v>114</v>
      </c>
      <c r="B11" t="s">
        <v>55</v>
      </c>
      <c r="C11" t="s">
        <v>32</v>
      </c>
      <c r="D11" t="s">
        <v>42</v>
      </c>
      <c r="E11">
        <v>82680</v>
      </c>
      <c r="F11">
        <v>83562</v>
      </c>
      <c r="G11">
        <v>98357</v>
      </c>
      <c r="H11">
        <v>15677</v>
      </c>
      <c r="I11">
        <v>141634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75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119</v>
      </c>
      <c r="U11" t="s">
        <v>120</v>
      </c>
      <c r="V11" t="s">
        <v>37</v>
      </c>
      <c r="W11" t="s">
        <v>121</v>
      </c>
      <c r="X11" t="s">
        <v>122</v>
      </c>
      <c r="Y11" t="s">
        <v>123</v>
      </c>
      <c r="Z11" t="s">
        <v>37</v>
      </c>
    </row>
    <row r="12">
      <c r="A12" t="s">
        <v>114</v>
      </c>
      <c r="B12" t="s">
        <v>67</v>
      </c>
      <c r="C12" t="s">
        <v>28</v>
      </c>
      <c r="D12" t="s">
        <v>29</v>
      </c>
      <c r="E12">
        <v>12625</v>
      </c>
      <c r="F12">
        <v>83562</v>
      </c>
      <c r="G12">
        <v>39625</v>
      </c>
      <c r="H12">
        <v>27000</v>
      </c>
      <c r="I12">
        <v>57060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75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67</v>
      </c>
      <c r="C13" t="s">
        <v>28</v>
      </c>
      <c r="D13" t="s">
        <v>29</v>
      </c>
      <c r="E13">
        <v>51198</v>
      </c>
      <c r="F13">
        <v>74275</v>
      </c>
      <c r="G13">
        <v>66198</v>
      </c>
      <c r="H13">
        <v>15000</v>
      </c>
      <c r="I13">
        <v>95325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37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27</v>
      </c>
      <c r="C14" t="s">
        <v>28</v>
      </c>
      <c r="D14" t="s">
        <v>29</v>
      </c>
      <c r="E14">
        <v>95845</v>
      </c>
      <c r="F14">
        <v>133711</v>
      </c>
      <c r="G14">
        <v>110845</v>
      </c>
      <c r="H14">
        <v>15000</v>
      </c>
      <c r="I14">
        <v>159617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37</v>
      </c>
      <c r="U14" t="s">
        <v>37</v>
      </c>
      <c r="V14" t="s">
        <v>37</v>
      </c>
      <c r="W14" t="s">
        <v>143</v>
      </c>
      <c r="X14" t="s">
        <v>37</v>
      </c>
      <c r="Y14" t="s">
        <v>37</v>
      </c>
      <c r="Z14" t="s">
        <v>37</v>
      </c>
    </row>
    <row r="15">
      <c r="A15" t="s">
        <v>138</v>
      </c>
      <c r="B15" t="s">
        <v>67</v>
      </c>
      <c r="C15" t="s">
        <v>28</v>
      </c>
      <c r="D15" t="s">
        <v>29</v>
      </c>
      <c r="E15">
        <v>36220</v>
      </c>
      <c r="F15">
        <v>103993</v>
      </c>
      <c r="G15">
        <v>61045</v>
      </c>
      <c r="H15">
        <v>24825</v>
      </c>
      <c r="I15">
        <v>87905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67</v>
      </c>
      <c r="C16" t="s">
        <v>28</v>
      </c>
      <c r="D16" t="s">
        <v>29</v>
      </c>
      <c r="E16">
        <v>21179</v>
      </c>
      <c r="F16">
        <v>64989</v>
      </c>
      <c r="G16">
        <v>39817</v>
      </c>
      <c r="H16">
        <v>18638</v>
      </c>
      <c r="I16">
        <v>57336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75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55</v>
      </c>
      <c r="C17" t="s">
        <v>32</v>
      </c>
      <c r="D17" t="s">
        <v>42</v>
      </c>
      <c r="E17">
        <v>80772</v>
      </c>
      <c r="F17">
        <v>129996</v>
      </c>
      <c r="G17">
        <v>96807</v>
      </c>
      <c r="H17">
        <v>16035</v>
      </c>
      <c r="I17">
        <v>139402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158</v>
      </c>
      <c r="B18" t="s">
        <v>67</v>
      </c>
      <c r="C18" t="s">
        <v>28</v>
      </c>
      <c r="D18" t="s">
        <v>29</v>
      </c>
      <c r="E18">
        <v>30528</v>
      </c>
      <c r="F18">
        <v>129996</v>
      </c>
      <c r="G18">
        <v>57528</v>
      </c>
      <c r="H18">
        <v>27000</v>
      </c>
      <c r="I18">
        <v>82840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171</v>
      </c>
      <c r="V18" t="s">
        <v>37</v>
      </c>
      <c r="W18" t="s">
        <v>172</v>
      </c>
      <c r="X18" t="s">
        <v>37</v>
      </c>
      <c r="Y18" t="s">
        <v>173</v>
      </c>
      <c r="Z18" t="s">
        <v>37</v>
      </c>
    </row>
    <row r="19">
      <c r="A19" t="s">
        <v>158</v>
      </c>
      <c r="B19" t="s">
        <v>174</v>
      </c>
      <c r="C19" t="s">
        <v>32</v>
      </c>
      <c r="D19" t="s">
        <v>42</v>
      </c>
      <c r="E19">
        <v>131286</v>
      </c>
      <c r="F19">
        <v>185716</v>
      </c>
      <c r="G19">
        <v>146286</v>
      </c>
      <c r="H19">
        <v>15000</v>
      </c>
      <c r="I19">
        <v>210652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37</v>
      </c>
      <c r="U19" t="s">
        <v>178</v>
      </c>
      <c r="V19" t="s">
        <v>37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183</v>
      </c>
      <c r="B20" t="s">
        <v>27</v>
      </c>
      <c r="C20" t="s">
        <v>28</v>
      </c>
      <c r="D20" t="s">
        <v>29</v>
      </c>
      <c r="E20">
        <v>49242</v>
      </c>
      <c r="F20">
        <v>129996</v>
      </c>
      <c r="G20">
        <v>76242</v>
      </c>
      <c r="H20">
        <v>27000</v>
      </c>
      <c r="I20">
        <v>109788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37</v>
      </c>
      <c r="U20" t="s">
        <v>37</v>
      </c>
      <c r="V20" t="s">
        <v>37</v>
      </c>
      <c r="W20" t="s">
        <v>188</v>
      </c>
      <c r="X20" t="s">
        <v>37</v>
      </c>
      <c r="Y20" t="s">
        <v>189</v>
      </c>
      <c r="Z20" t="s">
        <v>37</v>
      </c>
    </row>
    <row r="21">
      <c r="A21" t="s">
        <v>183</v>
      </c>
      <c r="B21" t="s">
        <v>55</v>
      </c>
      <c r="C21" t="s">
        <v>32</v>
      </c>
      <c r="D21" t="s">
        <v>42</v>
      </c>
      <c r="E21">
        <v>59053</v>
      </c>
      <c r="F21">
        <v>111422</v>
      </c>
      <c r="G21">
        <v>80271</v>
      </c>
      <c r="H21">
        <v>21218</v>
      </c>
      <c r="I21">
        <v>115590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75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37</v>
      </c>
      <c r="T21" t="s">
        <v>193</v>
      </c>
      <c r="U21" t="s">
        <v>194</v>
      </c>
      <c r="V21" t="s">
        <v>195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183</v>
      </c>
      <c r="B22" t="s">
        <v>67</v>
      </c>
      <c r="C22" t="s">
        <v>28</v>
      </c>
      <c r="D22" t="s">
        <v>29</v>
      </c>
      <c r="E22">
        <v>35950</v>
      </c>
      <c r="F22">
        <v>111422</v>
      </c>
      <c r="G22">
        <v>62950</v>
      </c>
      <c r="H22">
        <v>27000</v>
      </c>
      <c r="I22">
        <v>90648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75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204</v>
      </c>
      <c r="V22" t="s">
        <v>37</v>
      </c>
      <c r="W22" t="s">
        <v>205</v>
      </c>
      <c r="X22" t="s">
        <v>37</v>
      </c>
      <c r="Y22" t="s">
        <v>206</v>
      </c>
      <c r="Z22" t="s">
        <v>37</v>
      </c>
    </row>
    <row r="23">
      <c r="A23" t="s">
        <v>207</v>
      </c>
      <c r="B23" t="s">
        <v>27</v>
      </c>
      <c r="C23" t="s">
        <v>28</v>
      </c>
      <c r="D23" t="s">
        <v>29</v>
      </c>
      <c r="E23">
        <v>93826</v>
      </c>
      <c r="F23">
        <v>185716</v>
      </c>
      <c r="G23">
        <v>115959</v>
      </c>
      <c r="H23">
        <v>22133</v>
      </c>
      <c r="I23">
        <v>166981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37</v>
      </c>
      <c r="V23" t="s">
        <v>37</v>
      </c>
      <c r="W23" t="s">
        <v>212</v>
      </c>
      <c r="X23" t="s">
        <v>37</v>
      </c>
      <c r="Y23" t="s">
        <v>37</v>
      </c>
      <c r="Z23" t="s">
        <v>37</v>
      </c>
    </row>
    <row r="24">
      <c r="A24" t="s">
        <v>207</v>
      </c>
      <c r="B24" t="s">
        <v>27</v>
      </c>
      <c r="C24" t="s">
        <v>28</v>
      </c>
      <c r="D24" t="s">
        <v>29</v>
      </c>
      <c r="E24">
        <v>134164</v>
      </c>
      <c r="F24">
        <v>185716</v>
      </c>
      <c r="G24">
        <v>149164</v>
      </c>
      <c r="H24">
        <v>15000</v>
      </c>
      <c r="I24">
        <v>214796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37</v>
      </c>
      <c r="U24" t="s">
        <v>37</v>
      </c>
      <c r="V24" t="s">
        <v>37</v>
      </c>
      <c r="W24" t="s">
        <v>217</v>
      </c>
      <c r="X24" t="s">
        <v>37</v>
      </c>
      <c r="Y24" t="s">
        <v>37</v>
      </c>
      <c r="Z24" t="s">
        <v>37</v>
      </c>
    </row>
    <row r="25">
      <c r="A25" t="s">
        <v>207</v>
      </c>
      <c r="B25" t="s">
        <v>41</v>
      </c>
      <c r="C25" t="s">
        <v>32</v>
      </c>
      <c r="D25" t="s">
        <v>42</v>
      </c>
      <c r="E25">
        <v>62757</v>
      </c>
      <c r="F25">
        <v>185716</v>
      </c>
      <c r="G25">
        <v>89757</v>
      </c>
      <c r="H25">
        <v>27000</v>
      </c>
      <c r="I25">
        <v>129250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75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222</v>
      </c>
      <c r="U25" t="s">
        <v>223</v>
      </c>
      <c r="V25" t="s">
        <v>37</v>
      </c>
      <c r="W25" t="s">
        <v>224</v>
      </c>
      <c r="X25" t="s">
        <v>225</v>
      </c>
      <c r="Y25" t="s">
        <v>226</v>
      </c>
      <c r="Z25" t="s">
        <v>37</v>
      </c>
    </row>
    <row r="26">
      <c r="A26" t="s">
        <v>207</v>
      </c>
      <c r="B26" t="s">
        <v>55</v>
      </c>
      <c r="C26" t="s">
        <v>32</v>
      </c>
      <c r="D26" t="s">
        <v>42</v>
      </c>
      <c r="E26">
        <v>45251</v>
      </c>
      <c r="F26">
        <v>129996</v>
      </c>
      <c r="G26">
        <v>72251</v>
      </c>
      <c r="H26">
        <v>27000</v>
      </c>
      <c r="I26">
        <v>104041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44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37</v>
      </c>
      <c r="U26" t="s">
        <v>231</v>
      </c>
      <c r="V26" t="s">
        <v>232</v>
      </c>
      <c r="W26" t="s">
        <v>233</v>
      </c>
      <c r="X26" t="s">
        <v>234</v>
      </c>
      <c r="Y26" t="s">
        <v>235</v>
      </c>
      <c r="Z26" t="s">
        <v>236</v>
      </c>
    </row>
    <row r="27">
      <c r="A27" t="s">
        <v>207</v>
      </c>
      <c r="B27" t="s">
        <v>67</v>
      </c>
      <c r="C27" t="s">
        <v>28</v>
      </c>
      <c r="D27" t="s">
        <v>29</v>
      </c>
      <c r="E27">
        <v>35409</v>
      </c>
      <c r="F27">
        <v>129996</v>
      </c>
      <c r="G27">
        <v>62409</v>
      </c>
      <c r="H27">
        <v>27000</v>
      </c>
      <c r="I27">
        <v>89869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37</v>
      </c>
      <c r="U27" t="s">
        <v>37</v>
      </c>
      <c r="V27" t="s">
        <v>37</v>
      </c>
      <c r="W27" t="s">
        <v>241</v>
      </c>
      <c r="X27" t="s">
        <v>37</v>
      </c>
      <c r="Y27" t="s">
        <v>37</v>
      </c>
      <c r="Z27" t="s">
        <v>37</v>
      </c>
    </row>
    <row r="28">
      <c r="A28" t="s">
        <v>207</v>
      </c>
      <c r="B28" t="s">
        <v>242</v>
      </c>
      <c r="C28" t="s">
        <v>32</v>
      </c>
      <c r="D28" t="s">
        <v>42</v>
      </c>
      <c r="E28">
        <v>80120</v>
      </c>
      <c r="F28">
        <v>241437</v>
      </c>
      <c r="G28">
        <v>107120</v>
      </c>
      <c r="H28">
        <v>27000</v>
      </c>
      <c r="I28">
        <v>154253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75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37</v>
      </c>
      <c r="U28" t="s">
        <v>247</v>
      </c>
      <c r="V28" t="s">
        <v>37</v>
      </c>
      <c r="W28" t="s">
        <v>248</v>
      </c>
      <c r="X28" t="s">
        <v>249</v>
      </c>
      <c r="Y28" t="s">
        <v>250</v>
      </c>
      <c r="Z28" t="s">
        <v>37</v>
      </c>
    </row>
    <row r="29">
      <c r="A29" t="s">
        <v>251</v>
      </c>
      <c r="B29" t="s">
        <v>67</v>
      </c>
      <c r="C29" t="s">
        <v>28</v>
      </c>
      <c r="D29" t="s">
        <v>29</v>
      </c>
      <c r="E29">
        <v>49544</v>
      </c>
      <c r="F29">
        <v>129996</v>
      </c>
      <c r="G29">
        <v>76516</v>
      </c>
      <c r="H29">
        <v>26972</v>
      </c>
      <c r="I29">
        <v>110183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37</v>
      </c>
      <c r="U29" t="s">
        <v>256</v>
      </c>
      <c r="V29" t="s">
        <v>37</v>
      </c>
      <c r="W29" t="s">
        <v>257</v>
      </c>
      <c r="X29" t="s">
        <v>37</v>
      </c>
      <c r="Y29" t="s">
        <v>258</v>
      </c>
      <c r="Z29" t="s">
        <v>37</v>
      </c>
    </row>
    <row r="30">
      <c r="A30" t="s">
        <v>251</v>
      </c>
      <c r="B30" t="s">
        <v>259</v>
      </c>
      <c r="C30" t="s">
        <v>28</v>
      </c>
      <c r="D30" t="s">
        <v>29</v>
      </c>
      <c r="E30">
        <v>119473</v>
      </c>
      <c r="F30">
        <v>185716</v>
      </c>
      <c r="G30">
        <v>134473</v>
      </c>
      <c r="H30">
        <v>15000</v>
      </c>
      <c r="I30">
        <v>193641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37</v>
      </c>
      <c r="V30" t="s">
        <v>37</v>
      </c>
      <c r="W30" t="s">
        <v>264</v>
      </c>
      <c r="X30" t="s">
        <v>37</v>
      </c>
      <c r="Y30" t="s">
        <v>37</v>
      </c>
      <c r="Z30" t="s">
        <v>37</v>
      </c>
    </row>
    <row r="31">
      <c r="A31" t="s">
        <v>265</v>
      </c>
      <c r="B31" t="s">
        <v>266</v>
      </c>
      <c r="C31" t="s">
        <v>28</v>
      </c>
      <c r="D31" t="s">
        <v>29</v>
      </c>
      <c r="E31">
        <v>32166</v>
      </c>
      <c r="F31">
        <v>111422</v>
      </c>
      <c r="G31">
        <v>59166</v>
      </c>
      <c r="H31">
        <v>27000</v>
      </c>
      <c r="I31">
        <v>85199</v>
      </c>
      <c r="J31" t="str">
        <f>HYPERLINK("https://driffle.com/es/call-of-duty-black-ops-iii-zombies-chronicles-edition-global-pc-mac-steam-account-p9945601","Abrir compra")</f>
        <v>Abrir compra</v>
      </c>
      <c r="K31" t="str">
        <f>HYPERLINK("https://store.steampowered.com/app/311210/Call_of_Duty_Black_Ops_III/","Abrir Steam")</f>
        <v>Abrir Steam</v>
      </c>
      <c r="L31" t="s">
        <v>56</v>
      </c>
      <c r="M31" t="s">
        <v>75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37</v>
      </c>
      <c r="U31" t="s">
        <v>271</v>
      </c>
      <c r="V31" t="s">
        <v>37</v>
      </c>
      <c r="W31" t="s">
        <v>272</v>
      </c>
      <c r="X31" t="s">
        <v>37</v>
      </c>
      <c r="Y31" t="s">
        <v>273</v>
      </c>
      <c r="Z31" t="s">
        <v>37</v>
      </c>
    </row>
    <row r="32">
      <c r="A32" t="s">
        <v>274</v>
      </c>
      <c r="B32" t="s">
        <v>27</v>
      </c>
      <c r="C32" t="s">
        <v>28</v>
      </c>
      <c r="D32" t="s">
        <v>29</v>
      </c>
      <c r="E32">
        <v>57971</v>
      </c>
      <c r="F32">
        <v>77990</v>
      </c>
      <c r="G32">
        <v>72971</v>
      </c>
      <c r="H32">
        <v>15000</v>
      </c>
      <c r="I32">
        <v>105078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75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274</v>
      </c>
      <c r="B33" t="s">
        <v>41</v>
      </c>
      <c r="C33" t="s">
        <v>32</v>
      </c>
      <c r="D33" t="s">
        <v>42</v>
      </c>
      <c r="E33">
        <v>49338</v>
      </c>
      <c r="F33">
        <v>77990</v>
      </c>
      <c r="G33">
        <v>64338</v>
      </c>
      <c r="H33">
        <v>15000</v>
      </c>
      <c r="I33">
        <v>92647</v>
      </c>
      <c r="J33" t="str">
        <f>HYPERLINK("https://driffle.com/es/clair-obscur-expedition-33-deluxe-edition-latam-pc-steam-digital-key-p9938799","Abrir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44</v>
      </c>
      <c r="N33" t="s">
        <v>32</v>
      </c>
      <c r="O33" t="s">
        <v>282</v>
      </c>
      <c r="P33" t="s">
        <v>283</v>
      </c>
      <c r="Q33" t="s">
        <v>32</v>
      </c>
      <c r="R33" t="s">
        <v>284</v>
      </c>
      <c r="S33" t="s">
        <v>285</v>
      </c>
      <c r="T33" t="s">
        <v>286</v>
      </c>
      <c r="U33" t="s">
        <v>287</v>
      </c>
      <c r="V33" t="s">
        <v>288</v>
      </c>
      <c r="W33" t="s">
        <v>289</v>
      </c>
      <c r="X33" t="s">
        <v>290</v>
      </c>
      <c r="Y33" t="s">
        <v>291</v>
      </c>
      <c r="Z33" t="s">
        <v>292</v>
      </c>
    </row>
    <row r="34">
      <c r="A34" t="s">
        <v>274</v>
      </c>
      <c r="B34" t="s">
        <v>55</v>
      </c>
      <c r="C34" t="s">
        <v>32</v>
      </c>
      <c r="D34" t="s">
        <v>42</v>
      </c>
      <c r="E34">
        <v>36713</v>
      </c>
      <c r="F34">
        <v>64989</v>
      </c>
      <c r="G34">
        <v>52749</v>
      </c>
      <c r="H34">
        <v>16036</v>
      </c>
      <c r="I34">
        <v>75959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293</v>
      </c>
      <c r="M34" t="s">
        <v>31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298</v>
      </c>
      <c r="U34" t="s">
        <v>299</v>
      </c>
      <c r="V34" t="s">
        <v>300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274</v>
      </c>
      <c r="B35" t="s">
        <v>67</v>
      </c>
      <c r="C35" t="s">
        <v>28</v>
      </c>
      <c r="D35" t="s">
        <v>29</v>
      </c>
      <c r="E35">
        <v>29749</v>
      </c>
      <c r="F35">
        <v>64989</v>
      </c>
      <c r="G35">
        <v>44749</v>
      </c>
      <c r="H35">
        <v>15000</v>
      </c>
      <c r="I35">
        <v>64439</v>
      </c>
      <c r="J35" t="str">
        <f>HYPERLINK("https://driffle.com/es/clair-obscur-expedition-33-global-pc-steam-account-p9978241","Abrir compra")</f>
        <v>Abrir compra</v>
      </c>
      <c r="K35" t="str">
        <f>HYPERLINK("https://store.steampowered.com/app/1903340/Clair_Obscur_Expedition_33/","Abrir Steam")</f>
        <v>Abrir Steam</v>
      </c>
      <c r="L35" t="s">
        <v>56</v>
      </c>
      <c r="M35" t="s">
        <v>75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37</v>
      </c>
      <c r="U35" t="s">
        <v>309</v>
      </c>
      <c r="V35" t="s">
        <v>37</v>
      </c>
      <c r="W35" t="s">
        <v>310</v>
      </c>
      <c r="X35" t="s">
        <v>37</v>
      </c>
      <c r="Y35" t="s">
        <v>311</v>
      </c>
      <c r="Z35" t="s">
        <v>37</v>
      </c>
    </row>
    <row r="36">
      <c r="A36" t="s">
        <v>312</v>
      </c>
      <c r="B36" t="s">
        <v>27</v>
      </c>
      <c r="C36" t="s">
        <v>28</v>
      </c>
      <c r="D36" t="s">
        <v>29</v>
      </c>
      <c r="E36">
        <v>64490</v>
      </c>
      <c r="F36">
        <v>148569</v>
      </c>
      <c r="G36">
        <v>89738</v>
      </c>
      <c r="H36">
        <v>25248</v>
      </c>
      <c r="I36">
        <v>129223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317</v>
      </c>
      <c r="V36" t="s">
        <v>37</v>
      </c>
      <c r="W36" t="s">
        <v>318</v>
      </c>
      <c r="X36" t="s">
        <v>37</v>
      </c>
      <c r="Y36" t="s">
        <v>319</v>
      </c>
      <c r="Z36" t="s">
        <v>37</v>
      </c>
    </row>
    <row r="37">
      <c r="A37" t="s">
        <v>312</v>
      </c>
      <c r="B37" t="s">
        <v>41</v>
      </c>
      <c r="C37" t="s">
        <v>32</v>
      </c>
      <c r="D37" t="s">
        <v>42</v>
      </c>
      <c r="E37">
        <v>45458</v>
      </c>
      <c r="F37">
        <v>148569</v>
      </c>
      <c r="G37">
        <v>72458</v>
      </c>
      <c r="H37">
        <v>27000</v>
      </c>
      <c r="I37">
        <v>104340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293</v>
      </c>
      <c r="M37" t="s">
        <v>44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324</v>
      </c>
      <c r="U37" t="s">
        <v>324</v>
      </c>
      <c r="V37" t="s">
        <v>325</v>
      </c>
      <c r="W37" t="s">
        <v>326</v>
      </c>
      <c r="X37" t="s">
        <v>327</v>
      </c>
      <c r="Y37" t="s">
        <v>328</v>
      </c>
      <c r="Z37" t="s">
        <v>329</v>
      </c>
    </row>
    <row r="38">
      <c r="A38" t="s">
        <v>312</v>
      </c>
      <c r="B38" t="s">
        <v>55</v>
      </c>
      <c r="C38" t="s">
        <v>32</v>
      </c>
      <c r="D38" t="s">
        <v>42</v>
      </c>
      <c r="E38">
        <v>44822</v>
      </c>
      <c r="F38">
        <v>129996</v>
      </c>
      <c r="G38">
        <v>79822</v>
      </c>
      <c r="H38">
        <v>35000</v>
      </c>
      <c r="I38">
        <v>114944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334</v>
      </c>
      <c r="U38" t="s">
        <v>335</v>
      </c>
      <c r="V38" t="s">
        <v>336</v>
      </c>
      <c r="W38" t="s">
        <v>337</v>
      </c>
      <c r="X38" t="s">
        <v>338</v>
      </c>
      <c r="Y38" t="s">
        <v>339</v>
      </c>
      <c r="Z38" t="s">
        <v>340</v>
      </c>
    </row>
    <row r="39">
      <c r="A39" t="s">
        <v>312</v>
      </c>
      <c r="B39" t="s">
        <v>67</v>
      </c>
      <c r="C39" t="s">
        <v>28</v>
      </c>
      <c r="D39" t="s">
        <v>29</v>
      </c>
      <c r="E39">
        <v>47000</v>
      </c>
      <c r="F39">
        <v>129996</v>
      </c>
      <c r="G39">
        <v>74000</v>
      </c>
      <c r="H39">
        <v>27000</v>
      </c>
      <c r="I39">
        <v>106560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37</v>
      </c>
      <c r="U39" t="s">
        <v>345</v>
      </c>
      <c r="V39" t="s">
        <v>37</v>
      </c>
      <c r="W39" t="s">
        <v>346</v>
      </c>
      <c r="X39" t="s">
        <v>37</v>
      </c>
      <c r="Y39" t="s">
        <v>347</v>
      </c>
      <c r="Z39" t="s">
        <v>37</v>
      </c>
    </row>
    <row r="40">
      <c r="A40" t="s">
        <v>348</v>
      </c>
      <c r="B40" t="s">
        <v>349</v>
      </c>
      <c r="C40" t="s">
        <v>32</v>
      </c>
      <c r="D40" t="s">
        <v>42</v>
      </c>
      <c r="E40">
        <v>24009</v>
      </c>
      <c r="F40">
        <v>50130</v>
      </c>
      <c r="G40">
        <v>48472</v>
      </c>
      <c r="H40">
        <v>24463</v>
      </c>
      <c r="I40">
        <v>69800</v>
      </c>
      <c r="J40" t="str">
        <f>HYPERLINK("https://www.eneba.com/latam/steam-cuphead-the-delicious-last-course-bundle-steam-key-pc-global","Abrir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43</v>
      </c>
      <c r="M40" t="s">
        <v>75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37</v>
      </c>
      <c r="T40" t="s">
        <v>353</v>
      </c>
      <c r="U40" t="s">
        <v>354</v>
      </c>
      <c r="V40" t="s">
        <v>37</v>
      </c>
      <c r="W40" t="s">
        <v>355</v>
      </c>
      <c r="X40" t="s">
        <v>356</v>
      </c>
      <c r="Y40" t="s">
        <v>357</v>
      </c>
      <c r="Z40" t="s">
        <v>37</v>
      </c>
    </row>
    <row r="41">
      <c r="A41" t="s">
        <v>348</v>
      </c>
      <c r="B41" t="s">
        <v>358</v>
      </c>
      <c r="C41" t="s">
        <v>28</v>
      </c>
      <c r="D41" t="s">
        <v>29</v>
      </c>
      <c r="E41">
        <v>25472</v>
      </c>
      <c r="F41">
        <v>50130</v>
      </c>
      <c r="G41">
        <v>40472</v>
      </c>
      <c r="H41">
        <v>15000</v>
      </c>
      <c r="I41">
        <v>58280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37</v>
      </c>
      <c r="U41" t="s">
        <v>37</v>
      </c>
      <c r="V41" t="s">
        <v>37</v>
      </c>
      <c r="W41" t="s">
        <v>363</v>
      </c>
      <c r="X41" t="s">
        <v>37</v>
      </c>
      <c r="Y41" t="s">
        <v>37</v>
      </c>
      <c r="Z41" t="s">
        <v>37</v>
      </c>
    </row>
    <row r="42">
      <c r="A42" t="s">
        <v>348</v>
      </c>
      <c r="B42" t="s">
        <v>55</v>
      </c>
      <c r="C42" t="s">
        <v>32</v>
      </c>
      <c r="D42" t="s">
        <v>42</v>
      </c>
      <c r="E42">
        <v>20193</v>
      </c>
      <c r="F42">
        <v>37128</v>
      </c>
      <c r="G42">
        <v>38770</v>
      </c>
      <c r="H42">
        <v>18577</v>
      </c>
      <c r="I42">
        <v>55829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37</v>
      </c>
      <c r="T42" t="s">
        <v>367</v>
      </c>
      <c r="U42" t="s">
        <v>368</v>
      </c>
      <c r="V42" t="s">
        <v>37</v>
      </c>
      <c r="W42" t="s">
        <v>369</v>
      </c>
      <c r="X42" t="s">
        <v>370</v>
      </c>
      <c r="Y42" t="s">
        <v>371</v>
      </c>
      <c r="Z42" t="s">
        <v>37</v>
      </c>
    </row>
    <row r="43">
      <c r="A43" t="s">
        <v>348</v>
      </c>
      <c r="B43" t="s">
        <v>67</v>
      </c>
      <c r="C43" t="s">
        <v>28</v>
      </c>
      <c r="D43" t="s">
        <v>29</v>
      </c>
      <c r="E43">
        <v>6392</v>
      </c>
      <c r="F43">
        <v>37128</v>
      </c>
      <c r="G43">
        <v>23037</v>
      </c>
      <c r="H43">
        <v>16645</v>
      </c>
      <c r="I43">
        <v>33173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</v>
      </c>
      <c r="U43" t="s">
        <v>376</v>
      </c>
      <c r="V43" t="s">
        <v>37</v>
      </c>
      <c r="W43" t="s">
        <v>377</v>
      </c>
      <c r="X43" t="s">
        <v>37</v>
      </c>
      <c r="Y43" t="s">
        <v>378</v>
      </c>
      <c r="Z43" t="s">
        <v>37</v>
      </c>
    </row>
    <row r="44">
      <c r="A44" t="s">
        <v>379</v>
      </c>
      <c r="B44" t="s">
        <v>67</v>
      </c>
      <c r="C44" t="s">
        <v>28</v>
      </c>
      <c r="D44" t="s">
        <v>29</v>
      </c>
      <c r="E44">
        <v>14199</v>
      </c>
      <c r="F44">
        <v>83562</v>
      </c>
      <c r="G44">
        <v>41199</v>
      </c>
      <c r="H44">
        <v>27000</v>
      </c>
      <c r="I44">
        <v>59327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75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37</v>
      </c>
      <c r="T44" t="s">
        <v>37</v>
      </c>
      <c r="U44" t="s">
        <v>383</v>
      </c>
      <c r="V44" t="s">
        <v>37</v>
      </c>
      <c r="W44" t="s">
        <v>384</v>
      </c>
      <c r="X44" t="s">
        <v>37</v>
      </c>
      <c r="Y44" t="s">
        <v>385</v>
      </c>
      <c r="Z44" t="s">
        <v>37</v>
      </c>
    </row>
    <row r="45">
      <c r="A45" t="s">
        <v>379</v>
      </c>
      <c r="B45" t="s">
        <v>386</v>
      </c>
      <c r="C45" t="s">
        <v>28</v>
      </c>
      <c r="D45" t="s">
        <v>29</v>
      </c>
      <c r="E45">
        <v>23150</v>
      </c>
      <c r="F45">
        <v>125334</v>
      </c>
      <c r="G45">
        <v>50150</v>
      </c>
      <c r="H45">
        <v>27000</v>
      </c>
      <c r="I45">
        <v>72216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75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37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393</v>
      </c>
      <c r="B46" t="s">
        <v>394</v>
      </c>
      <c r="C46" t="s">
        <v>32</v>
      </c>
      <c r="D46" t="s">
        <v>42</v>
      </c>
      <c r="E46">
        <v>110426</v>
      </c>
      <c r="F46">
        <v>129996</v>
      </c>
      <c r="G46">
        <v>125912</v>
      </c>
      <c r="H46">
        <v>15486</v>
      </c>
      <c r="I46">
        <v>181313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75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37</v>
      </c>
      <c r="T46" t="s">
        <v>398</v>
      </c>
      <c r="U46" t="s">
        <v>399</v>
      </c>
      <c r="V46" t="s">
        <v>37</v>
      </c>
      <c r="W46" t="s">
        <v>37</v>
      </c>
      <c r="X46" t="s">
        <v>400</v>
      </c>
      <c r="Y46" t="s">
        <v>401</v>
      </c>
      <c r="Z46" t="s">
        <v>37</v>
      </c>
    </row>
    <row r="47">
      <c r="A47" t="s">
        <v>393</v>
      </c>
      <c r="B47" t="s">
        <v>402</v>
      </c>
      <c r="C47" t="s">
        <v>28</v>
      </c>
      <c r="D47" t="s">
        <v>29</v>
      </c>
      <c r="E47">
        <v>50324</v>
      </c>
      <c r="F47">
        <v>129996</v>
      </c>
      <c r="G47">
        <v>76828</v>
      </c>
      <c r="H47">
        <v>26504</v>
      </c>
      <c r="I47">
        <v>110632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403</v>
      </c>
      <c r="P47" t="s">
        <v>404</v>
      </c>
      <c r="Q47" t="s">
        <v>32</v>
      </c>
      <c r="R47" t="s">
        <v>405</v>
      </c>
      <c r="S47" t="s">
        <v>406</v>
      </c>
      <c r="T47" t="s">
        <v>37</v>
      </c>
      <c r="U47" t="s">
        <v>37</v>
      </c>
      <c r="V47" t="s">
        <v>37</v>
      </c>
      <c r="W47" t="s">
        <v>407</v>
      </c>
      <c r="X47" t="s">
        <v>37</v>
      </c>
      <c r="Y47" t="s">
        <v>37</v>
      </c>
      <c r="Z47" t="s">
        <v>37</v>
      </c>
    </row>
    <row r="48">
      <c r="A48" t="s">
        <v>393</v>
      </c>
      <c r="B48" t="s">
        <v>408</v>
      </c>
      <c r="C48" t="s">
        <v>32</v>
      </c>
      <c r="D48" t="s">
        <v>42</v>
      </c>
      <c r="E48">
        <v>60563</v>
      </c>
      <c r="F48">
        <v>111422</v>
      </c>
      <c r="G48">
        <v>80365</v>
      </c>
      <c r="H48">
        <v>19802</v>
      </c>
      <c r="I48">
        <v>115726</v>
      </c>
      <c r="J48" t="str">
        <f>HYPERLINK("https://www.loaded.com/es_es/dayz-deluxe-edition-pc-steam","Abrir compra")</f>
        <v>Abrir compra</v>
      </c>
      <c r="K48" t="str">
        <f>HYPERLINK("https://store.steampowered.com/app/221100/DayZ/","Abrir Steam")</f>
        <v>Abrir Steam</v>
      </c>
      <c r="L48" t="s">
        <v>293</v>
      </c>
      <c r="M48" t="s">
        <v>31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37</v>
      </c>
      <c r="T48" t="s">
        <v>412</v>
      </c>
      <c r="U48" t="s">
        <v>413</v>
      </c>
      <c r="V48" t="s">
        <v>195</v>
      </c>
      <c r="W48" t="s">
        <v>414</v>
      </c>
      <c r="X48" t="s">
        <v>415</v>
      </c>
      <c r="Y48" t="s">
        <v>416</v>
      </c>
      <c r="Z48" t="s">
        <v>417</v>
      </c>
    </row>
    <row r="49">
      <c r="A49" t="s">
        <v>393</v>
      </c>
      <c r="B49" t="s">
        <v>27</v>
      </c>
      <c r="C49" t="s">
        <v>28</v>
      </c>
      <c r="D49" t="s">
        <v>29</v>
      </c>
      <c r="E49">
        <v>31736</v>
      </c>
      <c r="F49">
        <v>111422</v>
      </c>
      <c r="G49">
        <v>58736</v>
      </c>
      <c r="H49">
        <v>27000</v>
      </c>
      <c r="I49">
        <v>84580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421</v>
      </c>
      <c r="T49" t="s">
        <v>37</v>
      </c>
      <c r="U49" t="s">
        <v>37</v>
      </c>
      <c r="V49" t="s">
        <v>37</v>
      </c>
      <c r="W49" t="s">
        <v>422</v>
      </c>
      <c r="X49" t="s">
        <v>37</v>
      </c>
      <c r="Y49" t="s">
        <v>37</v>
      </c>
      <c r="Z49" t="s">
        <v>37</v>
      </c>
    </row>
    <row r="50">
      <c r="A50" t="s">
        <v>393</v>
      </c>
      <c r="B50" t="s">
        <v>55</v>
      </c>
      <c r="C50" t="s">
        <v>32</v>
      </c>
      <c r="D50" t="s">
        <v>42</v>
      </c>
      <c r="E50">
        <v>34598</v>
      </c>
      <c r="F50">
        <v>92849</v>
      </c>
      <c r="G50">
        <v>61598</v>
      </c>
      <c r="H50">
        <v>27000</v>
      </c>
      <c r="I50">
        <v>88701</v>
      </c>
      <c r="J50" t="str">
        <f>HYPERLINK("https://driffle.com/es/dayz-latam-pc-steam-digital-code-p9887060","Abrir compra")</f>
        <v>Abrir compra</v>
      </c>
      <c r="K50" t="str">
        <f>HYPERLINK("https://store.steampowered.com/app/221100/DayZ/","Abrir Steam")</f>
        <v>Abrir Steam</v>
      </c>
      <c r="L50" t="s">
        <v>56</v>
      </c>
      <c r="M50" t="s">
        <v>44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426</v>
      </c>
      <c r="T50" t="s">
        <v>427</v>
      </c>
      <c r="U50" t="s">
        <v>428</v>
      </c>
      <c r="V50" t="s">
        <v>37</v>
      </c>
      <c r="W50" t="s">
        <v>429</v>
      </c>
      <c r="X50" t="s">
        <v>430</v>
      </c>
      <c r="Y50" t="s">
        <v>431</v>
      </c>
      <c r="Z50" t="s">
        <v>37</v>
      </c>
    </row>
    <row r="51">
      <c r="A51" t="s">
        <v>393</v>
      </c>
      <c r="B51" t="s">
        <v>67</v>
      </c>
      <c r="C51" t="s">
        <v>28</v>
      </c>
      <c r="D51" t="s">
        <v>29</v>
      </c>
      <c r="E51">
        <v>21290</v>
      </c>
      <c r="F51">
        <v>92849</v>
      </c>
      <c r="G51">
        <v>48290</v>
      </c>
      <c r="H51">
        <v>27000</v>
      </c>
      <c r="I51">
        <v>69538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31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37</v>
      </c>
      <c r="U51" t="s">
        <v>436</v>
      </c>
      <c r="V51" t="s">
        <v>37</v>
      </c>
      <c r="W51" t="s">
        <v>437</v>
      </c>
      <c r="X51" t="s">
        <v>37</v>
      </c>
      <c r="Y51" t="s">
        <v>438</v>
      </c>
      <c r="Z51" t="s">
        <v>37</v>
      </c>
    </row>
    <row r="52">
      <c r="A52" t="s">
        <v>439</v>
      </c>
      <c r="B52" t="s">
        <v>67</v>
      </c>
      <c r="C52" t="s">
        <v>28</v>
      </c>
      <c r="D52" t="s">
        <v>29</v>
      </c>
      <c r="E52">
        <v>7298</v>
      </c>
      <c r="F52">
        <v>27842</v>
      </c>
      <c r="G52">
        <v>22298</v>
      </c>
      <c r="H52">
        <v>15000</v>
      </c>
      <c r="I52">
        <v>32109</v>
      </c>
      <c r="J52" t="str">
        <f>HYPERLINK("https://driffle.com/es/dead-by-daylight-global-pc-steam-account-p9943429","Abrir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56</v>
      </c>
      <c r="M52" t="s">
        <v>44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447</v>
      </c>
      <c r="B53" t="s">
        <v>55</v>
      </c>
      <c r="C53" t="s">
        <v>32</v>
      </c>
      <c r="D53" t="s">
        <v>42</v>
      </c>
      <c r="E53">
        <v>87879</v>
      </c>
      <c r="F53">
        <v>129996</v>
      </c>
      <c r="G53">
        <v>122304</v>
      </c>
      <c r="H53">
        <v>34425</v>
      </c>
      <c r="I53">
        <v>176118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452</v>
      </c>
      <c r="U53" t="s">
        <v>453</v>
      </c>
      <c r="V53" t="s">
        <v>37</v>
      </c>
      <c r="W53" t="s">
        <v>454</v>
      </c>
      <c r="X53" t="s">
        <v>455</v>
      </c>
      <c r="Y53" t="s">
        <v>456</v>
      </c>
      <c r="Z53" t="s">
        <v>37</v>
      </c>
    </row>
    <row r="54">
      <c r="A54" t="s">
        <v>447</v>
      </c>
      <c r="B54" t="s">
        <v>67</v>
      </c>
      <c r="C54" t="s">
        <v>28</v>
      </c>
      <c r="D54" t="s">
        <v>29</v>
      </c>
      <c r="E54">
        <v>59975</v>
      </c>
      <c r="F54">
        <v>129996</v>
      </c>
      <c r="G54">
        <v>80688</v>
      </c>
      <c r="H54">
        <v>20713</v>
      </c>
      <c r="I54">
        <v>116191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37</v>
      </c>
      <c r="T54" t="s">
        <v>37</v>
      </c>
      <c r="U54" t="s">
        <v>460</v>
      </c>
      <c r="V54" t="s">
        <v>37</v>
      </c>
      <c r="W54" t="s">
        <v>37</v>
      </c>
      <c r="X54" t="s">
        <v>37</v>
      </c>
      <c r="Y54" t="s">
        <v>461</v>
      </c>
      <c r="Z54" t="s">
        <v>37</v>
      </c>
    </row>
    <row r="55">
      <c r="A55" t="s">
        <v>462</v>
      </c>
      <c r="B55" t="s">
        <v>55</v>
      </c>
      <c r="C55" t="s">
        <v>32</v>
      </c>
      <c r="D55" t="s">
        <v>42</v>
      </c>
      <c r="E55">
        <v>8189</v>
      </c>
      <c r="F55">
        <v>59417</v>
      </c>
      <c r="G55">
        <v>38922</v>
      </c>
      <c r="H55">
        <v>30733</v>
      </c>
      <c r="I55">
        <v>56048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37</v>
      </c>
      <c r="T55" t="s">
        <v>466</v>
      </c>
      <c r="U55" t="s">
        <v>467</v>
      </c>
      <c r="V55" t="s">
        <v>468</v>
      </c>
      <c r="W55" t="s">
        <v>469</v>
      </c>
      <c r="X55" t="s">
        <v>470</v>
      </c>
      <c r="Y55" t="s">
        <v>471</v>
      </c>
      <c r="Z55" t="s">
        <v>472</v>
      </c>
    </row>
    <row r="56">
      <c r="A56" t="s">
        <v>462</v>
      </c>
      <c r="B56" t="s">
        <v>67</v>
      </c>
      <c r="C56" t="s">
        <v>28</v>
      </c>
      <c r="D56" t="s">
        <v>29</v>
      </c>
      <c r="E56">
        <v>4373</v>
      </c>
      <c r="F56">
        <v>59417</v>
      </c>
      <c r="G56">
        <v>30922</v>
      </c>
      <c r="H56">
        <v>26549</v>
      </c>
      <c r="I56">
        <v>44528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476</v>
      </c>
      <c r="T56" t="s">
        <v>37</v>
      </c>
      <c r="U56" t="s">
        <v>477</v>
      </c>
      <c r="V56" t="s">
        <v>37</v>
      </c>
      <c r="W56" t="s">
        <v>478</v>
      </c>
      <c r="X56" t="s">
        <v>37</v>
      </c>
      <c r="Y56" t="s">
        <v>479</v>
      </c>
      <c r="Z56" t="s">
        <v>37</v>
      </c>
    </row>
    <row r="57">
      <c r="A57" t="s">
        <v>480</v>
      </c>
      <c r="B57" t="s">
        <v>481</v>
      </c>
      <c r="C57" t="s">
        <v>28</v>
      </c>
      <c r="D57" t="s">
        <v>29</v>
      </c>
      <c r="E57">
        <v>86925</v>
      </c>
      <c r="F57">
        <v>129996</v>
      </c>
      <c r="G57">
        <v>101925</v>
      </c>
      <c r="H57">
        <v>15000</v>
      </c>
      <c r="I57">
        <v>146772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56</v>
      </c>
      <c r="M57" t="s">
        <v>44</v>
      </c>
      <c r="N57" t="s">
        <v>32</v>
      </c>
      <c r="O57" t="s">
        <v>482</v>
      </c>
      <c r="P57" t="s">
        <v>483</v>
      </c>
      <c r="Q57" t="s">
        <v>32</v>
      </c>
      <c r="R57" t="s">
        <v>484</v>
      </c>
      <c r="S57" t="s">
        <v>485</v>
      </c>
      <c r="T57" t="s">
        <v>37</v>
      </c>
      <c r="U57" t="s">
        <v>486</v>
      </c>
      <c r="V57" t="s">
        <v>37</v>
      </c>
      <c r="W57" t="s">
        <v>487</v>
      </c>
      <c r="X57" t="s">
        <v>37</v>
      </c>
      <c r="Y57" t="s">
        <v>488</v>
      </c>
      <c r="Z57" t="s">
        <v>37</v>
      </c>
    </row>
    <row r="58">
      <c r="A58" t="s">
        <v>480</v>
      </c>
      <c r="B58" t="s">
        <v>67</v>
      </c>
      <c r="C58" t="s">
        <v>28</v>
      </c>
      <c r="D58" t="s">
        <v>29</v>
      </c>
      <c r="E58">
        <v>35362</v>
      </c>
      <c r="F58">
        <v>92849</v>
      </c>
      <c r="G58">
        <v>56356</v>
      </c>
      <c r="H58">
        <v>20994</v>
      </c>
      <c r="I58">
        <v>81153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112</v>
      </c>
      <c r="T58" t="s">
        <v>37</v>
      </c>
      <c r="U58" t="s">
        <v>492</v>
      </c>
      <c r="V58" t="s">
        <v>37</v>
      </c>
      <c r="W58" t="s">
        <v>493</v>
      </c>
      <c r="X58" t="s">
        <v>37</v>
      </c>
      <c r="Y58" t="s">
        <v>494</v>
      </c>
      <c r="Z58" t="s">
        <v>37</v>
      </c>
    </row>
    <row r="59">
      <c r="A59" t="s">
        <v>495</v>
      </c>
      <c r="B59" t="s">
        <v>67</v>
      </c>
      <c r="C59" t="s">
        <v>28</v>
      </c>
      <c r="D59" t="s">
        <v>29</v>
      </c>
      <c r="E59">
        <v>10478</v>
      </c>
      <c r="F59">
        <v>27842</v>
      </c>
      <c r="G59">
        <v>25478</v>
      </c>
      <c r="H59">
        <v>15000</v>
      </c>
      <c r="I59">
        <v>36688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75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67</v>
      </c>
      <c r="C60" t="s">
        <v>28</v>
      </c>
      <c r="D60" t="s">
        <v>29</v>
      </c>
      <c r="E60">
        <v>43455</v>
      </c>
      <c r="F60">
        <v>74275</v>
      </c>
      <c r="G60">
        <v>58455</v>
      </c>
      <c r="H60">
        <v>15000</v>
      </c>
      <c r="I60">
        <v>84175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56</v>
      </c>
      <c r="M60" t="s">
        <v>44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408</v>
      </c>
      <c r="C61" t="s">
        <v>32</v>
      </c>
      <c r="D61" t="s">
        <v>42</v>
      </c>
      <c r="E61">
        <v>79055</v>
      </c>
      <c r="F61">
        <v>96564</v>
      </c>
      <c r="G61">
        <v>94055</v>
      </c>
      <c r="H61">
        <v>15000</v>
      </c>
      <c r="I61">
        <v>135439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56</v>
      </c>
      <c r="M61" t="s">
        <v>44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37</v>
      </c>
      <c r="T61" t="s">
        <v>515</v>
      </c>
      <c r="U61" t="s">
        <v>516</v>
      </c>
      <c r="V61" t="s">
        <v>37</v>
      </c>
      <c r="W61" t="s">
        <v>517</v>
      </c>
      <c r="X61" t="s">
        <v>518</v>
      </c>
      <c r="Y61" t="s">
        <v>519</v>
      </c>
      <c r="Z61" t="s">
        <v>520</v>
      </c>
    </row>
    <row r="62">
      <c r="A62" t="s">
        <v>511</v>
      </c>
      <c r="B62" t="s">
        <v>27</v>
      </c>
      <c r="C62" t="s">
        <v>28</v>
      </c>
      <c r="D62" t="s">
        <v>29</v>
      </c>
      <c r="E62">
        <v>49862</v>
      </c>
      <c r="F62">
        <v>96564</v>
      </c>
      <c r="G62">
        <v>64862</v>
      </c>
      <c r="H62">
        <v>15000</v>
      </c>
      <c r="I62">
        <v>93401</v>
      </c>
      <c r="J62" t="str">
        <f>HYPERLINK("https://www.kinguin.net/es/category/371691/dying-light-the-beast-deluxe-edition-pc-steam-account","Abrir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75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524</v>
      </c>
      <c r="T62" t="s">
        <v>37</v>
      </c>
      <c r="U62" t="s">
        <v>525</v>
      </c>
      <c r="V62" t="s">
        <v>37</v>
      </c>
      <c r="W62" t="s">
        <v>526</v>
      </c>
      <c r="X62" t="s">
        <v>37</v>
      </c>
      <c r="Y62" t="s">
        <v>527</v>
      </c>
      <c r="Z62" t="s">
        <v>37</v>
      </c>
    </row>
    <row r="63">
      <c r="A63" t="s">
        <v>511</v>
      </c>
      <c r="B63" t="s">
        <v>55</v>
      </c>
      <c r="C63" t="s">
        <v>32</v>
      </c>
      <c r="D63" t="s">
        <v>42</v>
      </c>
      <c r="E63">
        <v>60515</v>
      </c>
      <c r="F63">
        <v>83562</v>
      </c>
      <c r="G63">
        <v>77587</v>
      </c>
      <c r="H63">
        <v>17072</v>
      </c>
      <c r="I63">
        <v>111725</v>
      </c>
      <c r="J63" t="str">
        <f>HYPERLINK("https://www.eneba.com/latam/steam-dying-light-the-beast-steam-pc-key-global","Abrir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75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531</v>
      </c>
      <c r="T63" t="s">
        <v>532</v>
      </c>
      <c r="U63" t="s">
        <v>533</v>
      </c>
      <c r="V63" t="s">
        <v>534</v>
      </c>
      <c r="W63" t="s">
        <v>535</v>
      </c>
      <c r="X63" t="s">
        <v>536</v>
      </c>
      <c r="Y63" t="s">
        <v>537</v>
      </c>
      <c r="Z63" t="s">
        <v>538</v>
      </c>
    </row>
    <row r="64">
      <c r="A64" t="s">
        <v>511</v>
      </c>
      <c r="B64" t="s">
        <v>67</v>
      </c>
      <c r="C64" t="s">
        <v>28</v>
      </c>
      <c r="D64" t="s">
        <v>29</v>
      </c>
      <c r="E64">
        <v>34455</v>
      </c>
      <c r="F64">
        <v>83562</v>
      </c>
      <c r="G64">
        <v>52371</v>
      </c>
      <c r="H64">
        <v>17916</v>
      </c>
      <c r="I64">
        <v>75414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539</v>
      </c>
      <c r="P64" t="s">
        <v>540</v>
      </c>
      <c r="Q64" t="s">
        <v>32</v>
      </c>
      <c r="R64" t="s">
        <v>541</v>
      </c>
      <c r="S64" t="s">
        <v>542</v>
      </c>
      <c r="T64" t="s">
        <v>37</v>
      </c>
      <c r="U64" t="s">
        <v>270</v>
      </c>
      <c r="V64" t="s">
        <v>37</v>
      </c>
      <c r="W64" t="s">
        <v>543</v>
      </c>
      <c r="X64" t="s">
        <v>37</v>
      </c>
      <c r="Y64" t="s">
        <v>544</v>
      </c>
      <c r="Z64" t="s">
        <v>37</v>
      </c>
    </row>
    <row r="65">
      <c r="A65" t="s">
        <v>545</v>
      </c>
      <c r="B65" t="s">
        <v>55</v>
      </c>
      <c r="C65" t="s">
        <v>32</v>
      </c>
      <c r="D65" t="s">
        <v>42</v>
      </c>
      <c r="E65">
        <v>62837</v>
      </c>
      <c r="F65">
        <v>108265</v>
      </c>
      <c r="G65">
        <v>81199</v>
      </c>
      <c r="H65">
        <v>18362</v>
      </c>
      <c r="I65">
        <v>116927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56</v>
      </c>
      <c r="M65" t="s">
        <v>75</v>
      </c>
      <c r="N65" t="s">
        <v>32</v>
      </c>
      <c r="O65" t="s">
        <v>546</v>
      </c>
      <c r="P65" t="s">
        <v>547</v>
      </c>
      <c r="Q65" t="s">
        <v>32</v>
      </c>
      <c r="R65" t="s">
        <v>548</v>
      </c>
      <c r="S65" t="s">
        <v>37</v>
      </c>
      <c r="T65" t="s">
        <v>549</v>
      </c>
      <c r="U65" t="s">
        <v>550</v>
      </c>
      <c r="V65" t="s">
        <v>551</v>
      </c>
      <c r="W65" t="s">
        <v>552</v>
      </c>
      <c r="X65" t="s">
        <v>553</v>
      </c>
      <c r="Y65" t="s">
        <v>554</v>
      </c>
      <c r="Z65" t="s">
        <v>555</v>
      </c>
    </row>
    <row r="66">
      <c r="A66" t="s">
        <v>545</v>
      </c>
      <c r="B66" t="s">
        <v>67</v>
      </c>
      <c r="C66" t="s">
        <v>28</v>
      </c>
      <c r="D66" t="s">
        <v>29</v>
      </c>
      <c r="E66">
        <v>63234</v>
      </c>
      <c r="F66">
        <v>108265</v>
      </c>
      <c r="G66">
        <v>78234</v>
      </c>
      <c r="H66">
        <v>15000</v>
      </c>
      <c r="I66">
        <v>112657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556</v>
      </c>
      <c r="P66" t="s">
        <v>557</v>
      </c>
      <c r="Q66" t="s">
        <v>32</v>
      </c>
      <c r="R66" t="s">
        <v>558</v>
      </c>
      <c r="S66" t="s">
        <v>559</v>
      </c>
      <c r="T66" t="s">
        <v>37</v>
      </c>
      <c r="U66" t="s">
        <v>37</v>
      </c>
      <c r="V66" t="s">
        <v>37</v>
      </c>
      <c r="W66" t="s">
        <v>560</v>
      </c>
      <c r="X66" t="s">
        <v>37</v>
      </c>
      <c r="Y66" t="s">
        <v>37</v>
      </c>
      <c r="Z66" t="s">
        <v>37</v>
      </c>
    </row>
    <row r="67">
      <c r="A67" t="s">
        <v>561</v>
      </c>
      <c r="B67" t="s">
        <v>67</v>
      </c>
      <c r="C67" t="s">
        <v>28</v>
      </c>
      <c r="D67" t="s">
        <v>29</v>
      </c>
      <c r="E67">
        <v>6153</v>
      </c>
      <c r="F67">
        <v>129996</v>
      </c>
      <c r="G67">
        <v>33153</v>
      </c>
      <c r="H67">
        <v>27000</v>
      </c>
      <c r="I67">
        <v>47740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56</v>
      </c>
      <c r="M67" t="s">
        <v>44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565</v>
      </c>
      <c r="T67" t="s">
        <v>37</v>
      </c>
      <c r="U67" t="s">
        <v>566</v>
      </c>
      <c r="V67" t="s">
        <v>37</v>
      </c>
      <c r="W67" t="s">
        <v>567</v>
      </c>
      <c r="X67" t="s">
        <v>37</v>
      </c>
      <c r="Y67" t="s">
        <v>568</v>
      </c>
      <c r="Z67" t="s">
        <v>37</v>
      </c>
    </row>
    <row r="68">
      <c r="A68" t="s">
        <v>561</v>
      </c>
      <c r="B68" t="s">
        <v>569</v>
      </c>
      <c r="C68" t="s">
        <v>28</v>
      </c>
      <c r="D68" t="s">
        <v>29</v>
      </c>
      <c r="E68">
        <v>14469</v>
      </c>
      <c r="F68">
        <v>167143</v>
      </c>
      <c r="G68">
        <v>41469</v>
      </c>
      <c r="H68">
        <v>27000</v>
      </c>
      <c r="I68">
        <v>59715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570</v>
      </c>
      <c r="P68" t="s">
        <v>571</v>
      </c>
      <c r="Q68" t="s">
        <v>32</v>
      </c>
      <c r="R68" t="s">
        <v>572</v>
      </c>
      <c r="S68" t="s">
        <v>573</v>
      </c>
      <c r="T68" t="s">
        <v>37</v>
      </c>
      <c r="U68" t="s">
        <v>574</v>
      </c>
      <c r="V68" t="s">
        <v>37</v>
      </c>
      <c r="W68" t="s">
        <v>575</v>
      </c>
      <c r="X68" t="s">
        <v>37</v>
      </c>
      <c r="Y68" t="s">
        <v>576</v>
      </c>
      <c r="Z68" t="s">
        <v>37</v>
      </c>
    </row>
    <row r="69">
      <c r="A69" t="s">
        <v>577</v>
      </c>
      <c r="B69" t="s">
        <v>67</v>
      </c>
      <c r="C69" t="s">
        <v>28</v>
      </c>
      <c r="D69" t="s">
        <v>29</v>
      </c>
      <c r="E69">
        <v>51134</v>
      </c>
      <c r="F69">
        <v>129996</v>
      </c>
      <c r="G69">
        <v>77152</v>
      </c>
      <c r="H69">
        <v>26018</v>
      </c>
      <c r="I69">
        <v>111099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56</v>
      </c>
      <c r="M69" t="s">
        <v>44</v>
      </c>
      <c r="N69" t="s">
        <v>32</v>
      </c>
      <c r="O69" t="s">
        <v>578</v>
      </c>
      <c r="P69" t="s">
        <v>579</v>
      </c>
      <c r="Q69" t="s">
        <v>32</v>
      </c>
      <c r="R69" t="s">
        <v>580</v>
      </c>
      <c r="S69" t="s">
        <v>581</v>
      </c>
      <c r="T69" t="s">
        <v>37</v>
      </c>
      <c r="U69" t="s">
        <v>582</v>
      </c>
      <c r="V69" t="s">
        <v>37</v>
      </c>
      <c r="W69" t="s">
        <v>583</v>
      </c>
      <c r="X69" t="s">
        <v>37</v>
      </c>
      <c r="Y69" t="s">
        <v>584</v>
      </c>
      <c r="Z69" t="s">
        <v>37</v>
      </c>
    </row>
    <row r="70">
      <c r="A70" t="s">
        <v>577</v>
      </c>
      <c r="B70" t="s">
        <v>386</v>
      </c>
      <c r="C70" t="s">
        <v>28</v>
      </c>
      <c r="D70" t="s">
        <v>29</v>
      </c>
      <c r="E70">
        <v>112047</v>
      </c>
      <c r="F70">
        <v>185716</v>
      </c>
      <c r="G70">
        <v>127047</v>
      </c>
      <c r="H70">
        <v>15000</v>
      </c>
      <c r="I70">
        <v>182948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585</v>
      </c>
      <c r="P70" t="s">
        <v>586</v>
      </c>
      <c r="Q70" t="s">
        <v>32</v>
      </c>
      <c r="R70" t="s">
        <v>587</v>
      </c>
      <c r="S70" t="s">
        <v>588</v>
      </c>
      <c r="T70" t="s">
        <v>37</v>
      </c>
      <c r="U70" t="s">
        <v>37</v>
      </c>
      <c r="V70" t="s">
        <v>37</v>
      </c>
      <c r="W70" t="s">
        <v>589</v>
      </c>
      <c r="X70" t="s">
        <v>37</v>
      </c>
      <c r="Y70" t="s">
        <v>37</v>
      </c>
      <c r="Z70" t="s">
        <v>37</v>
      </c>
    </row>
    <row r="71">
      <c r="A71" t="s">
        <v>577</v>
      </c>
      <c r="B71" t="s">
        <v>590</v>
      </c>
      <c r="C71" t="s">
        <v>28</v>
      </c>
      <c r="D71" t="s">
        <v>29</v>
      </c>
      <c r="E71">
        <v>179273</v>
      </c>
      <c r="F71">
        <v>185716</v>
      </c>
      <c r="G71">
        <v>194273</v>
      </c>
      <c r="H71">
        <v>15000</v>
      </c>
      <c r="I71">
        <v>279753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594</v>
      </c>
      <c r="T71" t="s">
        <v>37</v>
      </c>
      <c r="U71" t="s">
        <v>37</v>
      </c>
      <c r="V71" t="s">
        <v>37</v>
      </c>
      <c r="W71" t="s">
        <v>595</v>
      </c>
      <c r="X71" t="s">
        <v>37</v>
      </c>
      <c r="Y71" t="s">
        <v>37</v>
      </c>
      <c r="Z71" t="s">
        <v>37</v>
      </c>
    </row>
    <row r="72">
      <c r="A72" t="s">
        <v>596</v>
      </c>
      <c r="B72" t="s">
        <v>27</v>
      </c>
      <c r="C72" t="s">
        <v>28</v>
      </c>
      <c r="D72" t="s">
        <v>29</v>
      </c>
      <c r="E72">
        <v>76908</v>
      </c>
      <c r="F72">
        <v>185716</v>
      </c>
      <c r="G72">
        <v>103908</v>
      </c>
      <c r="H72">
        <v>27000</v>
      </c>
      <c r="I72">
        <v>149628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597</v>
      </c>
      <c r="P72" t="s">
        <v>598</v>
      </c>
      <c r="Q72" t="s">
        <v>32</v>
      </c>
      <c r="R72" t="s">
        <v>599</v>
      </c>
      <c r="S72" t="s">
        <v>600</v>
      </c>
      <c r="T72" t="s">
        <v>37</v>
      </c>
      <c r="U72" t="s">
        <v>37</v>
      </c>
      <c r="V72" t="s">
        <v>37</v>
      </c>
      <c r="W72" t="s">
        <v>601</v>
      </c>
      <c r="X72" t="s">
        <v>37</v>
      </c>
      <c r="Y72" t="s">
        <v>37</v>
      </c>
      <c r="Z72" t="s">
        <v>37</v>
      </c>
    </row>
    <row r="73">
      <c r="A73" t="s">
        <v>596</v>
      </c>
      <c r="B73" t="s">
        <v>67</v>
      </c>
      <c r="C73" t="s">
        <v>28</v>
      </c>
      <c r="D73" t="s">
        <v>29</v>
      </c>
      <c r="E73">
        <v>71439</v>
      </c>
      <c r="F73">
        <v>129996</v>
      </c>
      <c r="G73">
        <v>86439</v>
      </c>
      <c r="H73">
        <v>15000</v>
      </c>
      <c r="I73">
        <v>124472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605</v>
      </c>
      <c r="T73" t="s">
        <v>37</v>
      </c>
      <c r="U73" t="s">
        <v>37</v>
      </c>
      <c r="V73" t="s">
        <v>37</v>
      </c>
      <c r="W73" t="s">
        <v>606</v>
      </c>
      <c r="X73" t="s">
        <v>37</v>
      </c>
      <c r="Y73" t="s">
        <v>37</v>
      </c>
      <c r="Z73" t="s">
        <v>37</v>
      </c>
    </row>
    <row r="74">
      <c r="A74" t="s">
        <v>607</v>
      </c>
      <c r="B74" t="s">
        <v>27</v>
      </c>
      <c r="C74" t="s">
        <v>28</v>
      </c>
      <c r="D74" t="s">
        <v>29</v>
      </c>
      <c r="E74">
        <v>116420</v>
      </c>
      <c r="F74">
        <v>148569</v>
      </c>
      <c r="G74">
        <v>131420</v>
      </c>
      <c r="H74">
        <v>15000</v>
      </c>
      <c r="I74">
        <v>189245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37</v>
      </c>
      <c r="V74" t="s">
        <v>37</v>
      </c>
      <c r="W74" t="s">
        <v>612</v>
      </c>
      <c r="X74" t="s">
        <v>37</v>
      </c>
      <c r="Y74" t="s">
        <v>37</v>
      </c>
      <c r="Z74" t="s">
        <v>37</v>
      </c>
    </row>
    <row r="75">
      <c r="A75" t="s">
        <v>607</v>
      </c>
      <c r="B75" t="s">
        <v>55</v>
      </c>
      <c r="C75" t="s">
        <v>32</v>
      </c>
      <c r="D75" t="s">
        <v>42</v>
      </c>
      <c r="E75">
        <v>80104</v>
      </c>
      <c r="F75">
        <v>89134</v>
      </c>
      <c r="G75">
        <v>95104</v>
      </c>
      <c r="H75">
        <v>15000</v>
      </c>
      <c r="I75">
        <v>136950</v>
      </c>
      <c r="J75" t="str">
        <f>HYPERLINK("https://driffle.com/es/elden-ring-latam-pc-steam-digital-key-p9972146","Abrir compra")</f>
        <v>Abrir compra</v>
      </c>
      <c r="K75" t="str">
        <f>HYPERLINK("https://store.steampowered.com/app/1245620/ELDEN_RING/","Abrir Steam")</f>
        <v>Abrir Steam</v>
      </c>
      <c r="L75" t="s">
        <v>56</v>
      </c>
      <c r="M75" t="s">
        <v>44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37</v>
      </c>
      <c r="T75" t="s">
        <v>616</v>
      </c>
      <c r="U75" t="s">
        <v>617</v>
      </c>
      <c r="V75" t="s">
        <v>37</v>
      </c>
      <c r="W75" t="s">
        <v>618</v>
      </c>
      <c r="X75" t="s">
        <v>619</v>
      </c>
      <c r="Y75" t="s">
        <v>620</v>
      </c>
      <c r="Z75" t="s">
        <v>37</v>
      </c>
    </row>
    <row r="76">
      <c r="A76" t="s">
        <v>607</v>
      </c>
      <c r="B76" t="s">
        <v>67</v>
      </c>
      <c r="C76" t="s">
        <v>28</v>
      </c>
      <c r="D76" t="s">
        <v>29</v>
      </c>
      <c r="E76">
        <v>48686</v>
      </c>
      <c r="F76">
        <v>89134</v>
      </c>
      <c r="G76">
        <v>63686</v>
      </c>
      <c r="H76">
        <v>15000</v>
      </c>
      <c r="I76">
        <v>91708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56</v>
      </c>
      <c r="M76" t="s">
        <v>75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624</v>
      </c>
      <c r="T76" t="s">
        <v>37</v>
      </c>
      <c r="U76" t="s">
        <v>625</v>
      </c>
      <c r="V76" t="s">
        <v>37</v>
      </c>
      <c r="W76" t="s">
        <v>626</v>
      </c>
      <c r="X76" t="s">
        <v>37</v>
      </c>
      <c r="Y76" t="s">
        <v>627</v>
      </c>
      <c r="Z76" t="s">
        <v>37</v>
      </c>
    </row>
    <row r="77">
      <c r="A77" t="s">
        <v>607</v>
      </c>
      <c r="B77" t="s">
        <v>628</v>
      </c>
      <c r="C77" t="s">
        <v>28</v>
      </c>
      <c r="D77" t="s">
        <v>29</v>
      </c>
      <c r="E77">
        <v>85637</v>
      </c>
      <c r="F77">
        <v>118852</v>
      </c>
      <c r="G77">
        <v>100637</v>
      </c>
      <c r="H77">
        <v>15000</v>
      </c>
      <c r="I77">
        <v>144917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632</v>
      </c>
      <c r="T77" t="s">
        <v>37</v>
      </c>
      <c r="U77" t="s">
        <v>633</v>
      </c>
      <c r="V77" t="s">
        <v>37</v>
      </c>
      <c r="W77" t="s">
        <v>634</v>
      </c>
      <c r="X77" t="s">
        <v>37</v>
      </c>
      <c r="Y77" t="s">
        <v>635</v>
      </c>
      <c r="Z77" t="s">
        <v>37</v>
      </c>
    </row>
    <row r="78">
      <c r="A78" t="s">
        <v>636</v>
      </c>
      <c r="B78" t="s">
        <v>408</v>
      </c>
      <c r="C78" t="s">
        <v>32</v>
      </c>
      <c r="D78" t="s">
        <v>42</v>
      </c>
      <c r="E78">
        <v>63648</v>
      </c>
      <c r="F78">
        <v>81705</v>
      </c>
      <c r="G78">
        <v>81174</v>
      </c>
      <c r="H78">
        <v>17526</v>
      </c>
      <c r="I78">
        <v>116891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640</v>
      </c>
      <c r="T78" t="s">
        <v>641</v>
      </c>
      <c r="U78" t="s">
        <v>642</v>
      </c>
      <c r="V78" t="s">
        <v>37</v>
      </c>
      <c r="W78" t="s">
        <v>643</v>
      </c>
      <c r="X78" t="s">
        <v>644</v>
      </c>
      <c r="Y78" t="s">
        <v>645</v>
      </c>
      <c r="Z78" t="s">
        <v>37</v>
      </c>
    </row>
    <row r="79">
      <c r="A79" t="s">
        <v>636</v>
      </c>
      <c r="B79" t="s">
        <v>27</v>
      </c>
      <c r="C79" t="s">
        <v>28</v>
      </c>
      <c r="D79" t="s">
        <v>29</v>
      </c>
      <c r="E79">
        <v>55586</v>
      </c>
      <c r="F79">
        <v>81705</v>
      </c>
      <c r="G79">
        <v>70586</v>
      </c>
      <c r="H79">
        <v>15000</v>
      </c>
      <c r="I79">
        <v>101644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646</v>
      </c>
      <c r="P79" t="s">
        <v>647</v>
      </c>
      <c r="Q79" t="s">
        <v>32</v>
      </c>
      <c r="R79" t="s">
        <v>648</v>
      </c>
      <c r="S79" t="s">
        <v>649</v>
      </c>
      <c r="T79" t="s">
        <v>37</v>
      </c>
      <c r="U79" t="s">
        <v>37</v>
      </c>
      <c r="V79" t="s">
        <v>37</v>
      </c>
      <c r="W79" t="s">
        <v>650</v>
      </c>
      <c r="X79" t="s">
        <v>37</v>
      </c>
      <c r="Y79" t="s">
        <v>37</v>
      </c>
      <c r="Z79" t="s">
        <v>37</v>
      </c>
    </row>
    <row r="80">
      <c r="A80" t="s">
        <v>636</v>
      </c>
      <c r="B80" t="s">
        <v>67</v>
      </c>
      <c r="C80" t="s">
        <v>28</v>
      </c>
      <c r="D80" t="s">
        <v>29</v>
      </c>
      <c r="E80">
        <v>36061</v>
      </c>
      <c r="F80">
        <v>59417</v>
      </c>
      <c r="G80">
        <v>51061</v>
      </c>
      <c r="H80">
        <v>15000</v>
      </c>
      <c r="I80">
        <v>73528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56</v>
      </c>
      <c r="M80" t="s">
        <v>44</v>
      </c>
      <c r="N80" t="s">
        <v>32</v>
      </c>
      <c r="O80" t="s">
        <v>651</v>
      </c>
      <c r="P80" t="s">
        <v>652</v>
      </c>
      <c r="Q80" t="s">
        <v>32</v>
      </c>
      <c r="R80" t="s">
        <v>653</v>
      </c>
      <c r="S80" t="s">
        <v>654</v>
      </c>
      <c r="T80" t="s">
        <v>37</v>
      </c>
      <c r="U80" t="s">
        <v>655</v>
      </c>
      <c r="V80" t="s">
        <v>37</v>
      </c>
      <c r="W80" t="s">
        <v>656</v>
      </c>
      <c r="X80" t="s">
        <v>37</v>
      </c>
      <c r="Y80" t="s">
        <v>657</v>
      </c>
      <c r="Z80" t="s">
        <v>37</v>
      </c>
    </row>
    <row r="81">
      <c r="A81" t="s">
        <v>658</v>
      </c>
      <c r="B81" t="s">
        <v>659</v>
      </c>
      <c r="C81" t="s">
        <v>32</v>
      </c>
      <c r="D81" t="s">
        <v>42</v>
      </c>
      <c r="E81">
        <v>48002</v>
      </c>
      <c r="F81">
        <v>92849</v>
      </c>
      <c r="G81">
        <v>69637</v>
      </c>
      <c r="H81">
        <v>21635</v>
      </c>
      <c r="I81">
        <v>100277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660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664</v>
      </c>
      <c r="T81" t="s">
        <v>37</v>
      </c>
      <c r="U81" t="s">
        <v>37</v>
      </c>
      <c r="V81" t="s">
        <v>37</v>
      </c>
      <c r="W81" t="s">
        <v>665</v>
      </c>
      <c r="X81" t="s">
        <v>37</v>
      </c>
      <c r="Y81" t="s">
        <v>37</v>
      </c>
      <c r="Z81" t="s">
        <v>37</v>
      </c>
    </row>
    <row r="82">
      <c r="A82" t="s">
        <v>658</v>
      </c>
      <c r="B82" t="s">
        <v>666</v>
      </c>
      <c r="C82" t="s">
        <v>28</v>
      </c>
      <c r="D82" t="s">
        <v>29</v>
      </c>
      <c r="E82">
        <v>54728</v>
      </c>
      <c r="F82">
        <v>92849</v>
      </c>
      <c r="G82">
        <v>69728</v>
      </c>
      <c r="H82">
        <v>15000</v>
      </c>
      <c r="I82">
        <v>100408</v>
      </c>
      <c r="J82" t="str">
        <f>HYPERLINK("https://driffle.com/es/f1-25-2026-season-edition-global-pc-steam-account-p9996177","Abrir compra")</f>
        <v>Abrir compra</v>
      </c>
      <c r="K82" t="str">
        <f>HYPERLINK("https://store.steampowered.com/app/3059520/F1_25/","Abrir Steam")</f>
        <v>Abrir Steam</v>
      </c>
      <c r="L82" t="s">
        <v>56</v>
      </c>
      <c r="M82" t="s">
        <v>44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37</v>
      </c>
      <c r="T82" t="s">
        <v>37</v>
      </c>
      <c r="U82" t="s">
        <v>670</v>
      </c>
      <c r="V82" t="s">
        <v>37</v>
      </c>
      <c r="W82" t="s">
        <v>671</v>
      </c>
      <c r="X82" t="s">
        <v>37</v>
      </c>
      <c r="Y82" t="s">
        <v>672</v>
      </c>
      <c r="Z82" t="s">
        <v>37</v>
      </c>
    </row>
    <row r="83">
      <c r="A83" t="s">
        <v>673</v>
      </c>
      <c r="B83" t="s">
        <v>55</v>
      </c>
      <c r="C83" t="s">
        <v>32</v>
      </c>
      <c r="D83" t="s">
        <v>42</v>
      </c>
      <c r="E83">
        <v>12720</v>
      </c>
      <c r="F83">
        <v>44558</v>
      </c>
      <c r="G83">
        <v>33292</v>
      </c>
      <c r="H83">
        <v>20572</v>
      </c>
      <c r="I83">
        <v>47940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43</v>
      </c>
      <c r="M83" t="s">
        <v>44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677</v>
      </c>
      <c r="T83" t="s">
        <v>678</v>
      </c>
      <c r="U83" t="s">
        <v>679</v>
      </c>
      <c r="V83" t="s">
        <v>680</v>
      </c>
      <c r="W83" t="s">
        <v>681</v>
      </c>
      <c r="X83" t="s">
        <v>682</v>
      </c>
      <c r="Y83" t="s">
        <v>683</v>
      </c>
      <c r="Z83" t="s">
        <v>684</v>
      </c>
    </row>
    <row r="84">
      <c r="A84" t="s">
        <v>673</v>
      </c>
      <c r="B84" t="s">
        <v>67</v>
      </c>
      <c r="C84" t="s">
        <v>28</v>
      </c>
      <c r="D84" t="s">
        <v>29</v>
      </c>
      <c r="E84">
        <v>4786</v>
      </c>
      <c r="F84">
        <v>44558</v>
      </c>
      <c r="G84">
        <v>25292</v>
      </c>
      <c r="H84">
        <v>20506</v>
      </c>
      <c r="I84">
        <v>36420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30</v>
      </c>
      <c r="M84" t="s">
        <v>31</v>
      </c>
      <c r="N84" t="s">
        <v>32</v>
      </c>
      <c r="O84" t="s">
        <v>685</v>
      </c>
      <c r="P84" t="s">
        <v>686</v>
      </c>
      <c r="Q84" t="s">
        <v>32</v>
      </c>
      <c r="R84" t="s">
        <v>687</v>
      </c>
      <c r="S84" t="s">
        <v>688</v>
      </c>
      <c r="T84" t="s">
        <v>37</v>
      </c>
      <c r="U84" t="s">
        <v>566</v>
      </c>
      <c r="V84" t="s">
        <v>37</v>
      </c>
      <c r="W84" t="s">
        <v>689</v>
      </c>
      <c r="X84" t="s">
        <v>37</v>
      </c>
      <c r="Y84" t="s">
        <v>690</v>
      </c>
      <c r="Z84" t="s">
        <v>37</v>
      </c>
    </row>
    <row r="85">
      <c r="A85" t="s">
        <v>691</v>
      </c>
      <c r="B85" t="s">
        <v>55</v>
      </c>
      <c r="C85" t="s">
        <v>32</v>
      </c>
      <c r="D85" t="s">
        <v>42</v>
      </c>
      <c r="E85">
        <v>27587</v>
      </c>
      <c r="F85">
        <v>59417</v>
      </c>
      <c r="G85">
        <v>43773</v>
      </c>
      <c r="H85">
        <v>16186</v>
      </c>
      <c r="I85">
        <v>63033</v>
      </c>
      <c r="J85" t="str">
        <f>HYPERLINK("https://www.eneba.com/latam/steam-final-fantasy-vii-remake-intergrade-pc-steam-key-global","Abrir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43</v>
      </c>
      <c r="M85" t="s">
        <v>44</v>
      </c>
      <c r="N85" t="s">
        <v>32</v>
      </c>
      <c r="O85" t="s">
        <v>692</v>
      </c>
      <c r="P85" t="s">
        <v>693</v>
      </c>
      <c r="Q85" t="s">
        <v>32</v>
      </c>
      <c r="R85" t="s">
        <v>694</v>
      </c>
      <c r="S85" t="s">
        <v>37</v>
      </c>
      <c r="T85" t="s">
        <v>695</v>
      </c>
      <c r="U85" t="s">
        <v>696</v>
      </c>
      <c r="V85" t="s">
        <v>37</v>
      </c>
      <c r="W85" t="s">
        <v>697</v>
      </c>
      <c r="X85" t="s">
        <v>698</v>
      </c>
      <c r="Y85" t="s">
        <v>699</v>
      </c>
      <c r="Z85" t="s">
        <v>700</v>
      </c>
    </row>
    <row r="86">
      <c r="A86" t="s">
        <v>701</v>
      </c>
      <c r="B86" t="s">
        <v>27</v>
      </c>
      <c r="C86" t="s">
        <v>28</v>
      </c>
      <c r="D86" t="s">
        <v>29</v>
      </c>
      <c r="E86">
        <v>27857</v>
      </c>
      <c r="F86">
        <v>75854</v>
      </c>
      <c r="G86">
        <v>46726</v>
      </c>
      <c r="H86">
        <v>18869</v>
      </c>
      <c r="I86">
        <v>67285</v>
      </c>
      <c r="J86" t="str">
        <f>HYPERLINK("https://driffle.com/es/forza-horizon-5-deluxe-edition-global-pc-steam-account-p9962282","Abrir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56</v>
      </c>
      <c r="M86" t="s">
        <v>75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705</v>
      </c>
      <c r="T86" t="s">
        <v>37</v>
      </c>
      <c r="U86" t="s">
        <v>706</v>
      </c>
      <c r="V86" t="s">
        <v>37</v>
      </c>
      <c r="W86" t="s">
        <v>707</v>
      </c>
      <c r="X86" t="s">
        <v>37</v>
      </c>
      <c r="Y86" t="s">
        <v>708</v>
      </c>
      <c r="Z86" t="s">
        <v>37</v>
      </c>
    </row>
    <row r="87">
      <c r="A87" t="s">
        <v>701</v>
      </c>
      <c r="B87" t="s">
        <v>67</v>
      </c>
      <c r="C87" t="s">
        <v>28</v>
      </c>
      <c r="D87" t="s">
        <v>29</v>
      </c>
      <c r="E87">
        <v>20193</v>
      </c>
      <c r="F87">
        <v>60884</v>
      </c>
      <c r="G87">
        <v>37822</v>
      </c>
      <c r="H87">
        <v>17629</v>
      </c>
      <c r="I87">
        <v>54464</v>
      </c>
      <c r="J87" t="str">
        <f>HYPERLINK("https://www.kinguin.net/es/category/151135/forza-horizon-5-steam-account","Abrir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368</v>
      </c>
      <c r="T87" t="s">
        <v>37</v>
      </c>
      <c r="U87" t="s">
        <v>712</v>
      </c>
      <c r="V87" t="s">
        <v>37</v>
      </c>
      <c r="W87" t="s">
        <v>713</v>
      </c>
      <c r="X87" t="s">
        <v>37</v>
      </c>
      <c r="Y87" t="s">
        <v>714</v>
      </c>
      <c r="Z87" t="s">
        <v>37</v>
      </c>
    </row>
    <row r="88">
      <c r="A88" t="s">
        <v>701</v>
      </c>
      <c r="B88" t="s">
        <v>715</v>
      </c>
      <c r="C88" t="s">
        <v>28</v>
      </c>
      <c r="D88" t="s">
        <v>29</v>
      </c>
      <c r="E88">
        <v>31434</v>
      </c>
      <c r="F88">
        <v>95486</v>
      </c>
      <c r="G88">
        <v>55813</v>
      </c>
      <c r="H88">
        <v>24379</v>
      </c>
      <c r="I88">
        <v>80371</v>
      </c>
      <c r="J88" t="str">
        <f>HYPERLINK("https://driffle.com/es/forza-horizon-5-premium-edition-global-pc-steam-account-p9945649","Abrir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56</v>
      </c>
      <c r="M88" t="s">
        <v>75</v>
      </c>
      <c r="N88" t="s">
        <v>32</v>
      </c>
      <c r="O88" t="s">
        <v>716</v>
      </c>
      <c r="P88" t="s">
        <v>717</v>
      </c>
      <c r="Q88" t="s">
        <v>32</v>
      </c>
      <c r="R88" t="s">
        <v>718</v>
      </c>
      <c r="S88" t="s">
        <v>719</v>
      </c>
      <c r="T88" t="s">
        <v>37</v>
      </c>
      <c r="U88" t="s">
        <v>720</v>
      </c>
      <c r="V88" t="s">
        <v>37</v>
      </c>
      <c r="W88" t="s">
        <v>721</v>
      </c>
      <c r="X88" t="s">
        <v>37</v>
      </c>
      <c r="Y88" t="s">
        <v>722</v>
      </c>
      <c r="Z88" t="s">
        <v>37</v>
      </c>
    </row>
    <row r="89">
      <c r="A89" t="s">
        <v>723</v>
      </c>
      <c r="B89" t="s">
        <v>27</v>
      </c>
      <c r="C89" t="s">
        <v>28</v>
      </c>
      <c r="D89" t="s">
        <v>29</v>
      </c>
      <c r="E89">
        <v>77465</v>
      </c>
      <c r="F89">
        <v>129996</v>
      </c>
      <c r="G89">
        <v>92465</v>
      </c>
      <c r="H89">
        <v>15000</v>
      </c>
      <c r="I89">
        <v>133150</v>
      </c>
      <c r="J89" t="str">
        <f>HYPERLINK("https://driffle.com/es/forza-horizon-6-deluxe-edition-global-pc-steam-account-p9980950","Abrir compra")</f>
        <v>Abrir compra</v>
      </c>
      <c r="K89" t="str">
        <f>HYPERLINK("https://store.steampowered.com/app/2483190/Forza_Horizon_6/","Abrir Steam")</f>
        <v>Abrir Steam</v>
      </c>
      <c r="L89" t="s">
        <v>56</v>
      </c>
      <c r="M89" t="s">
        <v>44</v>
      </c>
      <c r="N89" t="s">
        <v>32</v>
      </c>
      <c r="O89" t="s">
        <v>724</v>
      </c>
      <c r="P89" t="s">
        <v>725</v>
      </c>
      <c r="Q89" t="s">
        <v>32</v>
      </c>
      <c r="R89" t="s">
        <v>726</v>
      </c>
      <c r="S89" t="s">
        <v>727</v>
      </c>
      <c r="T89" t="s">
        <v>37</v>
      </c>
      <c r="U89" t="s">
        <v>728</v>
      </c>
      <c r="V89" t="s">
        <v>37</v>
      </c>
      <c r="W89" t="s">
        <v>729</v>
      </c>
      <c r="X89" t="s">
        <v>37</v>
      </c>
      <c r="Y89" t="s">
        <v>730</v>
      </c>
      <c r="Z89" t="s">
        <v>37</v>
      </c>
    </row>
    <row r="90">
      <c r="A90" t="s">
        <v>723</v>
      </c>
      <c r="B90" t="s">
        <v>67</v>
      </c>
      <c r="C90" t="s">
        <v>28</v>
      </c>
      <c r="D90" t="s">
        <v>29</v>
      </c>
      <c r="E90">
        <v>54728</v>
      </c>
      <c r="F90">
        <v>90992</v>
      </c>
      <c r="G90">
        <v>69728</v>
      </c>
      <c r="H90">
        <v>15000</v>
      </c>
      <c r="I90">
        <v>100408</v>
      </c>
      <c r="J90" t="str">
        <f>HYPERLINK("https://www.kinguin.net/es/category/440716/forza-horizon-6-pc-steam-account","Abrir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670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723</v>
      </c>
      <c r="B91" t="s">
        <v>715</v>
      </c>
      <c r="C91" t="s">
        <v>28</v>
      </c>
      <c r="D91" t="s">
        <v>29</v>
      </c>
      <c r="E91">
        <v>97276</v>
      </c>
      <c r="F91">
        <v>155999</v>
      </c>
      <c r="G91">
        <v>112276</v>
      </c>
      <c r="H91">
        <v>15000</v>
      </c>
      <c r="I91">
        <v>161677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737</v>
      </c>
      <c r="P91" t="s">
        <v>738</v>
      </c>
      <c r="Q91" t="s">
        <v>32</v>
      </c>
      <c r="R91" t="s">
        <v>739</v>
      </c>
      <c r="S91" t="s">
        <v>740</v>
      </c>
      <c r="T91" t="s">
        <v>37</v>
      </c>
      <c r="U91" t="s">
        <v>741</v>
      </c>
      <c r="V91" t="s">
        <v>37</v>
      </c>
      <c r="W91" t="s">
        <v>742</v>
      </c>
      <c r="X91" t="s">
        <v>37</v>
      </c>
      <c r="Y91" t="s">
        <v>743</v>
      </c>
      <c r="Z91" t="s">
        <v>37</v>
      </c>
    </row>
    <row r="92">
      <c r="A92" t="s">
        <v>744</v>
      </c>
      <c r="B92" t="s">
        <v>67</v>
      </c>
      <c r="C92" t="s">
        <v>28</v>
      </c>
      <c r="D92" t="s">
        <v>29</v>
      </c>
      <c r="E92">
        <v>86067</v>
      </c>
      <c r="F92">
        <v>90992</v>
      </c>
      <c r="G92">
        <v>101067</v>
      </c>
      <c r="H92">
        <v>15000</v>
      </c>
      <c r="I92">
        <v>145536</v>
      </c>
      <c r="J92" t="str">
        <f>HYPERLINK("https://www.kinguin.net/es/category/542407/gears-of-war-e-day-pc-steam-account","Abrir compra")</f>
        <v>Abrir compra</v>
      </c>
      <c r="K92" t="str">
        <f>HYPERLINK("https://store.steampowered.com/app/3010850/Gears_of_War_EDay/","Abrir Steam")</f>
        <v>Abrir Steam</v>
      </c>
      <c r="L92" t="s">
        <v>30</v>
      </c>
      <c r="M92" t="s">
        <v>75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748</v>
      </c>
      <c r="T92" t="s">
        <v>37</v>
      </c>
      <c r="U92" t="s">
        <v>749</v>
      </c>
      <c r="V92" t="s">
        <v>37</v>
      </c>
      <c r="W92" t="s">
        <v>750</v>
      </c>
      <c r="X92" t="s">
        <v>37</v>
      </c>
      <c r="Y92" t="s">
        <v>751</v>
      </c>
      <c r="Z92" t="s">
        <v>37</v>
      </c>
    </row>
    <row r="93">
      <c r="A93" t="s">
        <v>744</v>
      </c>
      <c r="B93" t="s">
        <v>715</v>
      </c>
      <c r="C93" t="s">
        <v>28</v>
      </c>
      <c r="D93" t="s">
        <v>29</v>
      </c>
      <c r="E93">
        <v>122128</v>
      </c>
      <c r="F93">
        <v>129996</v>
      </c>
      <c r="G93">
        <v>137128</v>
      </c>
      <c r="H93">
        <v>15000</v>
      </c>
      <c r="I93">
        <v>197464</v>
      </c>
      <c r="J93" t="str">
        <f>HYPERLINK("https://www.kinguin.net/es/category/542436/gears-of-war-e-day-premium-edition-pc-steam-account","Abrir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30</v>
      </c>
      <c r="M93" t="s">
        <v>75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759</v>
      </c>
      <c r="B94" t="s">
        <v>760</v>
      </c>
      <c r="C94" t="s">
        <v>32</v>
      </c>
      <c r="D94" t="s">
        <v>42</v>
      </c>
      <c r="E94">
        <v>38240</v>
      </c>
      <c r="F94">
        <v>92849</v>
      </c>
      <c r="G94">
        <v>63078</v>
      </c>
      <c r="H94">
        <v>24838</v>
      </c>
      <c r="I94">
        <v>90832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56</v>
      </c>
      <c r="M94" t="s">
        <v>44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764</v>
      </c>
      <c r="T94" t="s">
        <v>765</v>
      </c>
      <c r="U94" t="s">
        <v>492</v>
      </c>
      <c r="V94" t="s">
        <v>195</v>
      </c>
      <c r="W94" t="s">
        <v>766</v>
      </c>
      <c r="X94" t="s">
        <v>767</v>
      </c>
      <c r="Y94" t="s">
        <v>768</v>
      </c>
      <c r="Z94" t="s">
        <v>769</v>
      </c>
    </row>
    <row r="95">
      <c r="A95" t="s">
        <v>770</v>
      </c>
      <c r="B95" t="s">
        <v>55</v>
      </c>
      <c r="C95" t="s">
        <v>32</v>
      </c>
      <c r="D95" t="s">
        <v>42</v>
      </c>
      <c r="E95">
        <v>21926</v>
      </c>
      <c r="F95">
        <v>92849</v>
      </c>
      <c r="G95">
        <v>49549</v>
      </c>
      <c r="H95">
        <v>27623</v>
      </c>
      <c r="I95">
        <v>71351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43</v>
      </c>
      <c r="M95" t="s">
        <v>44</v>
      </c>
      <c r="N95" t="s">
        <v>32</v>
      </c>
      <c r="O95" t="s">
        <v>771</v>
      </c>
      <c r="P95" t="s">
        <v>772</v>
      </c>
      <c r="Q95" t="s">
        <v>32</v>
      </c>
      <c r="R95" t="s">
        <v>773</v>
      </c>
      <c r="S95" t="s">
        <v>37</v>
      </c>
      <c r="T95" t="s">
        <v>774</v>
      </c>
      <c r="U95" t="s">
        <v>775</v>
      </c>
      <c r="V95" t="s">
        <v>37</v>
      </c>
      <c r="W95" t="s">
        <v>37</v>
      </c>
      <c r="X95" t="s">
        <v>776</v>
      </c>
      <c r="Y95" t="s">
        <v>777</v>
      </c>
      <c r="Z95" t="s">
        <v>37</v>
      </c>
    </row>
    <row r="96">
      <c r="A96" t="s">
        <v>770</v>
      </c>
      <c r="B96" t="s">
        <v>67</v>
      </c>
      <c r="C96" t="s">
        <v>28</v>
      </c>
      <c r="D96" t="s">
        <v>29</v>
      </c>
      <c r="E96">
        <v>14549</v>
      </c>
      <c r="F96">
        <v>92849</v>
      </c>
      <c r="G96">
        <v>41549</v>
      </c>
      <c r="H96">
        <v>27000</v>
      </c>
      <c r="I96">
        <v>59831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781</v>
      </c>
      <c r="T96" t="s">
        <v>37</v>
      </c>
      <c r="U96" t="s">
        <v>782</v>
      </c>
      <c r="V96" t="s">
        <v>37</v>
      </c>
      <c r="W96" t="s">
        <v>783</v>
      </c>
      <c r="X96" t="s">
        <v>37</v>
      </c>
      <c r="Y96" t="s">
        <v>784</v>
      </c>
      <c r="Z96" t="s">
        <v>37</v>
      </c>
    </row>
    <row r="97">
      <c r="A97" t="s">
        <v>785</v>
      </c>
      <c r="B97" t="s">
        <v>408</v>
      </c>
      <c r="C97" t="s">
        <v>32</v>
      </c>
      <c r="D97" t="s">
        <v>42</v>
      </c>
      <c r="E97">
        <v>65826</v>
      </c>
      <c r="F97">
        <v>92849</v>
      </c>
      <c r="G97">
        <v>80826</v>
      </c>
      <c r="H97">
        <v>15000</v>
      </c>
      <c r="I97">
        <v>116389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56</v>
      </c>
      <c r="M97" t="s">
        <v>44</v>
      </c>
      <c r="N97" t="s">
        <v>32</v>
      </c>
      <c r="O97" t="s">
        <v>786</v>
      </c>
      <c r="P97" t="s">
        <v>787</v>
      </c>
      <c r="Q97" t="s">
        <v>32</v>
      </c>
      <c r="R97" t="s">
        <v>788</v>
      </c>
      <c r="S97" t="s">
        <v>37</v>
      </c>
      <c r="T97" t="s">
        <v>37</v>
      </c>
      <c r="U97" t="s">
        <v>789</v>
      </c>
      <c r="V97" t="s">
        <v>37</v>
      </c>
      <c r="W97" t="s">
        <v>790</v>
      </c>
      <c r="X97" t="s">
        <v>791</v>
      </c>
      <c r="Y97" t="s">
        <v>792</v>
      </c>
      <c r="Z97" t="s">
        <v>37</v>
      </c>
    </row>
    <row r="98">
      <c r="A98" t="s">
        <v>785</v>
      </c>
      <c r="B98" t="s">
        <v>55</v>
      </c>
      <c r="C98" t="s">
        <v>32</v>
      </c>
      <c r="D98" t="s">
        <v>42</v>
      </c>
      <c r="E98">
        <v>48622</v>
      </c>
      <c r="F98">
        <v>92849</v>
      </c>
      <c r="G98">
        <v>69637</v>
      </c>
      <c r="H98">
        <v>21015</v>
      </c>
      <c r="I98">
        <v>100277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796</v>
      </c>
      <c r="U98" t="s">
        <v>797</v>
      </c>
      <c r="V98" t="s">
        <v>37</v>
      </c>
      <c r="W98" t="s">
        <v>798</v>
      </c>
      <c r="X98" t="s">
        <v>799</v>
      </c>
      <c r="Y98" t="s">
        <v>800</v>
      </c>
      <c r="Z98" t="s">
        <v>37</v>
      </c>
    </row>
    <row r="99">
      <c r="A99" t="s">
        <v>785</v>
      </c>
      <c r="B99" t="s">
        <v>67</v>
      </c>
      <c r="C99" t="s">
        <v>28</v>
      </c>
      <c r="D99" t="s">
        <v>29</v>
      </c>
      <c r="E99">
        <v>50785</v>
      </c>
      <c r="F99">
        <v>92849</v>
      </c>
      <c r="G99">
        <v>65785</v>
      </c>
      <c r="H99">
        <v>15000</v>
      </c>
      <c r="I99">
        <v>94730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37</v>
      </c>
      <c r="T99" t="s">
        <v>37</v>
      </c>
      <c r="U99" t="s">
        <v>804</v>
      </c>
      <c r="V99" t="s">
        <v>37</v>
      </c>
      <c r="W99" t="s">
        <v>805</v>
      </c>
      <c r="X99" t="s">
        <v>37</v>
      </c>
      <c r="Y99" t="s">
        <v>806</v>
      </c>
      <c r="Z99" t="s">
        <v>37</v>
      </c>
    </row>
    <row r="100">
      <c r="A100" t="s">
        <v>807</v>
      </c>
      <c r="B100" t="s">
        <v>55</v>
      </c>
      <c r="C100" t="s">
        <v>32</v>
      </c>
      <c r="D100" t="s">
        <v>42</v>
      </c>
      <c r="E100">
        <v>38939</v>
      </c>
      <c r="F100">
        <v>63131</v>
      </c>
      <c r="G100">
        <v>65522</v>
      </c>
      <c r="H100">
        <v>26583</v>
      </c>
      <c r="I100">
        <v>94352</v>
      </c>
      <c r="J100" t="str">
        <f>HYPERLINK("https://www.loaded.com/es_es/gothic-1-remake-pc-steam-latam","Abrir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293</v>
      </c>
      <c r="M100" t="s">
        <v>44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37</v>
      </c>
      <c r="T100" t="s">
        <v>811</v>
      </c>
      <c r="U100" t="s">
        <v>812</v>
      </c>
      <c r="V100" t="s">
        <v>813</v>
      </c>
      <c r="W100" t="s">
        <v>814</v>
      </c>
      <c r="X100" t="s">
        <v>815</v>
      </c>
      <c r="Y100" t="s">
        <v>816</v>
      </c>
      <c r="Z100" t="s">
        <v>817</v>
      </c>
    </row>
    <row r="101">
      <c r="A101" t="s">
        <v>807</v>
      </c>
      <c r="B101" t="s">
        <v>67</v>
      </c>
      <c r="C101" t="s">
        <v>28</v>
      </c>
      <c r="D101" t="s">
        <v>29</v>
      </c>
      <c r="E101">
        <v>41976</v>
      </c>
      <c r="F101">
        <v>63131</v>
      </c>
      <c r="G101">
        <v>56976</v>
      </c>
      <c r="H101">
        <v>15000</v>
      </c>
      <c r="I101">
        <v>82045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56</v>
      </c>
      <c r="M101" t="s">
        <v>75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37</v>
      </c>
      <c r="T101" t="s">
        <v>37</v>
      </c>
      <c r="U101" t="s">
        <v>821</v>
      </c>
      <c r="V101" t="s">
        <v>37</v>
      </c>
      <c r="W101" t="s">
        <v>37</v>
      </c>
      <c r="X101" t="s">
        <v>37</v>
      </c>
      <c r="Y101" t="s">
        <v>822</v>
      </c>
      <c r="Z101" t="s">
        <v>37</v>
      </c>
    </row>
    <row r="102">
      <c r="A102" t="s">
        <v>823</v>
      </c>
      <c r="B102" t="s">
        <v>824</v>
      </c>
      <c r="C102" t="s">
        <v>28</v>
      </c>
      <c r="D102" t="s">
        <v>29</v>
      </c>
      <c r="E102">
        <v>17188</v>
      </c>
      <c r="F102">
        <v>83562</v>
      </c>
      <c r="G102">
        <v>44188</v>
      </c>
      <c r="H102">
        <v>27000</v>
      </c>
      <c r="I102">
        <v>63631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30</v>
      </c>
      <c r="M102" t="s">
        <v>75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828</v>
      </c>
      <c r="T102" t="s">
        <v>37</v>
      </c>
      <c r="U102" t="s">
        <v>829</v>
      </c>
      <c r="V102" t="s">
        <v>37</v>
      </c>
      <c r="W102" t="s">
        <v>830</v>
      </c>
      <c r="X102" t="s">
        <v>37</v>
      </c>
      <c r="Y102" t="s">
        <v>831</v>
      </c>
      <c r="Z102" t="s">
        <v>37</v>
      </c>
    </row>
    <row r="103">
      <c r="A103" t="s">
        <v>832</v>
      </c>
      <c r="B103" t="s">
        <v>67</v>
      </c>
      <c r="C103" t="s">
        <v>28</v>
      </c>
      <c r="D103" t="s">
        <v>29</v>
      </c>
      <c r="E103">
        <v>54426</v>
      </c>
      <c r="F103">
        <v>74275</v>
      </c>
      <c r="G103">
        <v>69426</v>
      </c>
      <c r="H103">
        <v>15000</v>
      </c>
      <c r="I103">
        <v>99973</v>
      </c>
      <c r="J103" t="str">
        <f>HYPERLINK("https://driffle.com/es/halo-campaign-evolved-global-pc-steam-account-p9996349","Abrir compra")</f>
        <v>Abrir compra</v>
      </c>
      <c r="K103" t="str">
        <f>HYPERLINK("https://store.steampowered.com/app/2806050/Halo_Campaign_Evolved/","Abrir Steam")</f>
        <v>Abrir Steam</v>
      </c>
      <c r="L103" t="s">
        <v>56</v>
      </c>
      <c r="M103" t="s">
        <v>44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836</v>
      </c>
      <c r="T103" t="s">
        <v>37</v>
      </c>
      <c r="U103" t="s">
        <v>837</v>
      </c>
      <c r="V103" t="s">
        <v>37</v>
      </c>
      <c r="W103" t="s">
        <v>838</v>
      </c>
      <c r="X103" t="s">
        <v>37</v>
      </c>
      <c r="Y103" t="s">
        <v>839</v>
      </c>
      <c r="Z103" t="s">
        <v>37</v>
      </c>
    </row>
    <row r="104">
      <c r="A104" t="s">
        <v>832</v>
      </c>
      <c r="B104" t="s">
        <v>715</v>
      </c>
      <c r="C104" t="s">
        <v>28</v>
      </c>
      <c r="D104" t="s">
        <v>29</v>
      </c>
      <c r="E104">
        <v>70532</v>
      </c>
      <c r="F104">
        <v>111422</v>
      </c>
      <c r="G104">
        <v>85532</v>
      </c>
      <c r="H104">
        <v>15000</v>
      </c>
      <c r="I104">
        <v>123166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843</v>
      </c>
      <c r="T104" t="s">
        <v>37</v>
      </c>
      <c r="U104" t="s">
        <v>844</v>
      </c>
      <c r="V104" t="s">
        <v>37</v>
      </c>
      <c r="W104" t="s">
        <v>845</v>
      </c>
      <c r="X104" t="s">
        <v>37</v>
      </c>
      <c r="Y104" t="s">
        <v>846</v>
      </c>
      <c r="Z104" t="s">
        <v>37</v>
      </c>
    </row>
    <row r="105">
      <c r="A105" t="s">
        <v>847</v>
      </c>
      <c r="B105" t="s">
        <v>55</v>
      </c>
      <c r="C105" t="s">
        <v>32</v>
      </c>
      <c r="D105" t="s">
        <v>42</v>
      </c>
      <c r="E105">
        <v>39162</v>
      </c>
      <c r="F105">
        <v>74275</v>
      </c>
      <c r="G105">
        <v>55211</v>
      </c>
      <c r="H105">
        <v>16049</v>
      </c>
      <c r="I105">
        <v>79504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56</v>
      </c>
      <c r="M105" t="s">
        <v>44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851</v>
      </c>
      <c r="T105" t="s">
        <v>852</v>
      </c>
      <c r="U105" t="s">
        <v>853</v>
      </c>
      <c r="V105" t="s">
        <v>854</v>
      </c>
      <c r="W105" t="s">
        <v>855</v>
      </c>
      <c r="X105" t="s">
        <v>856</v>
      </c>
      <c r="Y105" t="s">
        <v>857</v>
      </c>
      <c r="Z105" t="s">
        <v>858</v>
      </c>
    </row>
    <row r="106">
      <c r="A106" t="s">
        <v>847</v>
      </c>
      <c r="B106" t="s">
        <v>67</v>
      </c>
      <c r="C106" t="s">
        <v>28</v>
      </c>
      <c r="D106" t="s">
        <v>29</v>
      </c>
      <c r="E106">
        <v>30608</v>
      </c>
      <c r="F106">
        <v>74275</v>
      </c>
      <c r="G106">
        <v>47211</v>
      </c>
      <c r="H106">
        <v>16603</v>
      </c>
      <c r="I106">
        <v>67984</v>
      </c>
      <c r="J106" t="str">
        <f>HYPERLINK("https://driffle.com/es/helldivers-2-global-pc-steam-account-p9952240","Abrir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75</v>
      </c>
      <c r="N106" t="s">
        <v>32</v>
      </c>
      <c r="O106" t="s">
        <v>859</v>
      </c>
      <c r="P106" t="s">
        <v>860</v>
      </c>
      <c r="Q106" t="s">
        <v>32</v>
      </c>
      <c r="R106" t="s">
        <v>861</v>
      </c>
      <c r="S106" t="s">
        <v>862</v>
      </c>
      <c r="T106" t="s">
        <v>37</v>
      </c>
      <c r="U106" t="s">
        <v>863</v>
      </c>
      <c r="V106" t="s">
        <v>37</v>
      </c>
      <c r="W106" t="s">
        <v>864</v>
      </c>
      <c r="X106" t="s">
        <v>37</v>
      </c>
      <c r="Y106" t="s">
        <v>865</v>
      </c>
      <c r="Z106" t="s">
        <v>37</v>
      </c>
    </row>
    <row r="107">
      <c r="A107" t="s">
        <v>847</v>
      </c>
      <c r="B107" t="s">
        <v>866</v>
      </c>
      <c r="C107" t="s">
        <v>32</v>
      </c>
      <c r="D107" t="s">
        <v>42</v>
      </c>
      <c r="E107">
        <v>56795</v>
      </c>
      <c r="F107">
        <v>74275</v>
      </c>
      <c r="G107">
        <v>91795</v>
      </c>
      <c r="H107">
        <v>35000</v>
      </c>
      <c r="I107">
        <v>132185</v>
      </c>
      <c r="J107" t="str">
        <f>HYPERLINK("https://driffle.com/es/helldivers-2-super-citizen-edition-latam-pc-steam-digital-key-p9981990","Abrir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44</v>
      </c>
      <c r="N107" t="s">
        <v>32</v>
      </c>
      <c r="O107" t="s">
        <v>867</v>
      </c>
      <c r="P107" t="s">
        <v>868</v>
      </c>
      <c r="Q107" t="s">
        <v>32</v>
      </c>
      <c r="R107" t="s">
        <v>869</v>
      </c>
      <c r="S107" t="s">
        <v>870</v>
      </c>
      <c r="T107" t="s">
        <v>871</v>
      </c>
      <c r="U107" t="s">
        <v>872</v>
      </c>
      <c r="V107" t="s">
        <v>873</v>
      </c>
      <c r="W107" t="s">
        <v>874</v>
      </c>
      <c r="X107" t="s">
        <v>875</v>
      </c>
      <c r="Y107" t="s">
        <v>876</v>
      </c>
      <c r="Z107" t="s">
        <v>877</v>
      </c>
    </row>
    <row r="108">
      <c r="A108" t="s">
        <v>847</v>
      </c>
      <c r="B108" t="s">
        <v>878</v>
      </c>
      <c r="C108" t="s">
        <v>28</v>
      </c>
      <c r="D108" t="s">
        <v>29</v>
      </c>
      <c r="E108">
        <v>73951</v>
      </c>
      <c r="F108">
        <v>74275</v>
      </c>
      <c r="G108">
        <v>88951</v>
      </c>
      <c r="H108">
        <v>15000</v>
      </c>
      <c r="I108">
        <v>128089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879</v>
      </c>
      <c r="P108" t="s">
        <v>880</v>
      </c>
      <c r="Q108" t="s">
        <v>32</v>
      </c>
      <c r="R108" t="s">
        <v>881</v>
      </c>
      <c r="S108" t="s">
        <v>882</v>
      </c>
      <c r="T108" t="s">
        <v>37</v>
      </c>
      <c r="U108" t="s">
        <v>37</v>
      </c>
      <c r="V108" t="s">
        <v>37</v>
      </c>
      <c r="W108" t="s">
        <v>883</v>
      </c>
      <c r="X108" t="s">
        <v>37</v>
      </c>
      <c r="Y108" t="s">
        <v>37</v>
      </c>
      <c r="Z108" t="s">
        <v>37</v>
      </c>
    </row>
    <row r="109">
      <c r="A109" t="s">
        <v>884</v>
      </c>
      <c r="B109" t="s">
        <v>27</v>
      </c>
      <c r="C109" t="s">
        <v>28</v>
      </c>
      <c r="D109" t="s">
        <v>29</v>
      </c>
      <c r="E109">
        <v>31212</v>
      </c>
      <c r="F109">
        <v>85420</v>
      </c>
      <c r="G109">
        <v>51799</v>
      </c>
      <c r="H109">
        <v>20587</v>
      </c>
      <c r="I109">
        <v>74591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56</v>
      </c>
      <c r="M109" t="s">
        <v>75</v>
      </c>
      <c r="N109" t="s">
        <v>32</v>
      </c>
      <c r="O109" t="s">
        <v>885</v>
      </c>
      <c r="P109" t="s">
        <v>886</v>
      </c>
      <c r="Q109" t="s">
        <v>32</v>
      </c>
      <c r="R109" t="s">
        <v>887</v>
      </c>
      <c r="S109" t="s">
        <v>888</v>
      </c>
      <c r="T109" t="s">
        <v>37</v>
      </c>
      <c r="U109" t="s">
        <v>889</v>
      </c>
      <c r="V109" t="s">
        <v>37</v>
      </c>
      <c r="W109" t="s">
        <v>890</v>
      </c>
      <c r="X109" t="s">
        <v>37</v>
      </c>
      <c r="Y109" t="s">
        <v>891</v>
      </c>
      <c r="Z109" t="s">
        <v>37</v>
      </c>
    </row>
    <row r="110">
      <c r="A110" t="s">
        <v>884</v>
      </c>
      <c r="B110" t="s">
        <v>892</v>
      </c>
      <c r="C110" t="s">
        <v>32</v>
      </c>
      <c r="D110" t="s">
        <v>42</v>
      </c>
      <c r="E110">
        <v>34932</v>
      </c>
      <c r="F110">
        <v>61274</v>
      </c>
      <c r="G110">
        <v>50251</v>
      </c>
      <c r="H110">
        <v>15319</v>
      </c>
      <c r="I110">
        <v>72361</v>
      </c>
      <c r="J110" t="str">
        <f>HYPERLINK("https://driffle.com/es/hitman-world-of-assassination-global-pc-steam-digital-key-p9947612","Abrir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75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37</v>
      </c>
      <c r="T110" t="s">
        <v>37</v>
      </c>
      <c r="U110" t="s">
        <v>896</v>
      </c>
      <c r="V110" t="s">
        <v>37</v>
      </c>
      <c r="W110" t="s">
        <v>37</v>
      </c>
      <c r="X110" t="s">
        <v>37</v>
      </c>
      <c r="Y110" t="s">
        <v>897</v>
      </c>
      <c r="Z110" t="s">
        <v>898</v>
      </c>
    </row>
    <row r="111">
      <c r="A111" t="s">
        <v>884</v>
      </c>
      <c r="B111" t="s">
        <v>67</v>
      </c>
      <c r="C111" t="s">
        <v>28</v>
      </c>
      <c r="D111" t="s">
        <v>29</v>
      </c>
      <c r="E111">
        <v>13960</v>
      </c>
      <c r="F111">
        <v>61274</v>
      </c>
      <c r="G111">
        <v>35481</v>
      </c>
      <c r="H111">
        <v>21521</v>
      </c>
      <c r="I111">
        <v>51093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75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37</v>
      </c>
      <c r="T111" t="s">
        <v>37</v>
      </c>
      <c r="U111" t="s">
        <v>902</v>
      </c>
      <c r="V111" t="s">
        <v>37</v>
      </c>
      <c r="W111" t="s">
        <v>37</v>
      </c>
      <c r="X111" t="s">
        <v>37</v>
      </c>
      <c r="Y111" t="s">
        <v>903</v>
      </c>
      <c r="Z111" t="s">
        <v>37</v>
      </c>
    </row>
    <row r="112">
      <c r="A112" t="s">
        <v>904</v>
      </c>
      <c r="B112" t="s">
        <v>408</v>
      </c>
      <c r="C112" t="s">
        <v>32</v>
      </c>
      <c r="D112" t="s">
        <v>42</v>
      </c>
      <c r="E112">
        <v>10319</v>
      </c>
      <c r="F112">
        <v>74275</v>
      </c>
      <c r="G112">
        <v>44461</v>
      </c>
      <c r="H112">
        <v>34142</v>
      </c>
      <c r="I112">
        <v>64024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905</v>
      </c>
      <c r="P112" t="s">
        <v>906</v>
      </c>
      <c r="Q112" t="s">
        <v>32</v>
      </c>
      <c r="R112" t="s">
        <v>907</v>
      </c>
      <c r="S112" t="s">
        <v>908</v>
      </c>
      <c r="T112" t="s">
        <v>909</v>
      </c>
      <c r="U112" t="s">
        <v>910</v>
      </c>
      <c r="V112" t="s">
        <v>911</v>
      </c>
      <c r="W112" t="s">
        <v>912</v>
      </c>
      <c r="X112" t="s">
        <v>913</v>
      </c>
      <c r="Y112" t="s">
        <v>914</v>
      </c>
      <c r="Z112" t="s">
        <v>915</v>
      </c>
    </row>
    <row r="113">
      <c r="A113" t="s">
        <v>904</v>
      </c>
      <c r="B113" t="s">
        <v>27</v>
      </c>
      <c r="C113" t="s">
        <v>28</v>
      </c>
      <c r="D113" t="s">
        <v>29</v>
      </c>
      <c r="E113">
        <v>9461</v>
      </c>
      <c r="F113">
        <v>74275</v>
      </c>
      <c r="G113">
        <v>36461</v>
      </c>
      <c r="H113">
        <v>27000</v>
      </c>
      <c r="I113">
        <v>52504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75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37</v>
      </c>
      <c r="U113" t="s">
        <v>920</v>
      </c>
      <c r="V113" t="s">
        <v>37</v>
      </c>
      <c r="W113" t="s">
        <v>921</v>
      </c>
      <c r="X113" t="s">
        <v>37</v>
      </c>
      <c r="Y113" t="s">
        <v>922</v>
      </c>
      <c r="Z113" t="s">
        <v>37</v>
      </c>
    </row>
    <row r="114">
      <c r="A114" t="s">
        <v>904</v>
      </c>
      <c r="B114" t="s">
        <v>55</v>
      </c>
      <c r="C114" t="s">
        <v>32</v>
      </c>
      <c r="D114" t="s">
        <v>42</v>
      </c>
      <c r="E114">
        <v>7219</v>
      </c>
      <c r="F114">
        <v>55721</v>
      </c>
      <c r="G114">
        <v>37849</v>
      </c>
      <c r="H114">
        <v>30630</v>
      </c>
      <c r="I114">
        <v>54503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37</v>
      </c>
      <c r="T114" t="s">
        <v>926</v>
      </c>
      <c r="U114" t="s">
        <v>927</v>
      </c>
      <c r="V114" t="s">
        <v>928</v>
      </c>
      <c r="W114" t="s">
        <v>929</v>
      </c>
      <c r="X114" t="s">
        <v>930</v>
      </c>
      <c r="Y114" t="s">
        <v>931</v>
      </c>
      <c r="Z114" t="s">
        <v>932</v>
      </c>
    </row>
    <row r="115">
      <c r="A115" t="s">
        <v>904</v>
      </c>
      <c r="B115" t="s">
        <v>67</v>
      </c>
      <c r="C115" t="s">
        <v>28</v>
      </c>
      <c r="D115" t="s">
        <v>29</v>
      </c>
      <c r="E115">
        <v>5295</v>
      </c>
      <c r="F115">
        <v>55721</v>
      </c>
      <c r="G115">
        <v>29849</v>
      </c>
      <c r="H115">
        <v>24554</v>
      </c>
      <c r="I115">
        <v>42983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75</v>
      </c>
      <c r="N115" t="s">
        <v>32</v>
      </c>
      <c r="O115" t="s">
        <v>933</v>
      </c>
      <c r="P115" t="s">
        <v>934</v>
      </c>
      <c r="Q115" t="s">
        <v>32</v>
      </c>
      <c r="R115" t="s">
        <v>935</v>
      </c>
      <c r="S115" t="s">
        <v>936</v>
      </c>
      <c r="T115" t="s">
        <v>37</v>
      </c>
      <c r="U115" t="s">
        <v>937</v>
      </c>
      <c r="V115" t="s">
        <v>37</v>
      </c>
      <c r="W115" t="s">
        <v>938</v>
      </c>
      <c r="X115" t="s">
        <v>37</v>
      </c>
      <c r="Y115" t="s">
        <v>939</v>
      </c>
      <c r="Z115" t="s">
        <v>37</v>
      </c>
    </row>
    <row r="116">
      <c r="A116" t="s">
        <v>940</v>
      </c>
      <c r="B116" t="s">
        <v>27</v>
      </c>
      <c r="C116" t="s">
        <v>28</v>
      </c>
      <c r="D116" t="s">
        <v>29</v>
      </c>
      <c r="E116">
        <v>49735</v>
      </c>
      <c r="F116">
        <v>104940</v>
      </c>
      <c r="G116">
        <v>66821</v>
      </c>
      <c r="H116">
        <v>17086</v>
      </c>
      <c r="I116">
        <v>96222</v>
      </c>
      <c r="J116" t="str">
        <f>HYPERLINK("https://www.kinguin.net/es/category/440609/invincible-vs-deluxe-edition-pc-steam-account","Abrir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944</v>
      </c>
      <c r="T116" t="s">
        <v>37</v>
      </c>
      <c r="U116" t="s">
        <v>945</v>
      </c>
      <c r="V116" t="s">
        <v>37</v>
      </c>
      <c r="W116" t="s">
        <v>946</v>
      </c>
      <c r="X116" t="s">
        <v>37</v>
      </c>
      <c r="Y116" t="s">
        <v>947</v>
      </c>
      <c r="Z116" t="s">
        <v>37</v>
      </c>
    </row>
    <row r="117">
      <c r="A117" t="s">
        <v>940</v>
      </c>
      <c r="B117" t="s">
        <v>67</v>
      </c>
      <c r="C117" t="s">
        <v>28</v>
      </c>
      <c r="D117" t="s">
        <v>29</v>
      </c>
      <c r="E117">
        <v>21847</v>
      </c>
      <c r="F117">
        <v>69651</v>
      </c>
      <c r="G117">
        <v>41903</v>
      </c>
      <c r="H117">
        <v>20056</v>
      </c>
      <c r="I117">
        <v>60340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56</v>
      </c>
      <c r="M117" t="s">
        <v>75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951</v>
      </c>
      <c r="T117" t="s">
        <v>37</v>
      </c>
      <c r="U117" t="s">
        <v>952</v>
      </c>
      <c r="V117" t="s">
        <v>37</v>
      </c>
      <c r="W117" t="s">
        <v>953</v>
      </c>
      <c r="X117" t="s">
        <v>37</v>
      </c>
      <c r="Y117" t="s">
        <v>954</v>
      </c>
      <c r="Z117" t="s">
        <v>37</v>
      </c>
    </row>
    <row r="118">
      <c r="A118" t="s">
        <v>955</v>
      </c>
      <c r="B118" t="s">
        <v>55</v>
      </c>
      <c r="C118" t="s">
        <v>32</v>
      </c>
      <c r="D118" t="s">
        <v>42</v>
      </c>
      <c r="E118">
        <v>69260</v>
      </c>
      <c r="F118">
        <v>74275</v>
      </c>
      <c r="G118">
        <v>86486</v>
      </c>
      <c r="H118">
        <v>17226</v>
      </c>
      <c r="I118">
        <v>124540</v>
      </c>
      <c r="J118" t="str">
        <f>HYPERLINK("https://driffle.com/es/it-takes-two-steam-altergift-p53426","Abrir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56</v>
      </c>
      <c r="M118" t="s">
        <v>75</v>
      </c>
      <c r="N118" t="s">
        <v>32</v>
      </c>
      <c r="O118" t="s">
        <v>956</v>
      </c>
      <c r="P118" t="s">
        <v>957</v>
      </c>
      <c r="Q118" t="s">
        <v>32</v>
      </c>
      <c r="R118" t="s">
        <v>958</v>
      </c>
      <c r="S118" t="s">
        <v>37</v>
      </c>
      <c r="T118" t="s">
        <v>959</v>
      </c>
      <c r="U118" t="s">
        <v>960</v>
      </c>
      <c r="V118" t="s">
        <v>37</v>
      </c>
      <c r="W118" t="s">
        <v>961</v>
      </c>
      <c r="X118" t="s">
        <v>962</v>
      </c>
      <c r="Y118" t="s">
        <v>963</v>
      </c>
      <c r="Z118" t="s">
        <v>37</v>
      </c>
    </row>
    <row r="119">
      <c r="A119" t="s">
        <v>955</v>
      </c>
      <c r="B119" t="s">
        <v>67</v>
      </c>
      <c r="C119" t="s">
        <v>28</v>
      </c>
      <c r="D119" t="s">
        <v>29</v>
      </c>
      <c r="E119">
        <v>10097</v>
      </c>
      <c r="F119">
        <v>74275</v>
      </c>
      <c r="G119">
        <v>37097</v>
      </c>
      <c r="H119">
        <v>27000</v>
      </c>
      <c r="I119">
        <v>53420</v>
      </c>
      <c r="J119" t="str">
        <f>HYPERLINK("https://driffle.com/es/it-takes-two-global-pc-steam-account-p9945671","Abrir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56</v>
      </c>
      <c r="M119" t="s">
        <v>75</v>
      </c>
      <c r="N119" t="s">
        <v>32</v>
      </c>
      <c r="O119" t="s">
        <v>964</v>
      </c>
      <c r="P119" t="s">
        <v>965</v>
      </c>
      <c r="Q119" t="s">
        <v>32</v>
      </c>
      <c r="R119" t="s">
        <v>966</v>
      </c>
      <c r="S119" t="s">
        <v>967</v>
      </c>
      <c r="T119" t="s">
        <v>37</v>
      </c>
      <c r="U119" t="s">
        <v>968</v>
      </c>
      <c r="V119" t="s">
        <v>37</v>
      </c>
      <c r="W119" t="s">
        <v>969</v>
      </c>
      <c r="X119" t="s">
        <v>37</v>
      </c>
      <c r="Y119" t="s">
        <v>970</v>
      </c>
      <c r="Z119" t="s">
        <v>37</v>
      </c>
    </row>
    <row r="120">
      <c r="A120" t="s">
        <v>971</v>
      </c>
      <c r="B120" t="s">
        <v>408</v>
      </c>
      <c r="C120" t="s">
        <v>32</v>
      </c>
      <c r="D120" t="s">
        <v>42</v>
      </c>
      <c r="E120">
        <v>79961</v>
      </c>
      <c r="F120">
        <v>148569</v>
      </c>
      <c r="G120">
        <v>110872</v>
      </c>
      <c r="H120">
        <v>30911</v>
      </c>
      <c r="I120">
        <v>159656</v>
      </c>
      <c r="J120" t="str">
        <f>HYPERLINK("https://www.loaded.com/es_es/lego-batman-legacy-of-the-dark-knight-deluxe-edition-pc-latam-steam","Abrir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293</v>
      </c>
      <c r="M120" t="s">
        <v>44</v>
      </c>
      <c r="N120" t="s">
        <v>32</v>
      </c>
      <c r="O120" t="s">
        <v>972</v>
      </c>
      <c r="P120" t="s">
        <v>973</v>
      </c>
      <c r="Q120" t="s">
        <v>32</v>
      </c>
      <c r="R120" t="s">
        <v>974</v>
      </c>
      <c r="S120" t="s">
        <v>37</v>
      </c>
      <c r="T120" t="s">
        <v>975</v>
      </c>
      <c r="U120" t="s">
        <v>976</v>
      </c>
      <c r="V120" t="s">
        <v>977</v>
      </c>
      <c r="W120" t="s">
        <v>978</v>
      </c>
      <c r="X120" t="s">
        <v>979</v>
      </c>
      <c r="Y120" t="s">
        <v>980</v>
      </c>
      <c r="Z120" t="s">
        <v>981</v>
      </c>
    </row>
    <row r="121">
      <c r="A121" t="s">
        <v>971</v>
      </c>
      <c r="B121" t="s">
        <v>27</v>
      </c>
      <c r="C121" t="s">
        <v>28</v>
      </c>
      <c r="D121" t="s">
        <v>29</v>
      </c>
      <c r="E121">
        <v>81170</v>
      </c>
      <c r="F121">
        <v>148569</v>
      </c>
      <c r="G121">
        <v>96410</v>
      </c>
      <c r="H121">
        <v>15240</v>
      </c>
      <c r="I121">
        <v>138830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982</v>
      </c>
      <c r="P121" t="s">
        <v>983</v>
      </c>
      <c r="Q121" t="s">
        <v>32</v>
      </c>
      <c r="R121" t="s">
        <v>984</v>
      </c>
      <c r="S121" t="s">
        <v>985</v>
      </c>
      <c r="T121" t="s">
        <v>37</v>
      </c>
      <c r="U121" t="s">
        <v>37</v>
      </c>
      <c r="V121" t="s">
        <v>37</v>
      </c>
      <c r="W121" t="s">
        <v>986</v>
      </c>
      <c r="X121" t="s">
        <v>37</v>
      </c>
      <c r="Y121" t="s">
        <v>37</v>
      </c>
      <c r="Z121" t="s">
        <v>37</v>
      </c>
    </row>
    <row r="122">
      <c r="A122" t="s">
        <v>971</v>
      </c>
      <c r="B122" t="s">
        <v>55</v>
      </c>
      <c r="C122" t="s">
        <v>32</v>
      </c>
      <c r="D122" t="s">
        <v>42</v>
      </c>
      <c r="E122">
        <v>60563</v>
      </c>
      <c r="F122">
        <v>111422</v>
      </c>
      <c r="G122">
        <v>80365</v>
      </c>
      <c r="H122">
        <v>19802</v>
      </c>
      <c r="I122">
        <v>115726</v>
      </c>
      <c r="J122" t="str">
        <f>HYPERLINK("https://www.loaded.com/es_es/lego-batman-legacy-of-the-dark-knight-pc-latam-steam","Abrir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293</v>
      </c>
      <c r="M122" t="s">
        <v>44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37</v>
      </c>
      <c r="T122" t="s">
        <v>990</v>
      </c>
      <c r="U122" t="s">
        <v>991</v>
      </c>
      <c r="V122" t="s">
        <v>195</v>
      </c>
      <c r="W122" t="s">
        <v>992</v>
      </c>
      <c r="X122" t="s">
        <v>993</v>
      </c>
      <c r="Y122" t="s">
        <v>994</v>
      </c>
      <c r="Z122" t="s">
        <v>995</v>
      </c>
    </row>
    <row r="123">
      <c r="A123" t="s">
        <v>971</v>
      </c>
      <c r="B123" t="s">
        <v>67</v>
      </c>
      <c r="C123" t="s">
        <v>28</v>
      </c>
      <c r="D123" t="s">
        <v>29</v>
      </c>
      <c r="E123">
        <v>45617</v>
      </c>
      <c r="F123">
        <v>111422</v>
      </c>
      <c r="G123">
        <v>67701</v>
      </c>
      <c r="H123">
        <v>22084</v>
      </c>
      <c r="I123">
        <v>97489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996</v>
      </c>
      <c r="P123" t="s">
        <v>997</v>
      </c>
      <c r="Q123" t="s">
        <v>32</v>
      </c>
      <c r="R123" t="s">
        <v>998</v>
      </c>
      <c r="S123" t="s">
        <v>999</v>
      </c>
      <c r="T123" t="s">
        <v>37</v>
      </c>
      <c r="U123" t="s">
        <v>37</v>
      </c>
      <c r="V123" t="s">
        <v>37</v>
      </c>
      <c r="W123" t="s">
        <v>1000</v>
      </c>
      <c r="X123" t="s">
        <v>37</v>
      </c>
      <c r="Y123" t="s">
        <v>37</v>
      </c>
      <c r="Z123" t="s">
        <v>37</v>
      </c>
    </row>
    <row r="124">
      <c r="A124" t="s">
        <v>1001</v>
      </c>
      <c r="B124" t="s">
        <v>1002</v>
      </c>
      <c r="C124" t="s">
        <v>32</v>
      </c>
      <c r="D124" t="s">
        <v>42</v>
      </c>
      <c r="E124">
        <v>172102</v>
      </c>
      <c r="F124">
        <v>185716</v>
      </c>
      <c r="G124">
        <v>187102</v>
      </c>
      <c r="H124">
        <v>15000</v>
      </c>
      <c r="I124">
        <v>269427</v>
      </c>
      <c r="J124" t="str">
        <f>HYPERLINK("https://www.kinguin.net/es/category/509291/marvel-tokon-fighting-souls-ultimate-edition-pre-order-pc-steam-cd-key","Abrir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1006</v>
      </c>
      <c r="T124" t="s">
        <v>37</v>
      </c>
      <c r="U124" t="s">
        <v>37</v>
      </c>
      <c r="V124" t="s">
        <v>37</v>
      </c>
      <c r="W124" t="s">
        <v>1007</v>
      </c>
      <c r="X124" t="s">
        <v>37</v>
      </c>
      <c r="Y124" t="s">
        <v>37</v>
      </c>
      <c r="Z124" t="s">
        <v>37</v>
      </c>
    </row>
    <row r="125">
      <c r="A125" t="s">
        <v>1008</v>
      </c>
      <c r="B125" t="s">
        <v>408</v>
      </c>
      <c r="C125" t="s">
        <v>32</v>
      </c>
      <c r="D125" t="s">
        <v>42</v>
      </c>
      <c r="E125">
        <v>11591</v>
      </c>
      <c r="F125">
        <v>83581</v>
      </c>
      <c r="G125">
        <v>38591</v>
      </c>
      <c r="H125">
        <v>27000</v>
      </c>
      <c r="I125">
        <v>55571</v>
      </c>
      <c r="J125" t="str">
        <f>HYPERLINK("https://www.eneba.com/latam/steam-marvel-vs-capcom-infinite-deluxe-edition-pc-steam-key-latam","Abrir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43</v>
      </c>
      <c r="M125" t="s">
        <v>44</v>
      </c>
      <c r="N125" t="s">
        <v>32</v>
      </c>
      <c r="O125" t="s">
        <v>1009</v>
      </c>
      <c r="P125" t="s">
        <v>1010</v>
      </c>
      <c r="Q125" t="s">
        <v>32</v>
      </c>
      <c r="R125" t="s">
        <v>1011</v>
      </c>
      <c r="S125" t="s">
        <v>37</v>
      </c>
      <c r="T125" t="s">
        <v>1012</v>
      </c>
      <c r="U125" t="s">
        <v>1013</v>
      </c>
      <c r="V125" t="s">
        <v>1014</v>
      </c>
      <c r="W125" t="s">
        <v>1015</v>
      </c>
      <c r="X125" t="s">
        <v>1016</v>
      </c>
      <c r="Y125" t="s">
        <v>1017</v>
      </c>
      <c r="Z125" t="s">
        <v>1018</v>
      </c>
    </row>
    <row r="126">
      <c r="A126" t="s">
        <v>1008</v>
      </c>
      <c r="B126" t="s">
        <v>55</v>
      </c>
      <c r="C126" t="s">
        <v>32</v>
      </c>
      <c r="D126" t="s">
        <v>42</v>
      </c>
      <c r="E126">
        <v>6646</v>
      </c>
      <c r="F126">
        <v>53863</v>
      </c>
      <c r="G126">
        <v>35000</v>
      </c>
      <c r="H126">
        <v>28354</v>
      </c>
      <c r="I126">
        <v>50400</v>
      </c>
      <c r="J126" t="str">
        <f>HYPERLINK("https://www.eneba.com/latam/steam-marvel-vs-capcom-infinite-steam-key-latam","Abrir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37</v>
      </c>
      <c r="T126" t="s">
        <v>1022</v>
      </c>
      <c r="U126" t="s">
        <v>1023</v>
      </c>
      <c r="V126" t="s">
        <v>37</v>
      </c>
      <c r="W126" t="s">
        <v>1024</v>
      </c>
      <c r="X126" t="s">
        <v>1025</v>
      </c>
      <c r="Y126" t="s">
        <v>1026</v>
      </c>
      <c r="Z126" t="s">
        <v>37</v>
      </c>
    </row>
    <row r="127">
      <c r="A127" t="s">
        <v>1027</v>
      </c>
      <c r="B127" t="s">
        <v>408</v>
      </c>
      <c r="C127" t="s">
        <v>32</v>
      </c>
      <c r="D127" t="s">
        <v>42</v>
      </c>
      <c r="E127">
        <v>54696</v>
      </c>
      <c r="F127">
        <v>92849</v>
      </c>
      <c r="G127">
        <v>69696</v>
      </c>
      <c r="H127">
        <v>15000</v>
      </c>
      <c r="I127">
        <v>100362</v>
      </c>
      <c r="J127" t="str">
        <f>HYPERLINK("https://driffle.com/es/marvels-spider-man-2-deluxe-edition-latam-pc-steam-digital-key-p9930164","Abrir compra")</f>
        <v>Abrir compra</v>
      </c>
      <c r="K127" t="str">
        <f>HYPERLINK("https://store.steampowered.com/app/2651280/Marvels_SpiderMan_2/","Abrir Steam")</f>
        <v>Abrir Steam</v>
      </c>
      <c r="L127" t="s">
        <v>56</v>
      </c>
      <c r="M127" t="s">
        <v>44</v>
      </c>
      <c r="N127" t="s">
        <v>32</v>
      </c>
      <c r="O127" t="s">
        <v>1028</v>
      </c>
      <c r="P127" t="s">
        <v>1029</v>
      </c>
      <c r="Q127" t="s">
        <v>32</v>
      </c>
      <c r="R127" t="s">
        <v>1030</v>
      </c>
      <c r="S127" t="s">
        <v>37</v>
      </c>
      <c r="T127" t="s">
        <v>37</v>
      </c>
      <c r="U127" t="s">
        <v>1031</v>
      </c>
      <c r="V127" t="s">
        <v>37</v>
      </c>
      <c r="W127" t="s">
        <v>1032</v>
      </c>
      <c r="X127" t="s">
        <v>1033</v>
      </c>
      <c r="Y127" t="s">
        <v>1034</v>
      </c>
      <c r="Z127" t="s">
        <v>37</v>
      </c>
    </row>
    <row r="128">
      <c r="A128" t="s">
        <v>1027</v>
      </c>
      <c r="B128" t="s">
        <v>55</v>
      </c>
      <c r="C128" t="s">
        <v>32</v>
      </c>
      <c r="D128" t="s">
        <v>42</v>
      </c>
      <c r="E128">
        <v>50816</v>
      </c>
      <c r="F128">
        <v>92849</v>
      </c>
      <c r="G128">
        <v>69637</v>
      </c>
      <c r="H128">
        <v>18821</v>
      </c>
      <c r="I128">
        <v>100277</v>
      </c>
      <c r="J128" t="str">
        <f>HYPERLINK("https://driffle.com/es/marvels-spider-man-2-latam-pc-steam-digital-key-p9930167","Abrir compra")</f>
        <v>Abrir compra</v>
      </c>
      <c r="K128" t="str">
        <f>HYPERLINK("https://store.steampowered.com/app/2651280/Marvels_SpiderMan_2/","Abrir Steam")</f>
        <v>Abrir Steam</v>
      </c>
      <c r="L128" t="s">
        <v>56</v>
      </c>
      <c r="M128" t="s">
        <v>44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37</v>
      </c>
      <c r="T128" t="s">
        <v>1038</v>
      </c>
      <c r="U128" t="s">
        <v>1039</v>
      </c>
      <c r="V128" t="s">
        <v>37</v>
      </c>
      <c r="W128" t="s">
        <v>1040</v>
      </c>
      <c r="X128" t="s">
        <v>1041</v>
      </c>
      <c r="Y128" t="s">
        <v>1042</v>
      </c>
      <c r="Z128" t="s">
        <v>37</v>
      </c>
    </row>
    <row r="129">
      <c r="A129" t="s">
        <v>1027</v>
      </c>
      <c r="B129" t="s">
        <v>67</v>
      </c>
      <c r="C129" t="s">
        <v>28</v>
      </c>
      <c r="D129" t="s">
        <v>29</v>
      </c>
      <c r="E129">
        <v>74873</v>
      </c>
      <c r="F129">
        <v>92849</v>
      </c>
      <c r="G129">
        <v>89873</v>
      </c>
      <c r="H129">
        <v>15000</v>
      </c>
      <c r="I129">
        <v>129417</v>
      </c>
      <c r="J129" t="str">
        <f>HYPERLINK("https://driffle.com/es/marvels-spider-man-2-global-pc-steam-account-p9979525","Abrir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1043</v>
      </c>
      <c r="P129" t="s">
        <v>1044</v>
      </c>
      <c r="Q129" t="s">
        <v>32</v>
      </c>
      <c r="R129" t="s">
        <v>1045</v>
      </c>
      <c r="S129" t="s">
        <v>37</v>
      </c>
      <c r="T129" t="s">
        <v>37</v>
      </c>
      <c r="U129" t="s">
        <v>1046</v>
      </c>
      <c r="V129" t="s">
        <v>37</v>
      </c>
      <c r="W129" t="s">
        <v>1047</v>
      </c>
      <c r="X129" t="s">
        <v>37</v>
      </c>
      <c r="Y129" t="s">
        <v>1048</v>
      </c>
      <c r="Z129" t="s">
        <v>37</v>
      </c>
    </row>
    <row r="130">
      <c r="A130" t="s">
        <v>1049</v>
      </c>
      <c r="B130" t="s">
        <v>55</v>
      </c>
      <c r="C130" t="s">
        <v>32</v>
      </c>
      <c r="D130" t="s">
        <v>42</v>
      </c>
      <c r="E130">
        <v>36697</v>
      </c>
      <c r="F130">
        <v>111422</v>
      </c>
      <c r="G130">
        <v>63697</v>
      </c>
      <c r="H130">
        <v>27000</v>
      </c>
      <c r="I130">
        <v>91724</v>
      </c>
      <c r="J130" t="str">
        <f>HYPERLINK("https://www.eneba.com/latam/steam-marvels-spider-man-remastered-pc-steam-key-latam","Abrir compra")</f>
        <v>Abrir compra</v>
      </c>
      <c r="K130" t="str">
        <f>HYPERLINK("https://store.steampowered.com/app/1817070/Marvels_SpiderMan_Remastered/","Abrir Steam")</f>
        <v>Abrir Steam</v>
      </c>
      <c r="L130" t="s">
        <v>43</v>
      </c>
      <c r="M130" t="s">
        <v>44</v>
      </c>
      <c r="N130" t="s">
        <v>32</v>
      </c>
      <c r="O130" t="s">
        <v>1050</v>
      </c>
      <c r="P130" t="s">
        <v>1051</v>
      </c>
      <c r="Q130" t="s">
        <v>32</v>
      </c>
      <c r="R130" t="s">
        <v>1052</v>
      </c>
      <c r="S130" t="s">
        <v>37</v>
      </c>
      <c r="T130" t="s">
        <v>1053</v>
      </c>
      <c r="U130" t="s">
        <v>37</v>
      </c>
      <c r="V130" t="s">
        <v>37</v>
      </c>
      <c r="W130" t="s">
        <v>1054</v>
      </c>
      <c r="X130" t="s">
        <v>1055</v>
      </c>
      <c r="Y130" t="s">
        <v>1056</v>
      </c>
      <c r="Z130" t="s">
        <v>1057</v>
      </c>
    </row>
    <row r="131">
      <c r="A131" t="s">
        <v>1058</v>
      </c>
      <c r="B131" t="s">
        <v>55</v>
      </c>
      <c r="C131" t="s">
        <v>32</v>
      </c>
      <c r="D131" t="s">
        <v>42</v>
      </c>
      <c r="E131">
        <v>25170</v>
      </c>
      <c r="F131">
        <v>92849</v>
      </c>
      <c r="G131">
        <v>52170</v>
      </c>
      <c r="H131">
        <v>27000</v>
      </c>
      <c r="I131">
        <v>75125</v>
      </c>
      <c r="J131" t="str">
        <f>HYPERLINK("https://www.eneba.com/latam/steam-marvels-spider-man-miles-morales-pc-steam-key-latam","Abrir compra")</f>
        <v>Abrir compra</v>
      </c>
      <c r="K131" t="str">
        <f>HYPERLINK("https://store.steampowered.com/app/1817190/Marvels_SpiderMan_Miles_Morales/","Abrir Steam")</f>
        <v>Abrir Steam</v>
      </c>
      <c r="L131" t="s">
        <v>43</v>
      </c>
      <c r="M131" t="s">
        <v>44</v>
      </c>
      <c r="N131" t="s">
        <v>32</v>
      </c>
      <c r="O131" t="s">
        <v>1059</v>
      </c>
      <c r="P131" t="s">
        <v>1060</v>
      </c>
      <c r="Q131" t="s">
        <v>32</v>
      </c>
      <c r="R131" t="s">
        <v>1061</v>
      </c>
      <c r="S131" t="s">
        <v>37</v>
      </c>
      <c r="T131" t="s">
        <v>1062</v>
      </c>
      <c r="U131" t="s">
        <v>1063</v>
      </c>
      <c r="V131" t="s">
        <v>37</v>
      </c>
      <c r="W131" t="s">
        <v>1064</v>
      </c>
      <c r="X131" t="s">
        <v>1065</v>
      </c>
      <c r="Y131" t="s">
        <v>1066</v>
      </c>
      <c r="Z131" t="s">
        <v>1067</v>
      </c>
    </row>
    <row r="132">
      <c r="A132" t="s">
        <v>1068</v>
      </c>
      <c r="B132" t="s">
        <v>1069</v>
      </c>
      <c r="C132" t="s">
        <v>28</v>
      </c>
      <c r="D132" t="s">
        <v>29</v>
      </c>
      <c r="E132">
        <v>257564</v>
      </c>
      <c r="F132">
        <v>371451</v>
      </c>
      <c r="G132">
        <v>272564</v>
      </c>
      <c r="H132">
        <v>15000</v>
      </c>
      <c r="I132">
        <v>392492</v>
      </c>
      <c r="J132" t="str">
        <f>HYPERLINK("https://www.kinguin.net/es/category/274088/microsoft-flight-simulator-2024-aviator-edition-pc-steam-account","Abrir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</v>
      </c>
      <c r="M132" t="s">
        <v>75</v>
      </c>
      <c r="N132" t="s">
        <v>32</v>
      </c>
      <c r="O132" t="s">
        <v>1070</v>
      </c>
      <c r="P132" t="s">
        <v>1071</v>
      </c>
      <c r="Q132" t="s">
        <v>32</v>
      </c>
      <c r="R132" t="s">
        <v>1072</v>
      </c>
      <c r="S132" t="s">
        <v>1073</v>
      </c>
      <c r="T132" t="s">
        <v>37</v>
      </c>
      <c r="U132" t="s">
        <v>37</v>
      </c>
      <c r="V132" t="s">
        <v>37</v>
      </c>
      <c r="W132" t="s">
        <v>1074</v>
      </c>
      <c r="X132" t="s">
        <v>37</v>
      </c>
      <c r="Y132" t="s">
        <v>37</v>
      </c>
      <c r="Z132" t="s">
        <v>37</v>
      </c>
    </row>
    <row r="133">
      <c r="A133" t="s">
        <v>1068</v>
      </c>
      <c r="B133" t="s">
        <v>27</v>
      </c>
      <c r="C133" t="s">
        <v>28</v>
      </c>
      <c r="D133" t="s">
        <v>29</v>
      </c>
      <c r="E133">
        <v>141287</v>
      </c>
      <c r="F133">
        <v>185716</v>
      </c>
      <c r="G133">
        <v>156287</v>
      </c>
      <c r="H133">
        <v>15000</v>
      </c>
      <c r="I133">
        <v>225053</v>
      </c>
      <c r="J133" t="str">
        <f>HYPERLINK("https://www.kinguin.net/es/category/274086/microsoft-flight-simulator-2024-deluxe-edition-pc-steam-account","Abrir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75</v>
      </c>
      <c r="N133" t="s">
        <v>32</v>
      </c>
      <c r="O133" t="s">
        <v>1075</v>
      </c>
      <c r="P133" t="s">
        <v>1076</v>
      </c>
      <c r="Q133" t="s">
        <v>32</v>
      </c>
      <c r="R133" t="s">
        <v>1077</v>
      </c>
      <c r="S133" t="s">
        <v>1078</v>
      </c>
      <c r="T133" t="s">
        <v>37</v>
      </c>
      <c r="U133" t="s">
        <v>1079</v>
      </c>
      <c r="V133" t="s">
        <v>37</v>
      </c>
      <c r="W133" t="s">
        <v>1080</v>
      </c>
      <c r="X133" t="s">
        <v>37</v>
      </c>
      <c r="Y133" t="s">
        <v>1081</v>
      </c>
      <c r="Z133" t="s">
        <v>37</v>
      </c>
    </row>
    <row r="134">
      <c r="A134" t="s">
        <v>1068</v>
      </c>
      <c r="B134" t="s">
        <v>892</v>
      </c>
      <c r="C134" t="s">
        <v>32</v>
      </c>
      <c r="D134" t="s">
        <v>42</v>
      </c>
      <c r="E134">
        <v>101744</v>
      </c>
      <c r="F134">
        <v>129996</v>
      </c>
      <c r="G134">
        <v>116744</v>
      </c>
      <c r="H134">
        <v>15000</v>
      </c>
      <c r="I134">
        <v>168111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293</v>
      </c>
      <c r="M134" t="s">
        <v>75</v>
      </c>
      <c r="N134" t="s">
        <v>32</v>
      </c>
      <c r="O134" t="s">
        <v>1082</v>
      </c>
      <c r="P134" t="s">
        <v>1083</v>
      </c>
      <c r="Q134" t="s">
        <v>32</v>
      </c>
      <c r="R134" t="s">
        <v>1084</v>
      </c>
      <c r="S134" t="s">
        <v>37</v>
      </c>
      <c r="T134" t="s">
        <v>37</v>
      </c>
      <c r="U134" t="s">
        <v>37</v>
      </c>
      <c r="V134" t="s">
        <v>1085</v>
      </c>
      <c r="W134" t="s">
        <v>37</v>
      </c>
      <c r="X134" t="s">
        <v>37</v>
      </c>
      <c r="Y134" t="s">
        <v>37</v>
      </c>
      <c r="Z134" t="s">
        <v>1086</v>
      </c>
    </row>
    <row r="135">
      <c r="A135" t="s">
        <v>1068</v>
      </c>
      <c r="B135" t="s">
        <v>67</v>
      </c>
      <c r="C135" t="s">
        <v>28</v>
      </c>
      <c r="D135" t="s">
        <v>29</v>
      </c>
      <c r="E135">
        <v>52565</v>
      </c>
      <c r="F135">
        <v>129996</v>
      </c>
      <c r="G135">
        <v>77724</v>
      </c>
      <c r="H135">
        <v>25159</v>
      </c>
      <c r="I135">
        <v>111923</v>
      </c>
      <c r="J135" t="str">
        <f>HYPERLINK("https://www.kinguin.net/es/category/274084/microsoft-flight-simulator-2024-pc-steam-account","Abrir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75</v>
      </c>
      <c r="N135" t="s">
        <v>32</v>
      </c>
      <c r="O135" t="s">
        <v>1087</v>
      </c>
      <c r="P135" t="s">
        <v>1088</v>
      </c>
      <c r="Q135" t="s">
        <v>32</v>
      </c>
      <c r="R135" t="s">
        <v>1089</v>
      </c>
      <c r="S135" t="s">
        <v>581</v>
      </c>
      <c r="T135" t="s">
        <v>37</v>
      </c>
      <c r="U135" t="s">
        <v>1090</v>
      </c>
      <c r="V135" t="s">
        <v>37</v>
      </c>
      <c r="W135" t="s">
        <v>1091</v>
      </c>
      <c r="X135" t="s">
        <v>37</v>
      </c>
      <c r="Y135" t="s">
        <v>1092</v>
      </c>
      <c r="Z135" t="s">
        <v>37</v>
      </c>
    </row>
    <row r="136">
      <c r="A136" t="s">
        <v>1093</v>
      </c>
      <c r="B136" t="s">
        <v>408</v>
      </c>
      <c r="C136" t="s">
        <v>32</v>
      </c>
      <c r="D136" t="s">
        <v>42</v>
      </c>
      <c r="E136">
        <v>24438</v>
      </c>
      <c r="F136">
        <v>53863</v>
      </c>
      <c r="G136">
        <v>40013</v>
      </c>
      <c r="H136">
        <v>15575</v>
      </c>
      <c r="I136">
        <v>57619</v>
      </c>
      <c r="J136" t="str">
        <f>HYPERLINK("https://www.kinguin.net/es/category/320759/monster-hunter-wilds-deluxe-edition-latam-pc-steam-cd-key","Abrir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30</v>
      </c>
      <c r="M136" t="s">
        <v>44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1097</v>
      </c>
      <c r="T136" t="s">
        <v>1098</v>
      </c>
      <c r="U136" t="s">
        <v>37</v>
      </c>
      <c r="V136" t="s">
        <v>37</v>
      </c>
      <c r="W136" t="s">
        <v>1099</v>
      </c>
      <c r="X136" t="s">
        <v>1100</v>
      </c>
      <c r="Y136" t="s">
        <v>1101</v>
      </c>
      <c r="Z136" t="s">
        <v>37</v>
      </c>
    </row>
    <row r="137">
      <c r="A137" t="s">
        <v>1093</v>
      </c>
      <c r="B137" t="s">
        <v>55</v>
      </c>
      <c r="C137" t="s">
        <v>32</v>
      </c>
      <c r="D137" t="s">
        <v>42</v>
      </c>
      <c r="E137">
        <v>42707</v>
      </c>
      <c r="F137">
        <v>53863</v>
      </c>
      <c r="G137">
        <v>77707</v>
      </c>
      <c r="H137">
        <v>35000</v>
      </c>
      <c r="I137">
        <v>111898</v>
      </c>
      <c r="J137" t="str">
        <f>HYPERLINK("https://www.eneba.com/latam/steam-monster-hunter-wilds-pc-steam-key-latam","Abrir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43</v>
      </c>
      <c r="M137" t="s">
        <v>44</v>
      </c>
      <c r="N137" t="s">
        <v>32</v>
      </c>
      <c r="O137" t="s">
        <v>1102</v>
      </c>
      <c r="P137" t="s">
        <v>1103</v>
      </c>
      <c r="Q137" t="s">
        <v>32</v>
      </c>
      <c r="R137" t="s">
        <v>1104</v>
      </c>
      <c r="S137" t="s">
        <v>1105</v>
      </c>
      <c r="T137" t="s">
        <v>1106</v>
      </c>
      <c r="U137" t="s">
        <v>37</v>
      </c>
      <c r="V137" t="s">
        <v>37</v>
      </c>
      <c r="W137" t="s">
        <v>1107</v>
      </c>
      <c r="X137" t="s">
        <v>1108</v>
      </c>
      <c r="Y137" t="s">
        <v>1109</v>
      </c>
      <c r="Z137" t="s">
        <v>37</v>
      </c>
    </row>
    <row r="138">
      <c r="A138" t="s">
        <v>1093</v>
      </c>
      <c r="B138" t="s">
        <v>1110</v>
      </c>
      <c r="C138" t="s">
        <v>32</v>
      </c>
      <c r="D138" t="s">
        <v>42</v>
      </c>
      <c r="E138">
        <v>61342</v>
      </c>
      <c r="F138">
        <v>53863</v>
      </c>
      <c r="G138">
        <v>76342</v>
      </c>
      <c r="H138">
        <v>15000</v>
      </c>
      <c r="I138">
        <v>109932</v>
      </c>
      <c r="J138" t="str">
        <f>HYPERLINK("https://www.eneba.com/latam/steam-monster-hunter-wilds-premium-deluxe-edition-pc-steam-key-latam","Abrir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1111</v>
      </c>
      <c r="P138" t="s">
        <v>1112</v>
      </c>
      <c r="Q138" t="s">
        <v>32</v>
      </c>
      <c r="R138" t="s">
        <v>1113</v>
      </c>
      <c r="S138" t="s">
        <v>37</v>
      </c>
      <c r="T138" t="s">
        <v>1114</v>
      </c>
      <c r="U138" t="s">
        <v>37</v>
      </c>
      <c r="V138" t="s">
        <v>37</v>
      </c>
      <c r="W138" t="s">
        <v>1115</v>
      </c>
      <c r="X138" t="s">
        <v>1116</v>
      </c>
      <c r="Y138" t="s">
        <v>37</v>
      </c>
      <c r="Z138" t="s">
        <v>37</v>
      </c>
    </row>
    <row r="139">
      <c r="A139" t="s">
        <v>1117</v>
      </c>
      <c r="B139" t="s">
        <v>1118</v>
      </c>
      <c r="C139" t="s">
        <v>32</v>
      </c>
      <c r="D139" t="s">
        <v>42</v>
      </c>
      <c r="E139">
        <v>21926</v>
      </c>
      <c r="F139">
        <v>111422</v>
      </c>
      <c r="G139">
        <v>56926</v>
      </c>
      <c r="H139">
        <v>35000</v>
      </c>
      <c r="I139">
        <v>81973</v>
      </c>
      <c r="J139" t="str">
        <f>HYPERLINK("https://www.eneba.com/latam/steam-mortal-kombat-1-definitive-edition-steam-key-pc-latam","Abrir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1119</v>
      </c>
      <c r="P139" t="s">
        <v>1120</v>
      </c>
      <c r="Q139" t="s">
        <v>32</v>
      </c>
      <c r="R139" t="s">
        <v>1121</v>
      </c>
      <c r="S139" t="s">
        <v>37</v>
      </c>
      <c r="T139" t="s">
        <v>774</v>
      </c>
      <c r="U139" t="s">
        <v>1122</v>
      </c>
      <c r="V139" t="s">
        <v>1123</v>
      </c>
      <c r="W139" t="s">
        <v>1124</v>
      </c>
      <c r="X139" t="s">
        <v>1125</v>
      </c>
      <c r="Y139" t="s">
        <v>1126</v>
      </c>
      <c r="Z139" t="s">
        <v>1127</v>
      </c>
    </row>
    <row r="140">
      <c r="A140" t="s">
        <v>1117</v>
      </c>
      <c r="B140" t="s">
        <v>1128</v>
      </c>
      <c r="C140" t="s">
        <v>28</v>
      </c>
      <c r="D140" t="s">
        <v>29</v>
      </c>
      <c r="E140">
        <v>41324</v>
      </c>
      <c r="F140">
        <v>111422</v>
      </c>
      <c r="G140">
        <v>65984</v>
      </c>
      <c r="H140">
        <v>24660</v>
      </c>
      <c r="I140">
        <v>95017</v>
      </c>
      <c r="J140" t="str">
        <f>HYPERLINK("https://www.kinguin.net/es/category/405683/mortal-kombat-1-definitive-edition-pc-steam-account","Abrir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1129</v>
      </c>
      <c r="P140" t="s">
        <v>1130</v>
      </c>
      <c r="Q140" t="s">
        <v>32</v>
      </c>
      <c r="R140" t="s">
        <v>1131</v>
      </c>
      <c r="S140" t="s">
        <v>1132</v>
      </c>
      <c r="T140" t="s">
        <v>37</v>
      </c>
      <c r="U140" t="s">
        <v>37</v>
      </c>
      <c r="V140" t="s">
        <v>37</v>
      </c>
      <c r="W140" t="s">
        <v>1133</v>
      </c>
      <c r="X140" t="s">
        <v>37</v>
      </c>
      <c r="Y140" t="s">
        <v>37</v>
      </c>
      <c r="Z140" t="s">
        <v>37</v>
      </c>
    </row>
    <row r="141">
      <c r="A141" t="s">
        <v>1117</v>
      </c>
      <c r="B141" t="s">
        <v>55</v>
      </c>
      <c r="C141" t="s">
        <v>32</v>
      </c>
      <c r="D141" t="s">
        <v>42</v>
      </c>
      <c r="E141">
        <v>12164</v>
      </c>
      <c r="F141">
        <v>74275</v>
      </c>
      <c r="G141">
        <v>47164</v>
      </c>
      <c r="H141">
        <v>35000</v>
      </c>
      <c r="I141">
        <v>67916</v>
      </c>
      <c r="J141" t="str">
        <f>HYPERLINK("https://www.eneba.com/latam/steam-mortal-kombat-1-pc-steam-key-latam","Abrir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1134</v>
      </c>
      <c r="P141" t="s">
        <v>1135</v>
      </c>
      <c r="Q141" t="s">
        <v>32</v>
      </c>
      <c r="R141" t="s">
        <v>1136</v>
      </c>
      <c r="S141" t="s">
        <v>1137</v>
      </c>
      <c r="T141" t="s">
        <v>1138</v>
      </c>
      <c r="U141" t="s">
        <v>1139</v>
      </c>
      <c r="V141" t="s">
        <v>37</v>
      </c>
      <c r="W141" t="s">
        <v>1140</v>
      </c>
      <c r="X141" t="s">
        <v>1141</v>
      </c>
      <c r="Y141" t="s">
        <v>1142</v>
      </c>
      <c r="Z141" t="s">
        <v>1143</v>
      </c>
    </row>
    <row r="142">
      <c r="A142" t="s">
        <v>1117</v>
      </c>
      <c r="B142" t="s">
        <v>67</v>
      </c>
      <c r="C142" t="s">
        <v>28</v>
      </c>
      <c r="D142" t="s">
        <v>29</v>
      </c>
      <c r="E142">
        <v>14962</v>
      </c>
      <c r="F142">
        <v>74275</v>
      </c>
      <c r="G142">
        <v>40952</v>
      </c>
      <c r="H142">
        <v>25990</v>
      </c>
      <c r="I142">
        <v>58971</v>
      </c>
      <c r="J142" t="str">
        <f>HYPERLINK("https://www.kinguin.net/es/category/185707/mortal-kombat-1-steam-account","Abrir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1144</v>
      </c>
      <c r="P142" t="s">
        <v>1145</v>
      </c>
      <c r="Q142" t="s">
        <v>32</v>
      </c>
      <c r="R142" t="s">
        <v>1146</v>
      </c>
      <c r="S142" t="s">
        <v>1147</v>
      </c>
      <c r="T142" t="s">
        <v>37</v>
      </c>
      <c r="U142" t="s">
        <v>37</v>
      </c>
      <c r="V142" t="s">
        <v>37</v>
      </c>
      <c r="W142" t="s">
        <v>1148</v>
      </c>
      <c r="X142" t="s">
        <v>37</v>
      </c>
      <c r="Y142" t="s">
        <v>37</v>
      </c>
      <c r="Z142" t="s">
        <v>37</v>
      </c>
    </row>
    <row r="143">
      <c r="A143" t="s">
        <v>1149</v>
      </c>
      <c r="B143" t="s">
        <v>55</v>
      </c>
      <c r="C143" t="s">
        <v>32</v>
      </c>
      <c r="D143" t="s">
        <v>42</v>
      </c>
      <c r="E143">
        <v>16075</v>
      </c>
      <c r="F143">
        <v>129996</v>
      </c>
      <c r="G143">
        <v>45764</v>
      </c>
      <c r="H143">
        <v>29689</v>
      </c>
      <c r="I143">
        <v>65900</v>
      </c>
      <c r="J143" t="str">
        <f>HYPERLINK("https://driffle.com/es/nba-2k26-global-pc-steam-digital-key-p9949948","Abrir compra")</f>
        <v>Abrir compra</v>
      </c>
      <c r="K143" t="str">
        <f>HYPERLINK("https://store.steampowered.com/app/3472040/NBA_2K26/","Abrir Steam")</f>
        <v>Abrir Steam</v>
      </c>
      <c r="L143" t="s">
        <v>56</v>
      </c>
      <c r="M143" t="s">
        <v>75</v>
      </c>
      <c r="N143" t="s">
        <v>32</v>
      </c>
      <c r="O143" t="s">
        <v>1150</v>
      </c>
      <c r="P143" t="s">
        <v>1151</v>
      </c>
      <c r="Q143" t="s">
        <v>32</v>
      </c>
      <c r="R143" t="s">
        <v>1152</v>
      </c>
      <c r="S143" t="s">
        <v>37</v>
      </c>
      <c r="T143" t="s">
        <v>1153</v>
      </c>
      <c r="U143" t="s">
        <v>1154</v>
      </c>
      <c r="V143" t="s">
        <v>232</v>
      </c>
      <c r="W143" t="s">
        <v>1155</v>
      </c>
      <c r="X143" t="s">
        <v>1156</v>
      </c>
      <c r="Y143" t="s">
        <v>1157</v>
      </c>
      <c r="Z143" t="s">
        <v>1158</v>
      </c>
    </row>
    <row r="144">
      <c r="A144" t="s">
        <v>1149</v>
      </c>
      <c r="B144" t="s">
        <v>67</v>
      </c>
      <c r="C144" t="s">
        <v>28</v>
      </c>
      <c r="D144" t="s">
        <v>29</v>
      </c>
      <c r="E144">
        <v>10764</v>
      </c>
      <c r="F144">
        <v>129996</v>
      </c>
      <c r="G144">
        <v>37764</v>
      </c>
      <c r="H144">
        <v>27000</v>
      </c>
      <c r="I144">
        <v>54380</v>
      </c>
      <c r="J144" t="str">
        <f>HYPERLINK("https://www.kinguin.net/es/category/371701/nba-2k26-standard-edition-pc-steam-account","Abrir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31</v>
      </c>
      <c r="N144" t="s">
        <v>32</v>
      </c>
      <c r="O144" t="s">
        <v>1159</v>
      </c>
      <c r="P144" t="s">
        <v>1160</v>
      </c>
      <c r="Q144" t="s">
        <v>32</v>
      </c>
      <c r="R144" t="s">
        <v>1161</v>
      </c>
      <c r="S144" t="s">
        <v>1162</v>
      </c>
      <c r="T144" t="s">
        <v>37</v>
      </c>
      <c r="U144" t="s">
        <v>1163</v>
      </c>
      <c r="V144" t="s">
        <v>37</v>
      </c>
      <c r="W144" t="s">
        <v>1164</v>
      </c>
      <c r="X144" t="s">
        <v>37</v>
      </c>
      <c r="Y144" t="s">
        <v>1165</v>
      </c>
      <c r="Z144" t="s">
        <v>37</v>
      </c>
    </row>
    <row r="145">
      <c r="A145" t="s">
        <v>1149</v>
      </c>
      <c r="B145" t="s">
        <v>1166</v>
      </c>
      <c r="C145" t="s">
        <v>32</v>
      </c>
      <c r="D145" t="s">
        <v>42</v>
      </c>
      <c r="E145">
        <v>25217</v>
      </c>
      <c r="F145">
        <v>148569</v>
      </c>
      <c r="G145">
        <v>57976</v>
      </c>
      <c r="H145">
        <v>32759</v>
      </c>
      <c r="I145">
        <v>83485</v>
      </c>
      <c r="J145" t="str">
        <f>HYPERLINK("https://driffle.com/es/nba-2k26-slam-edition-global-pc-steam-digital-key-p9970529","Abrir compra")</f>
        <v>Abrir compra</v>
      </c>
      <c r="K145" t="str">
        <f>HYPERLINK("https://store.steampowered.com/app/3472040/NBA_2K26/","Abrir Steam")</f>
        <v>Abrir Steam</v>
      </c>
      <c r="L145" t="s">
        <v>56</v>
      </c>
      <c r="M145" t="s">
        <v>75</v>
      </c>
      <c r="N145" t="s">
        <v>32</v>
      </c>
      <c r="O145" t="s">
        <v>1167</v>
      </c>
      <c r="P145" t="s">
        <v>1168</v>
      </c>
      <c r="Q145" t="s">
        <v>32</v>
      </c>
      <c r="R145" t="s">
        <v>1169</v>
      </c>
      <c r="S145" t="s">
        <v>37</v>
      </c>
      <c r="T145" t="s">
        <v>1170</v>
      </c>
      <c r="U145" t="s">
        <v>1171</v>
      </c>
      <c r="V145" t="s">
        <v>1172</v>
      </c>
      <c r="W145" t="s">
        <v>1173</v>
      </c>
      <c r="X145" t="s">
        <v>1174</v>
      </c>
      <c r="Y145" t="s">
        <v>1175</v>
      </c>
      <c r="Z145" t="s">
        <v>1176</v>
      </c>
    </row>
    <row r="146">
      <c r="A146" t="s">
        <v>1149</v>
      </c>
      <c r="B146" t="s">
        <v>1177</v>
      </c>
      <c r="C146" t="s">
        <v>28</v>
      </c>
      <c r="D146" t="s">
        <v>29</v>
      </c>
      <c r="E146">
        <v>22976</v>
      </c>
      <c r="F146">
        <v>148569</v>
      </c>
      <c r="G146">
        <v>49976</v>
      </c>
      <c r="H146">
        <v>27000</v>
      </c>
      <c r="I146">
        <v>71965</v>
      </c>
      <c r="J146" t="str">
        <f>HYPERLINK("https://www.kinguin.net/es/category/426616/nba-2k26-slam-edition-pc-steam-account","Abrir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1178</v>
      </c>
      <c r="P146" t="s">
        <v>1179</v>
      </c>
      <c r="Q146" t="s">
        <v>32</v>
      </c>
      <c r="R146" t="s">
        <v>1180</v>
      </c>
      <c r="S146" t="s">
        <v>1181</v>
      </c>
      <c r="T146" t="s">
        <v>37</v>
      </c>
      <c r="U146" t="s">
        <v>1182</v>
      </c>
      <c r="V146" t="s">
        <v>37</v>
      </c>
      <c r="W146" t="s">
        <v>1183</v>
      </c>
      <c r="X146" t="s">
        <v>37</v>
      </c>
      <c r="Y146" t="s">
        <v>1184</v>
      </c>
      <c r="Z146" t="s">
        <v>37</v>
      </c>
    </row>
    <row r="147">
      <c r="A147" t="s">
        <v>1149</v>
      </c>
      <c r="B147" t="s">
        <v>1185</v>
      </c>
      <c r="C147" t="s">
        <v>32</v>
      </c>
      <c r="D147" t="s">
        <v>42</v>
      </c>
      <c r="E147">
        <v>35044</v>
      </c>
      <c r="F147">
        <v>185716</v>
      </c>
      <c r="G147">
        <v>70044</v>
      </c>
      <c r="H147">
        <v>35000</v>
      </c>
      <c r="I147">
        <v>100863</v>
      </c>
      <c r="J147" t="str">
        <f>HYPERLINK("https://driffle.com/es/nba-2k26-superstar-edition-global-pc-steam-digital-key-p9949949","Abrir compra")</f>
        <v>Abrir compra</v>
      </c>
      <c r="K147" t="str">
        <f>HYPERLINK("https://store.steampowered.com/app/3472040/NBA_2K26/","Abrir Steam")</f>
        <v>Abrir Steam</v>
      </c>
      <c r="L147" t="s">
        <v>56</v>
      </c>
      <c r="M147" t="s">
        <v>75</v>
      </c>
      <c r="N147" t="s">
        <v>32</v>
      </c>
      <c r="O147" t="s">
        <v>1186</v>
      </c>
      <c r="P147" t="s">
        <v>1187</v>
      </c>
      <c r="Q147" t="s">
        <v>32</v>
      </c>
      <c r="R147" t="s">
        <v>1188</v>
      </c>
      <c r="S147" t="s">
        <v>37</v>
      </c>
      <c r="T147" t="s">
        <v>1189</v>
      </c>
      <c r="U147" t="s">
        <v>1190</v>
      </c>
      <c r="V147" t="s">
        <v>1191</v>
      </c>
      <c r="W147" t="s">
        <v>1192</v>
      </c>
      <c r="X147" t="s">
        <v>1193</v>
      </c>
      <c r="Y147" t="s">
        <v>1194</v>
      </c>
      <c r="Z147" t="s">
        <v>1195</v>
      </c>
    </row>
    <row r="148">
      <c r="A148" t="s">
        <v>1149</v>
      </c>
      <c r="B148" t="s">
        <v>1196</v>
      </c>
      <c r="C148" t="s">
        <v>28</v>
      </c>
      <c r="D148" t="s">
        <v>29</v>
      </c>
      <c r="E148">
        <v>35934</v>
      </c>
      <c r="F148">
        <v>185716</v>
      </c>
      <c r="G148">
        <v>62934</v>
      </c>
      <c r="H148">
        <v>27000</v>
      </c>
      <c r="I148">
        <v>90625</v>
      </c>
      <c r="J148" t="str">
        <f>HYPERLINK("https://www.kinguin.net/es/category/371704/nba-2k26-superstar-edition-pc-steam-account","Abrir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1197</v>
      </c>
      <c r="P148" t="s">
        <v>1198</v>
      </c>
      <c r="Q148" t="s">
        <v>32</v>
      </c>
      <c r="R148" t="s">
        <v>1199</v>
      </c>
      <c r="S148" t="s">
        <v>1200</v>
      </c>
      <c r="T148" t="s">
        <v>37</v>
      </c>
      <c r="U148" t="s">
        <v>37</v>
      </c>
      <c r="V148" t="s">
        <v>37</v>
      </c>
      <c r="W148" t="s">
        <v>1201</v>
      </c>
      <c r="X148" t="s">
        <v>37</v>
      </c>
      <c r="Y148" t="s">
        <v>37</v>
      </c>
      <c r="Z148" t="s">
        <v>37</v>
      </c>
    </row>
    <row r="149">
      <c r="A149" t="s">
        <v>1202</v>
      </c>
      <c r="B149" t="s">
        <v>1203</v>
      </c>
      <c r="C149" t="s">
        <v>32</v>
      </c>
      <c r="D149" t="s">
        <v>42</v>
      </c>
      <c r="E149">
        <v>17236</v>
      </c>
      <c r="F149">
        <v>59417</v>
      </c>
      <c r="G149">
        <v>42048</v>
      </c>
      <c r="H149">
        <v>24812</v>
      </c>
      <c r="I149">
        <v>60549</v>
      </c>
      <c r="J149" t="str">
        <f>HYPERLINK("https://www.eneba.com/latam/steam-nier-automata-game-of-the-yorha-edition-steam-key-pc-latam","Abrir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1204</v>
      </c>
      <c r="P149" t="s">
        <v>1205</v>
      </c>
      <c r="Q149" t="s">
        <v>32</v>
      </c>
      <c r="R149" t="s">
        <v>1206</v>
      </c>
      <c r="S149" t="s">
        <v>1207</v>
      </c>
      <c r="T149" t="s">
        <v>1208</v>
      </c>
      <c r="U149" t="s">
        <v>1209</v>
      </c>
      <c r="V149" t="s">
        <v>1210</v>
      </c>
      <c r="W149" t="s">
        <v>1211</v>
      </c>
      <c r="X149" t="s">
        <v>1212</v>
      </c>
      <c r="Y149" t="s">
        <v>1213</v>
      </c>
      <c r="Z149" t="s">
        <v>1214</v>
      </c>
    </row>
    <row r="150">
      <c r="A150" t="s">
        <v>1202</v>
      </c>
      <c r="B150" t="s">
        <v>1215</v>
      </c>
      <c r="C150" t="s">
        <v>28</v>
      </c>
      <c r="D150" t="s">
        <v>29</v>
      </c>
      <c r="E150">
        <v>7664</v>
      </c>
      <c r="F150">
        <v>59417</v>
      </c>
      <c r="G150">
        <v>32238</v>
      </c>
      <c r="H150">
        <v>24574</v>
      </c>
      <c r="I150">
        <v>46423</v>
      </c>
      <c r="J150" t="str">
        <f>HYPERLINK("https://www.kinguin.net/es/category/156126/nier-automata-game-of-the-yorha-edition-steam-account","Abrir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1216</v>
      </c>
      <c r="P150" t="s">
        <v>1217</v>
      </c>
      <c r="Q150" t="s">
        <v>32</v>
      </c>
      <c r="R150" t="s">
        <v>1218</v>
      </c>
      <c r="S150" t="s">
        <v>1219</v>
      </c>
      <c r="T150" t="s">
        <v>37</v>
      </c>
      <c r="U150" t="s">
        <v>1220</v>
      </c>
      <c r="V150" t="s">
        <v>37</v>
      </c>
      <c r="W150" t="s">
        <v>1221</v>
      </c>
      <c r="X150" t="s">
        <v>37</v>
      </c>
      <c r="Y150" t="s">
        <v>1222</v>
      </c>
      <c r="Z150" t="s">
        <v>37</v>
      </c>
    </row>
    <row r="151">
      <c r="A151" t="s">
        <v>1223</v>
      </c>
      <c r="B151" t="s">
        <v>67</v>
      </c>
      <c r="C151" t="s">
        <v>28</v>
      </c>
      <c r="D151" t="s">
        <v>29</v>
      </c>
      <c r="E151">
        <v>23389</v>
      </c>
      <c r="F151">
        <v>55702</v>
      </c>
      <c r="G151">
        <v>38389</v>
      </c>
      <c r="H151">
        <v>15000</v>
      </c>
      <c r="I151">
        <v>55280</v>
      </c>
      <c r="J151" t="str">
        <f>HYPERLINK("https://www.kinguin.net/es/category/293164/path-of-exile-2-early-access-supporter-pack-pc-steam-account","Abrir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1224</v>
      </c>
      <c r="P151" t="s">
        <v>1225</v>
      </c>
      <c r="Q151" t="s">
        <v>32</v>
      </c>
      <c r="R151" t="s">
        <v>1226</v>
      </c>
      <c r="S151" t="s">
        <v>1227</v>
      </c>
      <c r="T151" t="s">
        <v>37</v>
      </c>
      <c r="U151" t="s">
        <v>37</v>
      </c>
      <c r="V151" t="s">
        <v>37</v>
      </c>
      <c r="W151" t="s">
        <v>1228</v>
      </c>
      <c r="X151" t="s">
        <v>37</v>
      </c>
      <c r="Y151" t="s">
        <v>1229</v>
      </c>
      <c r="Z151" t="s">
        <v>37</v>
      </c>
    </row>
    <row r="152">
      <c r="A152" t="s">
        <v>1223</v>
      </c>
      <c r="B152" t="s">
        <v>1230</v>
      </c>
      <c r="C152" t="s">
        <v>28</v>
      </c>
      <c r="D152" t="s">
        <v>29</v>
      </c>
      <c r="E152">
        <v>86019</v>
      </c>
      <c r="F152">
        <v>185716</v>
      </c>
      <c r="G152">
        <v>112837</v>
      </c>
      <c r="H152">
        <v>26818</v>
      </c>
      <c r="I152">
        <v>162485</v>
      </c>
      <c r="J152" t="str">
        <f>HYPERLINK("https://www.kinguin.net/es/category/293317/path-of-exile-2-king-of-the-faridun-supporter-pack-pc-steam-account","Abrir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30</v>
      </c>
      <c r="M152" t="s">
        <v>75</v>
      </c>
      <c r="N152" t="s">
        <v>32</v>
      </c>
      <c r="O152" t="s">
        <v>1231</v>
      </c>
      <c r="P152" t="s">
        <v>1232</v>
      </c>
      <c r="Q152" t="s">
        <v>32</v>
      </c>
      <c r="R152" t="s">
        <v>1233</v>
      </c>
      <c r="S152" t="s">
        <v>1234</v>
      </c>
      <c r="T152" t="s">
        <v>37</v>
      </c>
      <c r="U152" t="s">
        <v>37</v>
      </c>
      <c r="V152" t="s">
        <v>37</v>
      </c>
      <c r="W152" t="s">
        <v>1235</v>
      </c>
      <c r="X152" t="s">
        <v>37</v>
      </c>
      <c r="Y152" t="s">
        <v>37</v>
      </c>
      <c r="Z152" t="s">
        <v>37</v>
      </c>
    </row>
    <row r="153">
      <c r="A153" t="s">
        <v>1223</v>
      </c>
      <c r="B153" t="s">
        <v>1236</v>
      </c>
      <c r="C153" t="s">
        <v>28</v>
      </c>
      <c r="D153" t="s">
        <v>29</v>
      </c>
      <c r="E153">
        <v>41610</v>
      </c>
      <c r="F153">
        <v>111422</v>
      </c>
      <c r="G153">
        <v>66098</v>
      </c>
      <c r="H153">
        <v>24488</v>
      </c>
      <c r="I153">
        <v>95181</v>
      </c>
      <c r="J153" t="str">
        <f>HYPERLINK("https://www.kinguin.net/es/category/293181/path-of-exile-2-lord-of-ogham-supporter-pack-pc-steam-account","Abrir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1237</v>
      </c>
      <c r="P153" t="s">
        <v>1238</v>
      </c>
      <c r="Q153" t="s">
        <v>32</v>
      </c>
      <c r="R153" t="s">
        <v>1239</v>
      </c>
      <c r="S153" t="s">
        <v>1240</v>
      </c>
      <c r="T153" t="s">
        <v>37</v>
      </c>
      <c r="U153" t="s">
        <v>37</v>
      </c>
      <c r="V153" t="s">
        <v>37</v>
      </c>
      <c r="W153" t="s">
        <v>1241</v>
      </c>
      <c r="X153" t="s">
        <v>37</v>
      </c>
      <c r="Y153" t="s">
        <v>37</v>
      </c>
      <c r="Z153" t="s">
        <v>37</v>
      </c>
    </row>
    <row r="154">
      <c r="A154" t="s">
        <v>1242</v>
      </c>
      <c r="B154" t="s">
        <v>408</v>
      </c>
      <c r="C154" t="s">
        <v>32</v>
      </c>
      <c r="D154" t="s">
        <v>42</v>
      </c>
      <c r="E154">
        <v>46937</v>
      </c>
      <c r="F154">
        <v>103993</v>
      </c>
      <c r="G154">
        <v>77995</v>
      </c>
      <c r="H154">
        <v>31058</v>
      </c>
      <c r="I154">
        <v>112313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56</v>
      </c>
      <c r="M154" t="s">
        <v>75</v>
      </c>
      <c r="N154" t="s">
        <v>32</v>
      </c>
      <c r="O154" t="s">
        <v>1243</v>
      </c>
      <c r="P154" t="s">
        <v>1244</v>
      </c>
      <c r="Q154" t="s">
        <v>32</v>
      </c>
      <c r="R154" t="s">
        <v>1245</v>
      </c>
      <c r="S154" t="s">
        <v>37</v>
      </c>
      <c r="T154" t="s">
        <v>37</v>
      </c>
      <c r="U154" t="s">
        <v>1246</v>
      </c>
      <c r="V154" t="s">
        <v>37</v>
      </c>
      <c r="W154" t="s">
        <v>1247</v>
      </c>
      <c r="X154" t="s">
        <v>1248</v>
      </c>
      <c r="Y154" t="s">
        <v>1249</v>
      </c>
      <c r="Z154" t="s">
        <v>1250</v>
      </c>
    </row>
    <row r="155">
      <c r="A155" t="s">
        <v>1242</v>
      </c>
      <c r="B155" t="s">
        <v>27</v>
      </c>
      <c r="C155" t="s">
        <v>28</v>
      </c>
      <c r="D155" t="s">
        <v>29</v>
      </c>
      <c r="E155">
        <v>85574</v>
      </c>
      <c r="F155">
        <v>103993</v>
      </c>
      <c r="G155">
        <v>100574</v>
      </c>
      <c r="H155">
        <v>15000</v>
      </c>
      <c r="I155">
        <v>144827</v>
      </c>
      <c r="J155" t="str">
        <f>HYPERLINK("https://www.kinguin.net/es/category/212863/persona-3-reload-deluxe-edition-steam-account","Abrir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75</v>
      </c>
      <c r="N155" t="s">
        <v>32</v>
      </c>
      <c r="O155" t="s">
        <v>1251</v>
      </c>
      <c r="P155" t="s">
        <v>1252</v>
      </c>
      <c r="Q155" t="s">
        <v>32</v>
      </c>
      <c r="R155" t="s">
        <v>1253</v>
      </c>
      <c r="S155" t="s">
        <v>1254</v>
      </c>
      <c r="T155" t="s">
        <v>37</v>
      </c>
      <c r="U155" t="s">
        <v>37</v>
      </c>
      <c r="V155" t="s">
        <v>37</v>
      </c>
      <c r="W155" t="s">
        <v>1255</v>
      </c>
      <c r="X155" t="s">
        <v>37</v>
      </c>
      <c r="Y155" t="s">
        <v>37</v>
      </c>
      <c r="Z155" t="s">
        <v>37</v>
      </c>
    </row>
    <row r="156">
      <c r="A156" t="s">
        <v>1242</v>
      </c>
      <c r="B156" t="s">
        <v>55</v>
      </c>
      <c r="C156" t="s">
        <v>32</v>
      </c>
      <c r="D156" t="s">
        <v>42</v>
      </c>
      <c r="E156">
        <v>25822</v>
      </c>
      <c r="F156">
        <v>89134</v>
      </c>
      <c r="G156">
        <v>60822</v>
      </c>
      <c r="H156">
        <v>35000</v>
      </c>
      <c r="I156">
        <v>87584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43</v>
      </c>
      <c r="M156" t="s">
        <v>75</v>
      </c>
      <c r="N156" t="s">
        <v>32</v>
      </c>
      <c r="O156" t="s">
        <v>1256</v>
      </c>
      <c r="P156" t="s">
        <v>1257</v>
      </c>
      <c r="Q156" t="s">
        <v>32</v>
      </c>
      <c r="R156" t="s">
        <v>1258</v>
      </c>
      <c r="S156" t="s">
        <v>37</v>
      </c>
      <c r="T156" t="s">
        <v>1259</v>
      </c>
      <c r="U156" t="s">
        <v>1260</v>
      </c>
      <c r="V156" t="s">
        <v>1261</v>
      </c>
      <c r="W156" t="s">
        <v>1262</v>
      </c>
      <c r="X156" t="s">
        <v>1263</v>
      </c>
      <c r="Y156" t="s">
        <v>1264</v>
      </c>
      <c r="Z156" t="s">
        <v>1265</v>
      </c>
    </row>
    <row r="157">
      <c r="A157" t="s">
        <v>1242</v>
      </c>
      <c r="B157" t="s">
        <v>67</v>
      </c>
      <c r="C157" t="s">
        <v>28</v>
      </c>
      <c r="D157" t="s">
        <v>29</v>
      </c>
      <c r="E157">
        <v>31832</v>
      </c>
      <c r="F157">
        <v>89134</v>
      </c>
      <c r="G157">
        <v>53495</v>
      </c>
      <c r="H157">
        <v>21663</v>
      </c>
      <c r="I157">
        <v>77033</v>
      </c>
      <c r="J157" t="str">
        <f>HYPERLINK("https://www.kinguin.net/es/category/212612/persona-3-reload-steam-account","Abrir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31</v>
      </c>
      <c r="N157" t="s">
        <v>32</v>
      </c>
      <c r="O157" t="s">
        <v>1266</v>
      </c>
      <c r="P157" t="s">
        <v>1267</v>
      </c>
      <c r="Q157" t="s">
        <v>32</v>
      </c>
      <c r="R157" t="s">
        <v>1268</v>
      </c>
      <c r="S157" t="s">
        <v>1269</v>
      </c>
      <c r="T157" t="s">
        <v>37</v>
      </c>
      <c r="U157" t="s">
        <v>37</v>
      </c>
      <c r="V157" t="s">
        <v>37</v>
      </c>
      <c r="W157" t="s">
        <v>1270</v>
      </c>
      <c r="X157" t="s">
        <v>37</v>
      </c>
      <c r="Y157" t="s">
        <v>37</v>
      </c>
      <c r="Z157" t="s">
        <v>37</v>
      </c>
    </row>
    <row r="158">
      <c r="A158" t="s">
        <v>1242</v>
      </c>
      <c r="B158" t="s">
        <v>715</v>
      </c>
      <c r="C158" t="s">
        <v>28</v>
      </c>
      <c r="D158" t="s">
        <v>29</v>
      </c>
      <c r="E158">
        <v>110012</v>
      </c>
      <c r="F158">
        <v>133711</v>
      </c>
      <c r="G158">
        <v>125012</v>
      </c>
      <c r="H158">
        <v>15000</v>
      </c>
      <c r="I158">
        <v>180017</v>
      </c>
      <c r="J158" t="str">
        <f>HYPERLINK("https://www.kinguin.net/es/category/212869/persona-3-reload-premium-edition-steam-account","Abrir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75</v>
      </c>
      <c r="N158" t="s">
        <v>32</v>
      </c>
      <c r="O158" t="s">
        <v>1271</v>
      </c>
      <c r="P158" t="s">
        <v>1272</v>
      </c>
      <c r="Q158" t="s">
        <v>32</v>
      </c>
      <c r="R158" t="s">
        <v>1273</v>
      </c>
      <c r="S158" t="s">
        <v>1274</v>
      </c>
      <c r="T158" t="s">
        <v>37</v>
      </c>
      <c r="U158" t="s">
        <v>37</v>
      </c>
      <c r="V158" t="s">
        <v>37</v>
      </c>
      <c r="W158" t="s">
        <v>1275</v>
      </c>
      <c r="X158" t="s">
        <v>37</v>
      </c>
      <c r="Y158" t="s">
        <v>37</v>
      </c>
      <c r="Z158" t="s">
        <v>37</v>
      </c>
    </row>
    <row r="159">
      <c r="A159" t="s">
        <v>1276</v>
      </c>
      <c r="B159" t="s">
        <v>408</v>
      </c>
      <c r="C159" t="s">
        <v>32</v>
      </c>
      <c r="D159" t="s">
        <v>42</v>
      </c>
      <c r="E159">
        <v>75668</v>
      </c>
      <c r="F159">
        <v>98440</v>
      </c>
      <c r="G159">
        <v>110668</v>
      </c>
      <c r="H159">
        <v>35000</v>
      </c>
      <c r="I159">
        <v>159362</v>
      </c>
      <c r="J159" t="str">
        <f>HYPERLINK("https://www.loaded.com/es_es/pragmata-deluxe-edition-pc-steam-latam","Abrir compra")</f>
        <v>Abrir compra</v>
      </c>
      <c r="K159" t="str">
        <f>HYPERLINK("https://store.steampowered.com/app/3357650/PRAGMATA/","Abrir Steam")</f>
        <v>Abrir Steam</v>
      </c>
      <c r="L159" t="s">
        <v>293</v>
      </c>
      <c r="M159" t="s">
        <v>44</v>
      </c>
      <c r="N159" t="s">
        <v>32</v>
      </c>
      <c r="O159" t="s">
        <v>1277</v>
      </c>
      <c r="P159" t="s">
        <v>1278</v>
      </c>
      <c r="Q159" t="s">
        <v>32</v>
      </c>
      <c r="R159" t="s">
        <v>1279</v>
      </c>
      <c r="S159" t="s">
        <v>1280</v>
      </c>
      <c r="T159" t="s">
        <v>1281</v>
      </c>
      <c r="U159" t="s">
        <v>727</v>
      </c>
      <c r="V159" t="s">
        <v>1282</v>
      </c>
      <c r="W159" t="s">
        <v>1283</v>
      </c>
      <c r="X159" t="s">
        <v>1284</v>
      </c>
      <c r="Y159" t="s">
        <v>1285</v>
      </c>
      <c r="Z159" t="s">
        <v>1286</v>
      </c>
    </row>
    <row r="160">
      <c r="A160" t="s">
        <v>1276</v>
      </c>
      <c r="B160" t="s">
        <v>27</v>
      </c>
      <c r="C160" t="s">
        <v>28</v>
      </c>
      <c r="D160" t="s">
        <v>29</v>
      </c>
      <c r="E160">
        <v>86766</v>
      </c>
      <c r="F160">
        <v>98440</v>
      </c>
      <c r="G160">
        <v>101766</v>
      </c>
      <c r="H160">
        <v>15000</v>
      </c>
      <c r="I160">
        <v>146543</v>
      </c>
      <c r="J160" t="str">
        <f>HYPERLINK("https://www.kinguin.net/es/category/431201/pragmata-deluxe-edition-pc-steam-account","Abrir compra")</f>
        <v>Abrir compra</v>
      </c>
      <c r="K160" t="str">
        <f>HYPERLINK("https://store.steampowered.com/app/3357650/PRAGMATA/","Abrir Steam")</f>
        <v>Abrir Steam</v>
      </c>
      <c r="L160" t="s">
        <v>30</v>
      </c>
      <c r="M160" t="s">
        <v>31</v>
      </c>
      <c r="N160" t="s">
        <v>32</v>
      </c>
      <c r="O160" t="s">
        <v>1287</v>
      </c>
      <c r="P160" t="s">
        <v>1288</v>
      </c>
      <c r="Q160" t="s">
        <v>32</v>
      </c>
      <c r="R160" t="s">
        <v>1289</v>
      </c>
      <c r="S160" t="s">
        <v>1290</v>
      </c>
      <c r="T160" t="s">
        <v>37</v>
      </c>
      <c r="U160" t="s">
        <v>37</v>
      </c>
      <c r="V160" t="s">
        <v>37</v>
      </c>
      <c r="W160" t="s">
        <v>1291</v>
      </c>
      <c r="X160" t="s">
        <v>37</v>
      </c>
      <c r="Y160" t="s">
        <v>1292</v>
      </c>
      <c r="Z160" t="s">
        <v>37</v>
      </c>
    </row>
    <row r="161">
      <c r="A161" t="s">
        <v>1276</v>
      </c>
      <c r="B161" t="s">
        <v>55</v>
      </c>
      <c r="C161" t="s">
        <v>32</v>
      </c>
      <c r="D161" t="s">
        <v>42</v>
      </c>
      <c r="E161">
        <v>61390</v>
      </c>
      <c r="F161">
        <v>83581</v>
      </c>
      <c r="G161">
        <v>79565</v>
      </c>
      <c r="H161">
        <v>18175</v>
      </c>
      <c r="I161">
        <v>114574</v>
      </c>
      <c r="J161" t="str">
        <f>HYPERLINK("https://www.eneba.com/latam/steam-pragmata-steam-key-pc-latam","Abrir compra")</f>
        <v>Abrir compra</v>
      </c>
      <c r="K161" t="str">
        <f>HYPERLINK("https://store.steampowered.com/app/3357650/PRAGMATA/","Abrir Steam")</f>
        <v>Abrir Steam</v>
      </c>
      <c r="L161" t="s">
        <v>43</v>
      </c>
      <c r="M161" t="s">
        <v>44</v>
      </c>
      <c r="N161" t="s">
        <v>32</v>
      </c>
      <c r="O161" t="s">
        <v>1293</v>
      </c>
      <c r="P161" t="s">
        <v>1294</v>
      </c>
      <c r="Q161" t="s">
        <v>32</v>
      </c>
      <c r="R161" t="s">
        <v>1295</v>
      </c>
      <c r="S161" t="s">
        <v>1296</v>
      </c>
      <c r="T161" t="s">
        <v>1297</v>
      </c>
      <c r="U161" t="s">
        <v>1298</v>
      </c>
      <c r="V161" t="s">
        <v>534</v>
      </c>
      <c r="W161" t="s">
        <v>1299</v>
      </c>
      <c r="X161" t="s">
        <v>1300</v>
      </c>
      <c r="Y161" t="s">
        <v>1301</v>
      </c>
      <c r="Z161" t="s">
        <v>1302</v>
      </c>
    </row>
    <row r="162">
      <c r="A162" t="s">
        <v>1276</v>
      </c>
      <c r="B162" t="s">
        <v>67</v>
      </c>
      <c r="C162" t="s">
        <v>28</v>
      </c>
      <c r="D162" t="s">
        <v>29</v>
      </c>
      <c r="E162">
        <v>54187</v>
      </c>
      <c r="F162">
        <v>83581</v>
      </c>
      <c r="G162">
        <v>69187</v>
      </c>
      <c r="H162">
        <v>15000</v>
      </c>
      <c r="I162">
        <v>99629</v>
      </c>
      <c r="J162" t="str">
        <f>HYPERLINK("https://www.kinguin.net/es/category/428363/pragmata-pc-steam-account","Abrir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31</v>
      </c>
      <c r="N162" t="s">
        <v>32</v>
      </c>
      <c r="O162" t="s">
        <v>1303</v>
      </c>
      <c r="P162" t="s">
        <v>1304</v>
      </c>
      <c r="Q162" t="s">
        <v>32</v>
      </c>
      <c r="R162" t="s">
        <v>1305</v>
      </c>
      <c r="S162" t="s">
        <v>1306</v>
      </c>
      <c r="T162" t="s">
        <v>37</v>
      </c>
      <c r="U162" t="s">
        <v>37</v>
      </c>
      <c r="V162" t="s">
        <v>37</v>
      </c>
      <c r="W162" t="s">
        <v>1307</v>
      </c>
      <c r="X162" t="s">
        <v>37</v>
      </c>
      <c r="Y162" t="s">
        <v>1308</v>
      </c>
      <c r="Z162" t="s">
        <v>37</v>
      </c>
    </row>
    <row r="163">
      <c r="A163" t="s">
        <v>1309</v>
      </c>
      <c r="B163" t="s">
        <v>408</v>
      </c>
      <c r="C163" t="s">
        <v>32</v>
      </c>
      <c r="D163" t="s">
        <v>42</v>
      </c>
      <c r="E163">
        <v>40338</v>
      </c>
      <c r="F163">
        <v>74275</v>
      </c>
      <c r="G163">
        <v>55559</v>
      </c>
      <c r="H163">
        <v>15221</v>
      </c>
      <c r="I163">
        <v>80005</v>
      </c>
      <c r="J163" t="str">
        <f>HYPERLINK("https://www.kinguin.net/es/category/476489/ready-or-not-deluxe-edition-latam-pc-steam-cd-key","Abrir compra")</f>
        <v>Abrir compra</v>
      </c>
      <c r="K163" t="str">
        <f>HYPERLINK("https://store.steampowered.com/app/1144200/Ready_or_Not/","Abrir Steam")</f>
        <v>Abrir Steam</v>
      </c>
      <c r="L163" t="s">
        <v>30</v>
      </c>
      <c r="M163" t="s">
        <v>44</v>
      </c>
      <c r="N163" t="s">
        <v>32</v>
      </c>
      <c r="O163" t="s">
        <v>1310</v>
      </c>
      <c r="P163" t="s">
        <v>1311</v>
      </c>
      <c r="Q163" t="s">
        <v>32</v>
      </c>
      <c r="R163" t="s">
        <v>1312</v>
      </c>
      <c r="S163" t="s">
        <v>1313</v>
      </c>
      <c r="T163" t="s">
        <v>37</v>
      </c>
      <c r="U163" t="s">
        <v>37</v>
      </c>
      <c r="V163" t="s">
        <v>37</v>
      </c>
      <c r="W163" t="s">
        <v>1314</v>
      </c>
      <c r="X163" t="s">
        <v>1315</v>
      </c>
      <c r="Y163" t="s">
        <v>1316</v>
      </c>
      <c r="Z163" t="s">
        <v>1317</v>
      </c>
    </row>
    <row r="164">
      <c r="A164" t="s">
        <v>1309</v>
      </c>
      <c r="B164" t="s">
        <v>27</v>
      </c>
      <c r="C164" t="s">
        <v>28</v>
      </c>
      <c r="D164" t="s">
        <v>29</v>
      </c>
      <c r="E164">
        <v>23850</v>
      </c>
      <c r="F164">
        <v>74275</v>
      </c>
      <c r="G164">
        <v>44507</v>
      </c>
      <c r="H164">
        <v>20657</v>
      </c>
      <c r="I164">
        <v>64090</v>
      </c>
      <c r="J164" t="str">
        <f>HYPERLINK("https://www.kinguin.net/es/category/505409/ready-or-not-deluxe-edition-pc-steam-account","Abrir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31</v>
      </c>
      <c r="N164" t="s">
        <v>32</v>
      </c>
      <c r="O164" t="s">
        <v>1318</v>
      </c>
      <c r="P164" t="s">
        <v>1319</v>
      </c>
      <c r="Q164" t="s">
        <v>32</v>
      </c>
      <c r="R164" t="s">
        <v>1320</v>
      </c>
      <c r="S164" t="s">
        <v>1321</v>
      </c>
      <c r="T164" t="s">
        <v>37</v>
      </c>
      <c r="U164" t="s">
        <v>37</v>
      </c>
      <c r="V164" t="s">
        <v>37</v>
      </c>
      <c r="W164" t="s">
        <v>1322</v>
      </c>
      <c r="X164" t="s">
        <v>37</v>
      </c>
      <c r="Y164" t="s">
        <v>37</v>
      </c>
      <c r="Z164" t="s">
        <v>37</v>
      </c>
    </row>
    <row r="165">
      <c r="A165" t="s">
        <v>1309</v>
      </c>
      <c r="B165" t="s">
        <v>55</v>
      </c>
      <c r="C165" t="s">
        <v>32</v>
      </c>
      <c r="D165" t="s">
        <v>42</v>
      </c>
      <c r="E165">
        <v>18142</v>
      </c>
      <c r="F165">
        <v>61274</v>
      </c>
      <c r="G165">
        <v>42368</v>
      </c>
      <c r="H165">
        <v>24226</v>
      </c>
      <c r="I165">
        <v>61010</v>
      </c>
      <c r="J165" t="str">
        <f>HYPERLINK("https://www.eneba.com/latam/steam-ready-or-not-pc-steam-key-latam","Abrir compra")</f>
        <v>Abrir compra</v>
      </c>
      <c r="K165" t="str">
        <f>HYPERLINK("https://store.steampowered.com/app/1144200/Ready_or_Not/","Abrir Steam")</f>
        <v>Abrir Steam</v>
      </c>
      <c r="L165" t="s">
        <v>43</v>
      </c>
      <c r="M165" t="s">
        <v>44</v>
      </c>
      <c r="N165" t="s">
        <v>32</v>
      </c>
      <c r="O165" t="s">
        <v>1323</v>
      </c>
      <c r="P165" t="s">
        <v>1324</v>
      </c>
      <c r="Q165" t="s">
        <v>32</v>
      </c>
      <c r="R165" t="s">
        <v>1325</v>
      </c>
      <c r="S165" t="s">
        <v>1326</v>
      </c>
      <c r="T165" t="s">
        <v>1327</v>
      </c>
      <c r="U165" t="s">
        <v>1328</v>
      </c>
      <c r="V165" t="s">
        <v>911</v>
      </c>
      <c r="W165" t="s">
        <v>1329</v>
      </c>
      <c r="X165" t="s">
        <v>1330</v>
      </c>
      <c r="Y165" t="s">
        <v>1331</v>
      </c>
      <c r="Z165" t="s">
        <v>1332</v>
      </c>
    </row>
    <row r="166">
      <c r="A166" t="s">
        <v>1309</v>
      </c>
      <c r="B166" t="s">
        <v>67</v>
      </c>
      <c r="C166" t="s">
        <v>28</v>
      </c>
      <c r="D166" t="s">
        <v>29</v>
      </c>
      <c r="E166">
        <v>11178</v>
      </c>
      <c r="F166">
        <v>61274</v>
      </c>
      <c r="G166">
        <v>34368</v>
      </c>
      <c r="H166">
        <v>23190</v>
      </c>
      <c r="I166">
        <v>49490</v>
      </c>
      <c r="J166" t="str">
        <f>HYPERLINK("https://driffle.com/es/ready-or-not-global-pc-steam-account-p9943438","Abrir compra")</f>
        <v>Abrir compra</v>
      </c>
      <c r="K166" t="str">
        <f>HYPERLINK("https://store.steampowered.com/app/1144200/Ready_or_Not/","Abrir Steam")</f>
        <v>Abrir Steam</v>
      </c>
      <c r="L166" t="s">
        <v>56</v>
      </c>
      <c r="M166" t="s">
        <v>75</v>
      </c>
      <c r="N166" t="s">
        <v>32</v>
      </c>
      <c r="O166" t="s">
        <v>1333</v>
      </c>
      <c r="P166" t="s">
        <v>1334</v>
      </c>
      <c r="Q166" t="s">
        <v>32</v>
      </c>
      <c r="R166" t="s">
        <v>1335</v>
      </c>
      <c r="S166" t="s">
        <v>1336</v>
      </c>
      <c r="T166" t="s">
        <v>37</v>
      </c>
      <c r="U166" t="s">
        <v>1337</v>
      </c>
      <c r="V166" t="s">
        <v>37</v>
      </c>
      <c r="W166" t="s">
        <v>1338</v>
      </c>
      <c r="X166" t="s">
        <v>37</v>
      </c>
      <c r="Y166" t="s">
        <v>1339</v>
      </c>
      <c r="Z166" t="s">
        <v>37</v>
      </c>
    </row>
    <row r="167">
      <c r="A167" t="s">
        <v>1340</v>
      </c>
      <c r="B167" t="s">
        <v>67</v>
      </c>
      <c r="C167" t="s">
        <v>28</v>
      </c>
      <c r="D167" t="s">
        <v>29</v>
      </c>
      <c r="E167">
        <v>15280</v>
      </c>
      <c r="F167">
        <v>111422</v>
      </c>
      <c r="G167">
        <v>42280</v>
      </c>
      <c r="H167">
        <v>27000</v>
      </c>
      <c r="I167">
        <v>60883</v>
      </c>
      <c r="J167" t="str">
        <f>HYPERLINK("https://www.kinguin.net/es/category/133287/red-dead-redemption-2-steam-account","Abrir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30</v>
      </c>
      <c r="M167" t="s">
        <v>75</v>
      </c>
      <c r="N167" t="s">
        <v>32</v>
      </c>
      <c r="O167" t="s">
        <v>1341</v>
      </c>
      <c r="P167" t="s">
        <v>1342</v>
      </c>
      <c r="Q167" t="s">
        <v>32</v>
      </c>
      <c r="R167" t="s">
        <v>1343</v>
      </c>
      <c r="S167" t="s">
        <v>1344</v>
      </c>
      <c r="T167" t="s">
        <v>37</v>
      </c>
      <c r="U167" t="s">
        <v>37</v>
      </c>
      <c r="V167" t="s">
        <v>37</v>
      </c>
      <c r="W167" t="s">
        <v>1345</v>
      </c>
      <c r="X167" t="s">
        <v>37</v>
      </c>
      <c r="Y167" t="s">
        <v>37</v>
      </c>
      <c r="Z167" t="s">
        <v>37</v>
      </c>
    </row>
    <row r="168">
      <c r="A168" t="s">
        <v>1340</v>
      </c>
      <c r="B168" t="s">
        <v>386</v>
      </c>
      <c r="C168" t="s">
        <v>28</v>
      </c>
      <c r="D168" t="s">
        <v>29</v>
      </c>
      <c r="E168">
        <v>22928</v>
      </c>
      <c r="F168">
        <v>185716</v>
      </c>
      <c r="G168">
        <v>49928</v>
      </c>
      <c r="H168">
        <v>27000</v>
      </c>
      <c r="I168">
        <v>71896</v>
      </c>
      <c r="J168" t="str">
        <f>HYPERLINK("https://www.kinguin.net/es/category/156115/red-dead-redemption-2-ultimate-edition-steam-account","Abrir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31</v>
      </c>
      <c r="N168" t="s">
        <v>32</v>
      </c>
      <c r="O168" t="s">
        <v>1346</v>
      </c>
      <c r="P168" t="s">
        <v>1347</v>
      </c>
      <c r="Q168" t="s">
        <v>32</v>
      </c>
      <c r="R168" t="s">
        <v>1348</v>
      </c>
      <c r="S168" t="s">
        <v>1349</v>
      </c>
      <c r="T168" t="s">
        <v>37</v>
      </c>
      <c r="U168" t="s">
        <v>37</v>
      </c>
      <c r="V168" t="s">
        <v>37</v>
      </c>
      <c r="W168" t="s">
        <v>1350</v>
      </c>
      <c r="X168" t="s">
        <v>37</v>
      </c>
      <c r="Y168" t="s">
        <v>37</v>
      </c>
      <c r="Z168" t="s">
        <v>37</v>
      </c>
    </row>
    <row r="169">
      <c r="A169" t="s">
        <v>1351</v>
      </c>
      <c r="B169" t="s">
        <v>408</v>
      </c>
      <c r="C169" t="s">
        <v>32</v>
      </c>
      <c r="D169" t="s">
        <v>42</v>
      </c>
      <c r="E169">
        <v>11861</v>
      </c>
      <c r="F169">
        <v>72437</v>
      </c>
      <c r="G169">
        <v>38861</v>
      </c>
      <c r="H169">
        <v>27000</v>
      </c>
      <c r="I169">
        <v>55960</v>
      </c>
      <c r="J169" t="str">
        <f>HYPERLINK("https://www.eneba.com/latam/steam-resident-evil-2-biohazard-re-2-deluxe-edition-steam-key-latam","Abrir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1352</v>
      </c>
      <c r="P169" t="s">
        <v>1353</v>
      </c>
      <c r="Q169" t="s">
        <v>32</v>
      </c>
      <c r="R169" t="s">
        <v>1354</v>
      </c>
      <c r="S169" t="s">
        <v>37</v>
      </c>
      <c r="T169" t="s">
        <v>1355</v>
      </c>
      <c r="U169" t="s">
        <v>1356</v>
      </c>
      <c r="V169" t="s">
        <v>37</v>
      </c>
      <c r="W169" t="s">
        <v>1357</v>
      </c>
      <c r="X169" t="s">
        <v>1358</v>
      </c>
      <c r="Y169" t="s">
        <v>1359</v>
      </c>
      <c r="Z169" t="s">
        <v>37</v>
      </c>
    </row>
    <row r="170">
      <c r="A170" t="s">
        <v>1351</v>
      </c>
      <c r="B170" t="s">
        <v>55</v>
      </c>
      <c r="C170" t="s">
        <v>32</v>
      </c>
      <c r="D170" t="s">
        <v>42</v>
      </c>
      <c r="E170">
        <v>9063</v>
      </c>
      <c r="F170">
        <v>53863</v>
      </c>
      <c r="G170">
        <v>40397</v>
      </c>
      <c r="H170">
        <v>31334</v>
      </c>
      <c r="I170">
        <v>58172</v>
      </c>
      <c r="J170" t="str">
        <f>HYPERLINK("https://www.eneba.com/latam/steam-resident-evil-2-biohazard-re-2-steam-key-latam","Abrir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1360</v>
      </c>
      <c r="P170" t="s">
        <v>1361</v>
      </c>
      <c r="Q170" t="s">
        <v>32</v>
      </c>
      <c r="R170" t="s">
        <v>1362</v>
      </c>
      <c r="S170" t="s">
        <v>1363</v>
      </c>
      <c r="T170" t="s">
        <v>1364</v>
      </c>
      <c r="U170" t="s">
        <v>1365</v>
      </c>
      <c r="V170" t="s">
        <v>37</v>
      </c>
      <c r="W170" t="s">
        <v>1366</v>
      </c>
      <c r="X170" t="s">
        <v>1367</v>
      </c>
      <c r="Y170" t="s">
        <v>1368</v>
      </c>
      <c r="Z170" t="s">
        <v>37</v>
      </c>
    </row>
    <row r="171">
      <c r="A171" t="s">
        <v>1351</v>
      </c>
      <c r="B171" t="s">
        <v>67</v>
      </c>
      <c r="C171" t="s">
        <v>28</v>
      </c>
      <c r="D171" t="s">
        <v>29</v>
      </c>
      <c r="E171">
        <v>15073</v>
      </c>
      <c r="F171">
        <v>53863</v>
      </c>
      <c r="G171">
        <v>33036</v>
      </c>
      <c r="H171">
        <v>17963</v>
      </c>
      <c r="I171">
        <v>47572</v>
      </c>
      <c r="J171" t="str">
        <f>HYPERLINK("https://www.kinguin.net/es/category/199156/resident-evil-2-steam-account","Abrir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30</v>
      </c>
      <c r="M171" t="s">
        <v>31</v>
      </c>
      <c r="N171" t="s">
        <v>32</v>
      </c>
      <c r="O171" t="s">
        <v>1369</v>
      </c>
      <c r="P171" t="s">
        <v>1370</v>
      </c>
      <c r="Q171" t="s">
        <v>32</v>
      </c>
      <c r="R171" t="s">
        <v>1371</v>
      </c>
      <c r="S171" t="s">
        <v>1372</v>
      </c>
      <c r="T171" t="s">
        <v>37</v>
      </c>
      <c r="U171" t="s">
        <v>37</v>
      </c>
      <c r="V171" t="s">
        <v>37</v>
      </c>
      <c r="W171" t="s">
        <v>1373</v>
      </c>
      <c r="X171" t="s">
        <v>37</v>
      </c>
      <c r="Y171" t="s">
        <v>37</v>
      </c>
      <c r="Z171" t="s">
        <v>37</v>
      </c>
    </row>
    <row r="172">
      <c r="A172" t="s">
        <v>1374</v>
      </c>
      <c r="B172" t="s">
        <v>55</v>
      </c>
      <c r="C172" t="s">
        <v>32</v>
      </c>
      <c r="D172" t="s">
        <v>42</v>
      </c>
      <c r="E172">
        <v>8300</v>
      </c>
      <c r="F172">
        <v>53863</v>
      </c>
      <c r="G172">
        <v>40397</v>
      </c>
      <c r="H172">
        <v>32097</v>
      </c>
      <c r="I172">
        <v>58172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1375</v>
      </c>
      <c r="P172" t="s">
        <v>1376</v>
      </c>
      <c r="Q172" t="s">
        <v>32</v>
      </c>
      <c r="R172" t="s">
        <v>1377</v>
      </c>
      <c r="S172" t="s">
        <v>37</v>
      </c>
      <c r="T172" t="s">
        <v>1378</v>
      </c>
      <c r="U172" t="s">
        <v>1379</v>
      </c>
      <c r="V172" t="s">
        <v>37</v>
      </c>
      <c r="W172" t="s">
        <v>1380</v>
      </c>
      <c r="X172" t="s">
        <v>1381</v>
      </c>
      <c r="Y172" t="s">
        <v>1382</v>
      </c>
      <c r="Z172" t="s">
        <v>37</v>
      </c>
    </row>
    <row r="173">
      <c r="A173" t="s">
        <v>1374</v>
      </c>
      <c r="B173" t="s">
        <v>67</v>
      </c>
      <c r="C173" t="s">
        <v>28</v>
      </c>
      <c r="D173" t="s">
        <v>29</v>
      </c>
      <c r="E173">
        <v>22244</v>
      </c>
      <c r="F173">
        <v>53863</v>
      </c>
      <c r="G173">
        <v>37244</v>
      </c>
      <c r="H173">
        <v>15000</v>
      </c>
      <c r="I173">
        <v>53631</v>
      </c>
      <c r="J173" t="str">
        <f>HYPERLINK("https://www.kinguin.net/es/category/165389/resident-evil-3-steam-account","Abrir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1383</v>
      </c>
      <c r="P173" t="s">
        <v>1384</v>
      </c>
      <c r="Q173" t="s">
        <v>32</v>
      </c>
      <c r="R173" t="s">
        <v>1385</v>
      </c>
      <c r="S173" t="s">
        <v>1386</v>
      </c>
      <c r="T173" t="s">
        <v>37</v>
      </c>
      <c r="U173" t="s">
        <v>1387</v>
      </c>
      <c r="V173" t="s">
        <v>37</v>
      </c>
      <c r="W173" t="s">
        <v>1388</v>
      </c>
      <c r="X173" t="s">
        <v>37</v>
      </c>
      <c r="Y173" t="s">
        <v>1389</v>
      </c>
      <c r="Z173" t="s">
        <v>37</v>
      </c>
    </row>
    <row r="174">
      <c r="A174" t="s">
        <v>1390</v>
      </c>
      <c r="B174" t="s">
        <v>55</v>
      </c>
      <c r="C174" t="s">
        <v>32</v>
      </c>
      <c r="D174" t="s">
        <v>42</v>
      </c>
      <c r="E174">
        <v>11241</v>
      </c>
      <c r="F174">
        <v>53863</v>
      </c>
      <c r="G174">
        <v>39255</v>
      </c>
      <c r="H174">
        <v>28014</v>
      </c>
      <c r="I174">
        <v>56527</v>
      </c>
      <c r="J174" t="str">
        <f>HYPERLINK("https://www.eneba.com/latam/steam-resident-evil-4-pc-steam-key-latam","Abrir compra")</f>
        <v>Abrir compra</v>
      </c>
      <c r="K174" t="str">
        <f>HYPERLINK("https://store.steampowered.com/app/2050650/Resident_Evil_4/","Abrir Steam")</f>
        <v>Abrir Steam</v>
      </c>
      <c r="L174" t="s">
        <v>43</v>
      </c>
      <c r="M174" t="s">
        <v>44</v>
      </c>
      <c r="N174" t="s">
        <v>32</v>
      </c>
      <c r="O174" t="s">
        <v>1391</v>
      </c>
      <c r="P174" t="s">
        <v>1392</v>
      </c>
      <c r="Q174" t="s">
        <v>32</v>
      </c>
      <c r="R174" t="s">
        <v>1393</v>
      </c>
      <c r="S174" t="s">
        <v>1394</v>
      </c>
      <c r="T174" t="s">
        <v>1395</v>
      </c>
      <c r="U174" t="s">
        <v>1396</v>
      </c>
      <c r="V174" t="s">
        <v>37</v>
      </c>
      <c r="W174" t="s">
        <v>1397</v>
      </c>
      <c r="X174" t="s">
        <v>1398</v>
      </c>
      <c r="Y174" t="s">
        <v>1399</v>
      </c>
      <c r="Z174" t="s">
        <v>37</v>
      </c>
    </row>
    <row r="175">
      <c r="A175" t="s">
        <v>1390</v>
      </c>
      <c r="B175" t="s">
        <v>67</v>
      </c>
      <c r="C175" t="s">
        <v>28</v>
      </c>
      <c r="D175" t="s">
        <v>29</v>
      </c>
      <c r="E175">
        <v>10621</v>
      </c>
      <c r="F175">
        <v>53863</v>
      </c>
      <c r="G175">
        <v>31255</v>
      </c>
      <c r="H175">
        <v>20634</v>
      </c>
      <c r="I175">
        <v>45007</v>
      </c>
      <c r="J175" t="str">
        <f>HYPERLINK("https://www.kinguin.net/es/category/151130/resident-evil-4-2023-pc-steam-account","Abrir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75</v>
      </c>
      <c r="N175" t="s">
        <v>32</v>
      </c>
      <c r="O175" t="s">
        <v>1400</v>
      </c>
      <c r="P175" t="s">
        <v>1401</v>
      </c>
      <c r="Q175" t="s">
        <v>32</v>
      </c>
      <c r="R175" t="s">
        <v>1402</v>
      </c>
      <c r="S175" t="s">
        <v>1403</v>
      </c>
      <c r="T175" t="s">
        <v>37</v>
      </c>
      <c r="U175" t="s">
        <v>37</v>
      </c>
      <c r="V175" t="s">
        <v>37</v>
      </c>
      <c r="W175" t="s">
        <v>1404</v>
      </c>
      <c r="X175" t="s">
        <v>37</v>
      </c>
      <c r="Y175" t="s">
        <v>37</v>
      </c>
      <c r="Z175" t="s">
        <v>37</v>
      </c>
    </row>
    <row r="176">
      <c r="A176" t="s">
        <v>1390</v>
      </c>
      <c r="B176" t="s">
        <v>1405</v>
      </c>
      <c r="C176" t="s">
        <v>32</v>
      </c>
      <c r="D176" t="s">
        <v>42</v>
      </c>
      <c r="E176">
        <v>17903</v>
      </c>
      <c r="F176">
        <v>72437</v>
      </c>
      <c r="G176">
        <v>52903</v>
      </c>
      <c r="H176">
        <v>35000</v>
      </c>
      <c r="I176">
        <v>76180</v>
      </c>
      <c r="J176" t="str">
        <f>HYPERLINK("https://www.eneba.com/latam/steam-resident-evil-4-gold-edition-pc-steam-key-latam","Abrir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43</v>
      </c>
      <c r="M176" t="s">
        <v>44</v>
      </c>
      <c r="N176" t="s">
        <v>32</v>
      </c>
      <c r="O176" t="s">
        <v>1406</v>
      </c>
      <c r="P176" t="s">
        <v>1407</v>
      </c>
      <c r="Q176" t="s">
        <v>32</v>
      </c>
      <c r="R176" t="s">
        <v>1408</v>
      </c>
      <c r="S176" t="s">
        <v>37</v>
      </c>
      <c r="T176" t="s">
        <v>1409</v>
      </c>
      <c r="U176" t="s">
        <v>37</v>
      </c>
      <c r="V176" t="s">
        <v>37</v>
      </c>
      <c r="W176" t="s">
        <v>1410</v>
      </c>
      <c r="X176" t="s">
        <v>1411</v>
      </c>
      <c r="Y176" t="s">
        <v>37</v>
      </c>
      <c r="Z176" t="s">
        <v>37</v>
      </c>
    </row>
    <row r="177">
      <c r="A177" t="s">
        <v>1390</v>
      </c>
      <c r="B177" t="s">
        <v>1412</v>
      </c>
      <c r="C177" t="s">
        <v>28</v>
      </c>
      <c r="D177" t="s">
        <v>29</v>
      </c>
      <c r="E177">
        <v>73156</v>
      </c>
      <c r="F177">
        <v>72437</v>
      </c>
      <c r="G177">
        <v>88156</v>
      </c>
      <c r="H177">
        <v>15000</v>
      </c>
      <c r="I177">
        <v>126945</v>
      </c>
      <c r="J177" t="str">
        <f>HYPERLINK("https://www.kinguin.net/es/category/214865/resident-evil-4-2023-gold-edition-pc-steam-account","Abrir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75</v>
      </c>
      <c r="N177" t="s">
        <v>32</v>
      </c>
      <c r="O177" t="s">
        <v>1413</v>
      </c>
      <c r="P177" t="s">
        <v>1414</v>
      </c>
      <c r="Q177" t="s">
        <v>32</v>
      </c>
      <c r="R177" t="s">
        <v>1415</v>
      </c>
      <c r="S177" t="s">
        <v>1416</v>
      </c>
      <c r="T177" t="s">
        <v>37</v>
      </c>
      <c r="U177" t="s">
        <v>37</v>
      </c>
      <c r="V177" t="s">
        <v>37</v>
      </c>
      <c r="W177" t="s">
        <v>1417</v>
      </c>
      <c r="X177" t="s">
        <v>37</v>
      </c>
      <c r="Y177" t="s">
        <v>37</v>
      </c>
      <c r="Z177" t="s">
        <v>37</v>
      </c>
    </row>
    <row r="178">
      <c r="A178" t="s">
        <v>1418</v>
      </c>
      <c r="B178" t="s">
        <v>1419</v>
      </c>
      <c r="C178" t="s">
        <v>32</v>
      </c>
      <c r="D178" t="s">
        <v>42</v>
      </c>
      <c r="E178">
        <v>29256</v>
      </c>
      <c r="F178">
        <v>72437</v>
      </c>
      <c r="G178">
        <v>54328</v>
      </c>
      <c r="H178">
        <v>25072</v>
      </c>
      <c r="I178">
        <v>78232</v>
      </c>
      <c r="J178" t="str">
        <f>HYPERLINK("https://www.eneba.com/latam/steam-resident-evil-7-gold-edition-village-gold-edition-pc-steam-key-latam","Abrir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43</v>
      </c>
      <c r="M178" t="s">
        <v>44</v>
      </c>
      <c r="N178" t="s">
        <v>32</v>
      </c>
      <c r="O178" t="s">
        <v>1420</v>
      </c>
      <c r="P178" t="s">
        <v>1421</v>
      </c>
      <c r="Q178" t="s">
        <v>32</v>
      </c>
      <c r="R178" t="s">
        <v>1422</v>
      </c>
      <c r="S178" t="s">
        <v>37</v>
      </c>
      <c r="T178" t="s">
        <v>1423</v>
      </c>
      <c r="U178" t="s">
        <v>37</v>
      </c>
      <c r="V178" t="s">
        <v>37</v>
      </c>
      <c r="W178" t="s">
        <v>1424</v>
      </c>
      <c r="X178" t="s">
        <v>1425</v>
      </c>
      <c r="Y178" t="s">
        <v>1426</v>
      </c>
      <c r="Z178" t="s">
        <v>37</v>
      </c>
    </row>
    <row r="179">
      <c r="A179" t="s">
        <v>1418</v>
      </c>
      <c r="B179" t="s">
        <v>1427</v>
      </c>
      <c r="C179" t="s">
        <v>28</v>
      </c>
      <c r="D179" t="s">
        <v>29</v>
      </c>
      <c r="E179">
        <v>91918</v>
      </c>
      <c r="F179">
        <v>72437</v>
      </c>
      <c r="G179">
        <v>106918</v>
      </c>
      <c r="H179">
        <v>15000</v>
      </c>
      <c r="I179">
        <v>153962</v>
      </c>
      <c r="J179" t="str">
        <f>HYPERLINK("https://www.kinguin.net/es/category/159039/resident-evil-7-gold-edition-village-gold-edition-bundle-steam-account","Abrir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75</v>
      </c>
      <c r="N179" t="s">
        <v>32</v>
      </c>
      <c r="O179" t="s">
        <v>1428</v>
      </c>
      <c r="P179" t="s">
        <v>1429</v>
      </c>
      <c r="Q179" t="s">
        <v>32</v>
      </c>
      <c r="R179" t="s">
        <v>1430</v>
      </c>
      <c r="S179" t="s">
        <v>1431</v>
      </c>
      <c r="T179" t="s">
        <v>37</v>
      </c>
      <c r="U179" t="s">
        <v>37</v>
      </c>
      <c r="V179" t="s">
        <v>37</v>
      </c>
      <c r="W179" t="s">
        <v>1432</v>
      </c>
      <c r="X179" t="s">
        <v>37</v>
      </c>
      <c r="Y179" t="s">
        <v>37</v>
      </c>
      <c r="Z179" t="s">
        <v>37</v>
      </c>
    </row>
    <row r="180">
      <c r="A180" t="s">
        <v>1433</v>
      </c>
      <c r="B180" t="s">
        <v>1405</v>
      </c>
      <c r="C180" t="s">
        <v>32</v>
      </c>
      <c r="D180" t="s">
        <v>42</v>
      </c>
      <c r="E180">
        <v>11877</v>
      </c>
      <c r="F180">
        <v>83581</v>
      </c>
      <c r="G180">
        <v>38877</v>
      </c>
      <c r="H180">
        <v>27000</v>
      </c>
      <c r="I180">
        <v>55983</v>
      </c>
      <c r="J180" t="str">
        <f>HYPERLINK("https://www.eneba.com/latam/steam-resident-evil-7-biohazard-gold-edition-steam-key-latam","Abrir compra")</f>
        <v>Abrir compra</v>
      </c>
      <c r="K180" t="str">
        <f>HYPERLINK("https://store.steampowered.com/app/418370/Resident_Evil_7_Biohazard/","Abrir Steam")</f>
        <v>Abrir Steam</v>
      </c>
      <c r="L180" t="s">
        <v>43</v>
      </c>
      <c r="M180" t="s">
        <v>44</v>
      </c>
      <c r="N180" t="s">
        <v>32</v>
      </c>
      <c r="O180" t="s">
        <v>1434</v>
      </c>
      <c r="P180" t="s">
        <v>1435</v>
      </c>
      <c r="Q180" t="s">
        <v>32</v>
      </c>
      <c r="R180" t="s">
        <v>1436</v>
      </c>
      <c r="S180" t="s">
        <v>1437</v>
      </c>
      <c r="T180" t="s">
        <v>1438</v>
      </c>
      <c r="U180" t="s">
        <v>383</v>
      </c>
      <c r="V180" t="s">
        <v>37</v>
      </c>
      <c r="W180" t="s">
        <v>1439</v>
      </c>
      <c r="X180" t="s">
        <v>1440</v>
      </c>
      <c r="Y180" t="s">
        <v>1441</v>
      </c>
      <c r="Z180" t="s">
        <v>37</v>
      </c>
    </row>
    <row r="181">
      <c r="A181" t="s">
        <v>1442</v>
      </c>
      <c r="B181" t="s">
        <v>408</v>
      </c>
      <c r="C181" t="s">
        <v>32</v>
      </c>
      <c r="D181" t="s">
        <v>42</v>
      </c>
      <c r="E181">
        <v>71661</v>
      </c>
      <c r="F181">
        <v>111422</v>
      </c>
      <c r="G181">
        <v>106499</v>
      </c>
      <c r="H181">
        <v>34838</v>
      </c>
      <c r="I181">
        <v>153359</v>
      </c>
      <c r="J181" t="str">
        <f>HYPERLINK("https://www.eneba.com/latam/steam-resident-evil-requiem-deluxe-edition-steam-key-pc-latam","Abrir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43</v>
      </c>
      <c r="M181" t="s">
        <v>44</v>
      </c>
      <c r="N181" t="s">
        <v>32</v>
      </c>
      <c r="O181" t="s">
        <v>1443</v>
      </c>
      <c r="P181" t="s">
        <v>1444</v>
      </c>
      <c r="Q181" t="s">
        <v>32</v>
      </c>
      <c r="R181" t="s">
        <v>1445</v>
      </c>
      <c r="S181" t="s">
        <v>1446</v>
      </c>
      <c r="T181" t="s">
        <v>1447</v>
      </c>
      <c r="U181" t="s">
        <v>1448</v>
      </c>
      <c r="V181" t="s">
        <v>37</v>
      </c>
      <c r="W181" t="s">
        <v>1449</v>
      </c>
      <c r="X181" t="s">
        <v>1450</v>
      </c>
      <c r="Y181" t="s">
        <v>1451</v>
      </c>
      <c r="Z181" t="s">
        <v>1452</v>
      </c>
    </row>
    <row r="182">
      <c r="A182" t="s">
        <v>1442</v>
      </c>
      <c r="B182" t="s">
        <v>27</v>
      </c>
      <c r="C182" t="s">
        <v>28</v>
      </c>
      <c r="D182" t="s">
        <v>29</v>
      </c>
      <c r="E182">
        <v>77608</v>
      </c>
      <c r="F182">
        <v>111422</v>
      </c>
      <c r="G182">
        <v>92608</v>
      </c>
      <c r="H182">
        <v>15000</v>
      </c>
      <c r="I182">
        <v>133356</v>
      </c>
      <c r="J182" t="str">
        <f>HYPERLINK("https://www.kinguin.net/es/category/406014/resident-evil-requiem-deluxe-edition-pc-steam-account","Abrir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75</v>
      </c>
      <c r="N182" t="s">
        <v>32</v>
      </c>
      <c r="O182" t="s">
        <v>1453</v>
      </c>
      <c r="P182" t="s">
        <v>1454</v>
      </c>
      <c r="Q182" t="s">
        <v>32</v>
      </c>
      <c r="R182" t="s">
        <v>1455</v>
      </c>
      <c r="S182" t="s">
        <v>1456</v>
      </c>
      <c r="T182" t="s">
        <v>37</v>
      </c>
      <c r="U182" t="s">
        <v>37</v>
      </c>
      <c r="V182" t="s">
        <v>37</v>
      </c>
      <c r="W182" t="s">
        <v>1457</v>
      </c>
      <c r="X182" t="s">
        <v>37</v>
      </c>
      <c r="Y182" t="s">
        <v>37</v>
      </c>
      <c r="Z182" t="s">
        <v>37</v>
      </c>
    </row>
    <row r="183">
      <c r="A183" t="s">
        <v>1442</v>
      </c>
      <c r="B183" t="s">
        <v>67</v>
      </c>
      <c r="C183" t="s">
        <v>28</v>
      </c>
      <c r="D183" t="s">
        <v>29</v>
      </c>
      <c r="E183">
        <v>41897</v>
      </c>
      <c r="F183">
        <v>98440</v>
      </c>
      <c r="G183">
        <v>61150</v>
      </c>
      <c r="H183">
        <v>19253</v>
      </c>
      <c r="I183">
        <v>88056</v>
      </c>
      <c r="J183" t="str">
        <f>HYPERLINK("https://www.kinguin.net/es/category/405998/resident-evil-requiem-pc-steam-account","Abrir compra")</f>
        <v>Abrir compra</v>
      </c>
      <c r="K183" t="str">
        <f>HYPERLINK("https://store.steampowered.com/app/3764200/Resident_Evil_Requiem/","Abrir Steam")</f>
        <v>Abrir Steam</v>
      </c>
      <c r="L183" t="s">
        <v>30</v>
      </c>
      <c r="M183" t="s">
        <v>75</v>
      </c>
      <c r="N183" t="s">
        <v>32</v>
      </c>
      <c r="O183" t="s">
        <v>1458</v>
      </c>
      <c r="P183" t="s">
        <v>1459</v>
      </c>
      <c r="Q183" t="s">
        <v>32</v>
      </c>
      <c r="R183" t="s">
        <v>1460</v>
      </c>
      <c r="S183" t="s">
        <v>1461</v>
      </c>
      <c r="T183" t="s">
        <v>37</v>
      </c>
      <c r="U183" t="s">
        <v>37</v>
      </c>
      <c r="V183" t="s">
        <v>37</v>
      </c>
      <c r="W183" t="s">
        <v>1462</v>
      </c>
      <c r="X183" t="s">
        <v>37</v>
      </c>
      <c r="Y183" t="s">
        <v>37</v>
      </c>
      <c r="Z183" t="s">
        <v>37</v>
      </c>
    </row>
    <row r="184">
      <c r="A184" t="s">
        <v>1463</v>
      </c>
      <c r="B184" t="s">
        <v>55</v>
      </c>
      <c r="C184" t="s">
        <v>32</v>
      </c>
      <c r="D184" t="s">
        <v>42</v>
      </c>
      <c r="E184">
        <v>11098</v>
      </c>
      <c r="F184">
        <v>53863</v>
      </c>
      <c r="G184">
        <v>35000</v>
      </c>
      <c r="H184">
        <v>23902</v>
      </c>
      <c r="I184">
        <v>50400</v>
      </c>
      <c r="J184" t="str">
        <f>HYPERLINK("https://www.eneba.com/latam/steam-resident-evil-village-resident-evil-8-steam-key-latam","Abrir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1464</v>
      </c>
      <c r="P184" t="s">
        <v>1465</v>
      </c>
      <c r="Q184" t="s">
        <v>32</v>
      </c>
      <c r="R184" t="s">
        <v>1466</v>
      </c>
      <c r="S184" t="s">
        <v>37</v>
      </c>
      <c r="T184" t="s">
        <v>1467</v>
      </c>
      <c r="U184" t="s">
        <v>1468</v>
      </c>
      <c r="V184" t="s">
        <v>37</v>
      </c>
      <c r="W184" t="s">
        <v>1469</v>
      </c>
      <c r="X184" t="s">
        <v>1470</v>
      </c>
      <c r="Y184" t="s">
        <v>1471</v>
      </c>
      <c r="Z184" t="s">
        <v>1472</v>
      </c>
    </row>
    <row r="185">
      <c r="A185" t="s">
        <v>1463</v>
      </c>
      <c r="B185" t="s">
        <v>1405</v>
      </c>
      <c r="C185" t="s">
        <v>32</v>
      </c>
      <c r="D185" t="s">
        <v>42</v>
      </c>
      <c r="E185">
        <v>18317</v>
      </c>
      <c r="F185">
        <v>72437</v>
      </c>
      <c r="G185">
        <v>53317</v>
      </c>
      <c r="H185">
        <v>35000</v>
      </c>
      <c r="I185">
        <v>76776</v>
      </c>
      <c r="J185" t="str">
        <f>HYPERLINK("https://www.eneba.com/latam/steam-resident-evil-village-resident-evil-8-gold-edition-pc-steam-key-latam","Abrir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1473</v>
      </c>
      <c r="P185" t="s">
        <v>1474</v>
      </c>
      <c r="Q185" t="s">
        <v>32</v>
      </c>
      <c r="R185" t="s">
        <v>1475</v>
      </c>
      <c r="S185" t="s">
        <v>1476</v>
      </c>
      <c r="T185" t="s">
        <v>1477</v>
      </c>
      <c r="U185" t="s">
        <v>1478</v>
      </c>
      <c r="V185" t="s">
        <v>37</v>
      </c>
      <c r="W185" t="s">
        <v>1479</v>
      </c>
      <c r="X185" t="s">
        <v>1480</v>
      </c>
      <c r="Y185" t="s">
        <v>1481</v>
      </c>
      <c r="Z185" t="s">
        <v>1482</v>
      </c>
    </row>
    <row r="186">
      <c r="A186" t="s">
        <v>1463</v>
      </c>
      <c r="B186" t="s">
        <v>1412</v>
      </c>
      <c r="C186" t="s">
        <v>28</v>
      </c>
      <c r="D186" t="s">
        <v>29</v>
      </c>
      <c r="E186">
        <v>73538</v>
      </c>
      <c r="F186">
        <v>72437</v>
      </c>
      <c r="G186">
        <v>88538</v>
      </c>
      <c r="H186">
        <v>15000</v>
      </c>
      <c r="I186">
        <v>127495</v>
      </c>
      <c r="J186" t="str">
        <f>HYPERLINK("https://www.kinguin.net/es/category/159038/resident-evil-village-gold-edition-steam-account","Abrir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75</v>
      </c>
      <c r="N186" t="s">
        <v>32</v>
      </c>
      <c r="O186" t="s">
        <v>1483</v>
      </c>
      <c r="P186" t="s">
        <v>1484</v>
      </c>
      <c r="Q186" t="s">
        <v>32</v>
      </c>
      <c r="R186" t="s">
        <v>1485</v>
      </c>
      <c r="S186" t="s">
        <v>1486</v>
      </c>
      <c r="T186" t="s">
        <v>37</v>
      </c>
      <c r="U186" t="s">
        <v>37</v>
      </c>
      <c r="V186" t="s">
        <v>37</v>
      </c>
      <c r="W186" t="s">
        <v>1487</v>
      </c>
      <c r="X186" t="s">
        <v>37</v>
      </c>
      <c r="Y186" t="s">
        <v>37</v>
      </c>
      <c r="Z186" t="s">
        <v>37</v>
      </c>
    </row>
    <row r="187">
      <c r="A187" t="s">
        <v>1488</v>
      </c>
      <c r="B187" t="s">
        <v>55</v>
      </c>
      <c r="C187" t="s">
        <v>32</v>
      </c>
      <c r="D187" t="s">
        <v>42</v>
      </c>
      <c r="E187">
        <v>12148</v>
      </c>
      <c r="F187">
        <v>53863</v>
      </c>
      <c r="G187">
        <v>35097</v>
      </c>
      <c r="H187">
        <v>22949</v>
      </c>
      <c r="I187">
        <v>50540</v>
      </c>
      <c r="J187" t="str">
        <f>HYPERLINK("https://driffle.com/es/resident-evil-raccoon-city-edition-global-pc-steam-digital-key-p9960425","Abrir compra")</f>
        <v>Abrir compra</v>
      </c>
      <c r="K187" t="str">
        <f>HYPERLINK("https://store.steampowered.com/app/883710/Resident_Evil_2/?curator_clanid=4777282","Abrir Steam")</f>
        <v>Abrir Steam</v>
      </c>
      <c r="L187" t="s">
        <v>56</v>
      </c>
      <c r="M187" t="s">
        <v>75</v>
      </c>
      <c r="N187" t="s">
        <v>32</v>
      </c>
      <c r="O187" t="s">
        <v>1489</v>
      </c>
      <c r="P187" t="s">
        <v>1490</v>
      </c>
      <c r="Q187" t="s">
        <v>32</v>
      </c>
      <c r="R187" t="s">
        <v>1491</v>
      </c>
      <c r="S187" t="s">
        <v>37</v>
      </c>
      <c r="T187" t="s">
        <v>1492</v>
      </c>
      <c r="U187" t="s">
        <v>1493</v>
      </c>
      <c r="V187" t="s">
        <v>37</v>
      </c>
      <c r="W187" t="s">
        <v>1494</v>
      </c>
      <c r="X187" t="s">
        <v>1495</v>
      </c>
      <c r="Y187" t="s">
        <v>1496</v>
      </c>
      <c r="Z187" t="s">
        <v>37</v>
      </c>
    </row>
    <row r="188">
      <c r="A188" t="s">
        <v>1497</v>
      </c>
      <c r="B188" t="s">
        <v>1498</v>
      </c>
      <c r="C188" t="s">
        <v>28</v>
      </c>
      <c r="D188" t="s">
        <v>29</v>
      </c>
      <c r="E188">
        <v>17856</v>
      </c>
      <c r="F188">
        <v>44558</v>
      </c>
      <c r="G188">
        <v>32856</v>
      </c>
      <c r="H188">
        <v>15000</v>
      </c>
      <c r="I188">
        <v>47313</v>
      </c>
      <c r="J188" t="str">
        <f>HYPERLINK("https://driffle.com/es/sea-of-thieves-2026-edition-global-pc-steam-account-p9992474","Abrir compra")</f>
        <v>Abrir compra</v>
      </c>
      <c r="K188" t="str">
        <f>HYPERLINK("https://store.steampowered.com/app/1172620/Sea_of_Thieves_2026_Edition/","Abrir Steam")</f>
        <v>Abrir Steam</v>
      </c>
      <c r="L188" t="s">
        <v>56</v>
      </c>
      <c r="M188" t="s">
        <v>44</v>
      </c>
      <c r="N188" t="s">
        <v>32</v>
      </c>
      <c r="O188" t="s">
        <v>1499</v>
      </c>
      <c r="P188" t="s">
        <v>1500</v>
      </c>
      <c r="Q188" t="s">
        <v>32</v>
      </c>
      <c r="R188" t="s">
        <v>1501</v>
      </c>
      <c r="S188" t="s">
        <v>1502</v>
      </c>
      <c r="T188" t="s">
        <v>37</v>
      </c>
      <c r="U188" t="s">
        <v>1503</v>
      </c>
      <c r="V188" t="s">
        <v>37</v>
      </c>
      <c r="W188" t="s">
        <v>1504</v>
      </c>
      <c r="X188" t="s">
        <v>37</v>
      </c>
      <c r="Y188" t="s">
        <v>1505</v>
      </c>
      <c r="Z188" t="s">
        <v>37</v>
      </c>
    </row>
    <row r="189">
      <c r="A189" t="s">
        <v>1497</v>
      </c>
      <c r="B189" t="s">
        <v>27</v>
      </c>
      <c r="C189" t="s">
        <v>28</v>
      </c>
      <c r="D189" t="s">
        <v>29</v>
      </c>
      <c r="E189">
        <v>64777</v>
      </c>
      <c r="F189">
        <v>55702</v>
      </c>
      <c r="G189">
        <v>79777</v>
      </c>
      <c r="H189">
        <v>15000</v>
      </c>
      <c r="I189">
        <v>114879</v>
      </c>
      <c r="J189" t="str">
        <f>HYPERLINK("https://driffle.com/es/sea-of-thieves-2026-deluxe-edition-global-pc-steam-account-p9992475","Abrir compra")</f>
        <v>Abrir compra</v>
      </c>
      <c r="K189" t="str">
        <f>HYPERLINK("https://store.steampowered.com/app/1172620/Sea_of_Thieves_2026_Edition/","Abrir Steam")</f>
        <v>Abrir Steam</v>
      </c>
      <c r="L189" t="s">
        <v>56</v>
      </c>
      <c r="M189" t="s">
        <v>44</v>
      </c>
      <c r="N189" t="s">
        <v>32</v>
      </c>
      <c r="O189" t="s">
        <v>1506</v>
      </c>
      <c r="P189" t="s">
        <v>1507</v>
      </c>
      <c r="Q189" t="s">
        <v>32</v>
      </c>
      <c r="R189" t="s">
        <v>1508</v>
      </c>
      <c r="S189" t="s">
        <v>1509</v>
      </c>
      <c r="T189" t="s">
        <v>37</v>
      </c>
      <c r="U189" t="s">
        <v>1510</v>
      </c>
      <c r="V189" t="s">
        <v>37</v>
      </c>
      <c r="W189" t="s">
        <v>1511</v>
      </c>
      <c r="X189" t="s">
        <v>37</v>
      </c>
      <c r="Y189" t="s">
        <v>1512</v>
      </c>
      <c r="Z189" t="s">
        <v>37</v>
      </c>
    </row>
    <row r="190">
      <c r="A190" t="s">
        <v>1497</v>
      </c>
      <c r="B190" t="s">
        <v>715</v>
      </c>
      <c r="C190" t="s">
        <v>28</v>
      </c>
      <c r="D190" t="s">
        <v>29</v>
      </c>
      <c r="E190">
        <v>77926</v>
      </c>
      <c r="F190">
        <v>66846</v>
      </c>
      <c r="G190">
        <v>92926</v>
      </c>
      <c r="H190">
        <v>15000</v>
      </c>
      <c r="I190">
        <v>133813</v>
      </c>
      <c r="J190" t="str">
        <f>HYPERLINK("https://driffle.com/es/sea-of-thieves-2026-premium-edition-global-pc-steam-account-p9992476","Abrir compra")</f>
        <v>Abrir compra</v>
      </c>
      <c r="K190" t="str">
        <f>HYPERLINK("https://store.steampowered.com/app/1172620/Sea_of_Thieves_2026_Edition/","Abrir Steam")</f>
        <v>Abrir Steam</v>
      </c>
      <c r="L190" t="s">
        <v>56</v>
      </c>
      <c r="M190" t="s">
        <v>44</v>
      </c>
      <c r="N190" t="s">
        <v>32</v>
      </c>
      <c r="O190" t="s">
        <v>1513</v>
      </c>
      <c r="P190" t="s">
        <v>1514</v>
      </c>
      <c r="Q190" t="s">
        <v>32</v>
      </c>
      <c r="R190" t="s">
        <v>1515</v>
      </c>
      <c r="S190" t="s">
        <v>247</v>
      </c>
      <c r="T190" t="s">
        <v>37</v>
      </c>
      <c r="U190" t="s">
        <v>1516</v>
      </c>
      <c r="V190" t="s">
        <v>37</v>
      </c>
      <c r="W190" t="s">
        <v>1517</v>
      </c>
      <c r="X190" t="s">
        <v>37</v>
      </c>
      <c r="Y190" t="s">
        <v>1518</v>
      </c>
      <c r="Z190" t="s">
        <v>37</v>
      </c>
    </row>
    <row r="191">
      <c r="A191" t="s">
        <v>1519</v>
      </c>
      <c r="B191" t="s">
        <v>55</v>
      </c>
      <c r="C191" t="s">
        <v>32</v>
      </c>
      <c r="D191" t="s">
        <v>42</v>
      </c>
      <c r="E191">
        <v>41006</v>
      </c>
      <c r="F191">
        <v>61274</v>
      </c>
      <c r="G191">
        <v>57471</v>
      </c>
      <c r="H191">
        <v>16465</v>
      </c>
      <c r="I191">
        <v>82758</v>
      </c>
      <c r="J191" t="str">
        <f>HYPERLINK("https://www.loaded.com/es_es/silent-hill-2-pc-steam","Abrir compra")</f>
        <v>Abrir compra</v>
      </c>
      <c r="K191" t="str">
        <f>HYPERLINK("https://store.steampowered.com/app/2124490/SILENT_HILL_2/","Abrir Steam")</f>
        <v>Abrir Steam</v>
      </c>
      <c r="L191" t="s">
        <v>293</v>
      </c>
      <c r="M191" t="s">
        <v>31</v>
      </c>
      <c r="N191" t="s">
        <v>32</v>
      </c>
      <c r="O191" t="s">
        <v>1520</v>
      </c>
      <c r="P191" t="s">
        <v>1521</v>
      </c>
      <c r="Q191" t="s">
        <v>32</v>
      </c>
      <c r="R191" t="s">
        <v>1522</v>
      </c>
      <c r="S191" t="s">
        <v>37</v>
      </c>
      <c r="T191" t="s">
        <v>1523</v>
      </c>
      <c r="U191" t="s">
        <v>1524</v>
      </c>
      <c r="V191" t="s">
        <v>852</v>
      </c>
      <c r="W191" t="s">
        <v>1525</v>
      </c>
      <c r="X191" t="s">
        <v>1526</v>
      </c>
      <c r="Y191" t="s">
        <v>1527</v>
      </c>
      <c r="Z191" t="s">
        <v>1528</v>
      </c>
    </row>
    <row r="192">
      <c r="A192" t="s">
        <v>1519</v>
      </c>
      <c r="B192" t="s">
        <v>67</v>
      </c>
      <c r="C192" t="s">
        <v>28</v>
      </c>
      <c r="D192" t="s">
        <v>29</v>
      </c>
      <c r="E192">
        <v>34471</v>
      </c>
      <c r="F192">
        <v>61274</v>
      </c>
      <c r="G192">
        <v>49471</v>
      </c>
      <c r="H192">
        <v>15000</v>
      </c>
      <c r="I192">
        <v>71238</v>
      </c>
      <c r="J192" t="str">
        <f>HYPERLINK("https://driffle.com/es/silent-hill-2-global-pc-steam-account-p9962323","Abrir compra")</f>
        <v>Abrir compra</v>
      </c>
      <c r="K192" t="str">
        <f>HYPERLINK("https://store.steampowered.com/app/2124490/SILENT_HILL_2/","Abrir Steam")</f>
        <v>Abrir Steam</v>
      </c>
      <c r="L192" t="s">
        <v>56</v>
      </c>
      <c r="M192" t="s">
        <v>44</v>
      </c>
      <c r="N192" t="s">
        <v>32</v>
      </c>
      <c r="O192" t="s">
        <v>1529</v>
      </c>
      <c r="P192" t="s">
        <v>1530</v>
      </c>
      <c r="Q192" t="s">
        <v>32</v>
      </c>
      <c r="R192" t="s">
        <v>1531</v>
      </c>
      <c r="S192" t="s">
        <v>1532</v>
      </c>
      <c r="T192" t="s">
        <v>37</v>
      </c>
      <c r="U192" t="s">
        <v>1533</v>
      </c>
      <c r="V192" t="s">
        <v>37</v>
      </c>
      <c r="W192" t="s">
        <v>1534</v>
      </c>
      <c r="X192" t="s">
        <v>37</v>
      </c>
      <c r="Y192" t="s">
        <v>1535</v>
      </c>
      <c r="Z192" t="s">
        <v>37</v>
      </c>
    </row>
    <row r="193">
      <c r="A193" t="s">
        <v>1536</v>
      </c>
      <c r="B193" t="s">
        <v>27</v>
      </c>
      <c r="C193" t="s">
        <v>28</v>
      </c>
      <c r="D193" t="s">
        <v>29</v>
      </c>
      <c r="E193">
        <v>29717</v>
      </c>
      <c r="F193">
        <v>68703</v>
      </c>
      <c r="G193">
        <v>44717</v>
      </c>
      <c r="H193">
        <v>15000</v>
      </c>
      <c r="I193">
        <v>64392</v>
      </c>
      <c r="J193" t="str">
        <f>HYPERLINK("https://www.kinguin.net/es/category/347325/silent-hill-f-deluxe-edition-pc-steam-account","Abrir compra")</f>
        <v>Abrir compra</v>
      </c>
      <c r="K193" t="str">
        <f>HYPERLINK("https://store.steampowered.com/app/2947440/SILENT_HILL_f/","Abrir Steam")</f>
        <v>Abrir Steam</v>
      </c>
      <c r="L193" t="s">
        <v>30</v>
      </c>
      <c r="M193" t="s">
        <v>31</v>
      </c>
      <c r="N193" t="s">
        <v>32</v>
      </c>
      <c r="O193" t="s">
        <v>1537</v>
      </c>
      <c r="P193" t="s">
        <v>1538</v>
      </c>
      <c r="Q193" t="s">
        <v>32</v>
      </c>
      <c r="R193" t="s">
        <v>1539</v>
      </c>
      <c r="S193" t="s">
        <v>1540</v>
      </c>
      <c r="T193" t="s">
        <v>37</v>
      </c>
      <c r="U193" t="s">
        <v>37</v>
      </c>
      <c r="V193" t="s">
        <v>37</v>
      </c>
      <c r="W193" t="s">
        <v>1541</v>
      </c>
      <c r="X193" t="s">
        <v>37</v>
      </c>
      <c r="Y193" t="s">
        <v>1542</v>
      </c>
      <c r="Z193" t="s">
        <v>37</v>
      </c>
    </row>
    <row r="194">
      <c r="A194" t="s">
        <v>1536</v>
      </c>
      <c r="B194" t="s">
        <v>55</v>
      </c>
      <c r="C194" t="s">
        <v>32</v>
      </c>
      <c r="D194" t="s">
        <v>42</v>
      </c>
      <c r="E194">
        <v>35823</v>
      </c>
      <c r="F194">
        <v>61274</v>
      </c>
      <c r="G194">
        <v>50823</v>
      </c>
      <c r="H194">
        <v>15000</v>
      </c>
      <c r="I194">
        <v>73185</v>
      </c>
      <c r="J194" t="str">
        <f>HYPERLINK("https://www.eneba.com/latam/steam-silent-hill-f-steam-key-pc-latam","Abrir compra")</f>
        <v>Abrir compra</v>
      </c>
      <c r="K194" t="str">
        <f>HYPERLINK("https://store.steampowered.com/app/2947440/SILENT_HILL_f/","Abrir Steam")</f>
        <v>Abrir Steam</v>
      </c>
      <c r="L194" t="s">
        <v>43</v>
      </c>
      <c r="M194" t="s">
        <v>44</v>
      </c>
      <c r="N194" t="s">
        <v>32</v>
      </c>
      <c r="O194" t="s">
        <v>1543</v>
      </c>
      <c r="P194" t="s">
        <v>1544</v>
      </c>
      <c r="Q194" t="s">
        <v>32</v>
      </c>
      <c r="R194" t="s">
        <v>1545</v>
      </c>
      <c r="S194" t="s">
        <v>1546</v>
      </c>
      <c r="T194" t="s">
        <v>1547</v>
      </c>
      <c r="U194" t="s">
        <v>1548</v>
      </c>
      <c r="V194" t="s">
        <v>37</v>
      </c>
      <c r="W194" t="s">
        <v>1549</v>
      </c>
      <c r="X194" t="s">
        <v>1550</v>
      </c>
      <c r="Y194" t="s">
        <v>1551</v>
      </c>
      <c r="Z194" t="s">
        <v>37</v>
      </c>
    </row>
    <row r="195">
      <c r="A195" t="s">
        <v>1536</v>
      </c>
      <c r="B195" t="s">
        <v>67</v>
      </c>
      <c r="C195" t="s">
        <v>28</v>
      </c>
      <c r="D195" t="s">
        <v>29</v>
      </c>
      <c r="E195">
        <v>24709</v>
      </c>
      <c r="F195">
        <v>61274</v>
      </c>
      <c r="G195">
        <v>39780</v>
      </c>
      <c r="H195">
        <v>15071</v>
      </c>
      <c r="I195">
        <v>57283</v>
      </c>
      <c r="J195" t="str">
        <f>HYPERLINK("https://driffle.com/es/silent-hill-f-global-pc-steam-account-p9964460","Abrir compra")</f>
        <v>Abrir compra</v>
      </c>
      <c r="K195" t="str">
        <f>HYPERLINK("https://store.steampowered.com/app/2947440/SILENT_HILL_f/","Abrir Steam")</f>
        <v>Abrir Steam</v>
      </c>
      <c r="L195" t="s">
        <v>56</v>
      </c>
      <c r="M195" t="s">
        <v>44</v>
      </c>
      <c r="N195" t="s">
        <v>32</v>
      </c>
      <c r="O195" t="s">
        <v>1552</v>
      </c>
      <c r="P195" t="s">
        <v>1553</v>
      </c>
      <c r="Q195" t="s">
        <v>32</v>
      </c>
      <c r="R195" t="s">
        <v>1554</v>
      </c>
      <c r="S195" t="s">
        <v>1555</v>
      </c>
      <c r="T195" t="s">
        <v>37</v>
      </c>
      <c r="U195" t="s">
        <v>1556</v>
      </c>
      <c r="V195" t="s">
        <v>37</v>
      </c>
      <c r="W195" t="s">
        <v>1557</v>
      </c>
      <c r="X195" t="s">
        <v>37</v>
      </c>
      <c r="Y195" t="s">
        <v>1558</v>
      </c>
      <c r="Z195" t="s">
        <v>37</v>
      </c>
    </row>
    <row r="196">
      <c r="A196" t="s">
        <v>1559</v>
      </c>
      <c r="B196" t="s">
        <v>408</v>
      </c>
      <c r="C196" t="s">
        <v>32</v>
      </c>
      <c r="D196" t="s">
        <v>42</v>
      </c>
      <c r="E196">
        <v>74555</v>
      </c>
      <c r="F196">
        <v>94706</v>
      </c>
      <c r="G196">
        <v>89555</v>
      </c>
      <c r="H196">
        <v>15000</v>
      </c>
      <c r="I196">
        <v>128959</v>
      </c>
      <c r="J196" t="str">
        <f>HYPERLINK("https://www.loaded.com/es_es/silent-hill-townfall-deluxe-edition-pc-steam","Abrir compra")</f>
        <v>Abrir compra</v>
      </c>
      <c r="K196" t="str">
        <f>HYPERLINK("https://store.steampowered.com/app/1636440/SILENT_HILL_Townfall/","Abrir Steam")</f>
        <v>Abrir Steam</v>
      </c>
      <c r="L196" t="s">
        <v>293</v>
      </c>
      <c r="M196" t="s">
        <v>31</v>
      </c>
      <c r="N196" t="s">
        <v>32</v>
      </c>
      <c r="O196" t="s">
        <v>1560</v>
      </c>
      <c r="P196" t="s">
        <v>1561</v>
      </c>
      <c r="Q196" t="s">
        <v>32</v>
      </c>
      <c r="R196" t="s">
        <v>1562</v>
      </c>
      <c r="S196" t="s">
        <v>37</v>
      </c>
      <c r="T196" t="s">
        <v>1563</v>
      </c>
      <c r="U196" t="s">
        <v>37</v>
      </c>
      <c r="V196" t="s">
        <v>1564</v>
      </c>
      <c r="W196" t="s">
        <v>37</v>
      </c>
      <c r="X196" t="s">
        <v>1565</v>
      </c>
      <c r="Y196" t="s">
        <v>37</v>
      </c>
      <c r="Z196" t="s">
        <v>1566</v>
      </c>
    </row>
    <row r="197">
      <c r="A197" t="s">
        <v>1559</v>
      </c>
      <c r="B197" t="s">
        <v>55</v>
      </c>
      <c r="C197" t="s">
        <v>32</v>
      </c>
      <c r="D197" t="s">
        <v>42</v>
      </c>
      <c r="E197">
        <v>62630</v>
      </c>
      <c r="F197">
        <v>78919</v>
      </c>
      <c r="G197">
        <v>77630</v>
      </c>
      <c r="H197">
        <v>15000</v>
      </c>
      <c r="I197">
        <v>111787</v>
      </c>
      <c r="J197" t="str">
        <f>HYPERLINK("https://www.loaded.com/es_es/silent-hill-townfall-pc-steam","Abrir compra")</f>
        <v>Abrir compra</v>
      </c>
      <c r="K197" t="str">
        <f>HYPERLINK("https://store.steampowered.com/app/1636440/SILENT_HILL_Townfall/","Abrir Steam")</f>
        <v>Abrir Steam</v>
      </c>
      <c r="L197" t="s">
        <v>293</v>
      </c>
      <c r="M197" t="s">
        <v>31</v>
      </c>
      <c r="N197" t="s">
        <v>32</v>
      </c>
      <c r="O197" t="s">
        <v>1567</v>
      </c>
      <c r="P197" t="s">
        <v>1568</v>
      </c>
      <c r="Q197" t="s">
        <v>32</v>
      </c>
      <c r="R197" t="s">
        <v>1569</v>
      </c>
      <c r="S197" t="s">
        <v>37</v>
      </c>
      <c r="T197" t="s">
        <v>1570</v>
      </c>
      <c r="U197" t="s">
        <v>37</v>
      </c>
      <c r="V197" t="s">
        <v>1571</v>
      </c>
      <c r="W197" t="s">
        <v>1572</v>
      </c>
      <c r="X197" t="s">
        <v>1573</v>
      </c>
      <c r="Y197" t="s">
        <v>37</v>
      </c>
      <c r="Z197" t="s">
        <v>1574</v>
      </c>
    </row>
    <row r="198">
      <c r="A198" t="s">
        <v>1575</v>
      </c>
      <c r="B198" t="s">
        <v>55</v>
      </c>
      <c r="C198" t="s">
        <v>32</v>
      </c>
      <c r="D198" t="s">
        <v>42</v>
      </c>
      <c r="E198">
        <v>70676</v>
      </c>
      <c r="F198">
        <v>92849</v>
      </c>
      <c r="G198">
        <v>87711</v>
      </c>
      <c r="H198">
        <v>17035</v>
      </c>
      <c r="I198">
        <v>126304</v>
      </c>
      <c r="J198" t="str">
        <f>HYPERLINK("https://driffle.com/es/split-fiction-global-pc-steam-digital-key-p9929426","Abrir compra")</f>
        <v>Abrir compra</v>
      </c>
      <c r="K198" t="str">
        <f>HYPERLINK("https://store.steampowered.com/app/2001120/Split_Fiction/?curator_clanid=4777282","Abrir Steam")</f>
        <v>Abrir Steam</v>
      </c>
      <c r="L198" t="s">
        <v>56</v>
      </c>
      <c r="M198" t="s">
        <v>75</v>
      </c>
      <c r="N198" t="s">
        <v>32</v>
      </c>
      <c r="O198" t="s">
        <v>1576</v>
      </c>
      <c r="P198" t="s">
        <v>1577</v>
      </c>
      <c r="Q198" t="s">
        <v>32</v>
      </c>
      <c r="R198" t="s">
        <v>1578</v>
      </c>
      <c r="S198" t="s">
        <v>37</v>
      </c>
      <c r="T198" t="s">
        <v>1579</v>
      </c>
      <c r="U198" t="s">
        <v>1580</v>
      </c>
      <c r="V198" t="s">
        <v>37</v>
      </c>
      <c r="W198" t="s">
        <v>1581</v>
      </c>
      <c r="X198" t="s">
        <v>1582</v>
      </c>
      <c r="Y198" t="s">
        <v>1583</v>
      </c>
      <c r="Z198" t="s">
        <v>37</v>
      </c>
    </row>
    <row r="199">
      <c r="A199" t="s">
        <v>1575</v>
      </c>
      <c r="B199" t="s">
        <v>67</v>
      </c>
      <c r="C199" t="s">
        <v>28</v>
      </c>
      <c r="D199" t="s">
        <v>29</v>
      </c>
      <c r="E199">
        <v>31577</v>
      </c>
      <c r="F199">
        <v>92849</v>
      </c>
      <c r="G199">
        <v>54842</v>
      </c>
      <c r="H199">
        <v>23265</v>
      </c>
      <c r="I199">
        <v>78972</v>
      </c>
      <c r="J199" t="str">
        <f>HYPERLINK("https://www.kinguin.net/es/category/305795/split-fiction-pc-steam-account","Abrir compra")</f>
        <v>Abrir compra</v>
      </c>
      <c r="K199" t="str">
        <f>HYPERLINK("https://store.steampowered.com/app/2001120/Split_Fiction/?curator_clanid=4777282","Abrir Steam")</f>
        <v>Abrir Steam</v>
      </c>
      <c r="L199" t="s">
        <v>30</v>
      </c>
      <c r="M199" t="s">
        <v>75</v>
      </c>
      <c r="N199" t="s">
        <v>32</v>
      </c>
      <c r="O199" t="s">
        <v>1584</v>
      </c>
      <c r="P199" t="s">
        <v>1585</v>
      </c>
      <c r="Q199" t="s">
        <v>32</v>
      </c>
      <c r="R199" t="s">
        <v>1586</v>
      </c>
      <c r="S199" t="s">
        <v>1587</v>
      </c>
      <c r="T199" t="s">
        <v>37</v>
      </c>
      <c r="U199" t="s">
        <v>1588</v>
      </c>
      <c r="V199" t="s">
        <v>37</v>
      </c>
      <c r="W199" t="s">
        <v>1589</v>
      </c>
      <c r="X199" t="s">
        <v>37</v>
      </c>
      <c r="Y199" t="s">
        <v>1590</v>
      </c>
      <c r="Z199" t="s">
        <v>37</v>
      </c>
    </row>
    <row r="200">
      <c r="A200" t="s">
        <v>1591</v>
      </c>
      <c r="B200" t="s">
        <v>408</v>
      </c>
      <c r="C200" t="s">
        <v>32</v>
      </c>
      <c r="D200" t="s">
        <v>42</v>
      </c>
      <c r="E200">
        <v>188701</v>
      </c>
      <c r="F200">
        <v>167143</v>
      </c>
      <c r="G200">
        <v>203701</v>
      </c>
      <c r="H200">
        <v>15000</v>
      </c>
      <c r="I200">
        <v>293329</v>
      </c>
      <c r="J200" t="str">
        <f>HYPERLINK("https://www.eneba.com/latam/steam-star-wars-jedi-survivortm-deluxe-edition-pc-steam-key-global","Abrir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43</v>
      </c>
      <c r="M200" t="s">
        <v>75</v>
      </c>
      <c r="N200" t="s">
        <v>32</v>
      </c>
      <c r="O200" t="s">
        <v>1592</v>
      </c>
      <c r="P200" t="s">
        <v>1593</v>
      </c>
      <c r="Q200" t="s">
        <v>32</v>
      </c>
      <c r="R200" t="s">
        <v>1594</v>
      </c>
      <c r="S200" t="s">
        <v>37</v>
      </c>
      <c r="T200" t="s">
        <v>1595</v>
      </c>
      <c r="U200" t="s">
        <v>37</v>
      </c>
      <c r="V200" t="s">
        <v>37</v>
      </c>
      <c r="W200" t="s">
        <v>37</v>
      </c>
      <c r="X200" t="s">
        <v>1596</v>
      </c>
      <c r="Y200" t="s">
        <v>1597</v>
      </c>
      <c r="Z200" t="s">
        <v>37</v>
      </c>
    </row>
    <row r="201">
      <c r="A201" t="s">
        <v>1591</v>
      </c>
      <c r="B201" t="s">
        <v>27</v>
      </c>
      <c r="C201" t="s">
        <v>28</v>
      </c>
      <c r="D201" t="s">
        <v>29</v>
      </c>
      <c r="E201">
        <v>104447</v>
      </c>
      <c r="F201">
        <v>167143</v>
      </c>
      <c r="G201">
        <v>119447</v>
      </c>
      <c r="H201">
        <v>15000</v>
      </c>
      <c r="I201">
        <v>172004</v>
      </c>
      <c r="J201" t="str">
        <f>HYPERLINK("https://www.kinguin.net/es/category/160069/star-wars-jedi-survivor-deluxe-edition-steam-account","Abrir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30</v>
      </c>
      <c r="M201" t="s">
        <v>75</v>
      </c>
      <c r="N201" t="s">
        <v>32</v>
      </c>
      <c r="O201" t="s">
        <v>1598</v>
      </c>
      <c r="P201" t="s">
        <v>1599</v>
      </c>
      <c r="Q201" t="s">
        <v>32</v>
      </c>
      <c r="R201" t="s">
        <v>1600</v>
      </c>
      <c r="S201" t="s">
        <v>1601</v>
      </c>
      <c r="T201" t="s">
        <v>37</v>
      </c>
      <c r="U201" t="s">
        <v>37</v>
      </c>
      <c r="V201" t="s">
        <v>37</v>
      </c>
      <c r="W201" t="s">
        <v>1602</v>
      </c>
      <c r="X201" t="s">
        <v>37</v>
      </c>
      <c r="Y201" t="s">
        <v>37</v>
      </c>
      <c r="Z201" t="s">
        <v>37</v>
      </c>
    </row>
    <row r="202">
      <c r="A202" t="s">
        <v>1591</v>
      </c>
      <c r="B202" t="s">
        <v>67</v>
      </c>
      <c r="C202" t="s">
        <v>28</v>
      </c>
      <c r="D202" t="s">
        <v>29</v>
      </c>
      <c r="E202">
        <v>10764</v>
      </c>
      <c r="F202">
        <v>129996</v>
      </c>
      <c r="G202">
        <v>37764</v>
      </c>
      <c r="H202">
        <v>27000</v>
      </c>
      <c r="I202">
        <v>54380</v>
      </c>
      <c r="J202" t="str">
        <f>HYPERLINK("https://www.kinguin.net/es/category/158455/star-wars-jedi-survivor-steam-account","Abrir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30</v>
      </c>
      <c r="M202" t="s">
        <v>75</v>
      </c>
      <c r="N202" t="s">
        <v>32</v>
      </c>
      <c r="O202" t="s">
        <v>1603</v>
      </c>
      <c r="P202" t="s">
        <v>1604</v>
      </c>
      <c r="Q202" t="s">
        <v>32</v>
      </c>
      <c r="R202" t="s">
        <v>1605</v>
      </c>
      <c r="S202" t="s">
        <v>1162</v>
      </c>
      <c r="T202" t="s">
        <v>37</v>
      </c>
      <c r="U202" t="s">
        <v>1606</v>
      </c>
      <c r="V202" t="s">
        <v>37</v>
      </c>
      <c r="W202" t="s">
        <v>1607</v>
      </c>
      <c r="X202" t="s">
        <v>37</v>
      </c>
      <c r="Y202" t="s">
        <v>1608</v>
      </c>
      <c r="Z202" t="s">
        <v>37</v>
      </c>
    </row>
    <row r="203">
      <c r="A203" t="s">
        <v>1609</v>
      </c>
      <c r="B203" t="s">
        <v>1610</v>
      </c>
      <c r="C203" t="s">
        <v>32</v>
      </c>
      <c r="D203" t="s">
        <v>42</v>
      </c>
      <c r="E203">
        <v>69197</v>
      </c>
      <c r="F203">
        <v>129996</v>
      </c>
      <c r="G203">
        <v>97497</v>
      </c>
      <c r="H203">
        <v>28300</v>
      </c>
      <c r="I203">
        <v>140396</v>
      </c>
      <c r="J203" t="str">
        <f>HYPERLINK("https://www.eneba.com/latam/steam-stellar-blade-complete-edition-steam-key-pc-latam","Abrir compra")</f>
        <v>Abrir compra</v>
      </c>
      <c r="K203" t="str">
        <f>HYPERLINK("https://store.steampowered.com/app/3489700/Stellar_Blade/","Abrir Steam")</f>
        <v>Abrir Steam</v>
      </c>
      <c r="L203" t="s">
        <v>43</v>
      </c>
      <c r="M203" t="s">
        <v>44</v>
      </c>
      <c r="N203" t="s">
        <v>32</v>
      </c>
      <c r="O203" t="s">
        <v>1611</v>
      </c>
      <c r="P203" t="s">
        <v>1612</v>
      </c>
      <c r="Q203" t="s">
        <v>32</v>
      </c>
      <c r="R203" t="s">
        <v>1613</v>
      </c>
      <c r="S203" t="s">
        <v>600</v>
      </c>
      <c r="T203" t="s">
        <v>1614</v>
      </c>
      <c r="U203" t="s">
        <v>1615</v>
      </c>
      <c r="V203" t="s">
        <v>1616</v>
      </c>
      <c r="W203" t="s">
        <v>1617</v>
      </c>
      <c r="X203" t="s">
        <v>1618</v>
      </c>
      <c r="Y203" t="s">
        <v>1619</v>
      </c>
      <c r="Z203" t="s">
        <v>1620</v>
      </c>
    </row>
    <row r="204">
      <c r="A204" t="s">
        <v>1609</v>
      </c>
      <c r="B204" t="s">
        <v>1621</v>
      </c>
      <c r="C204" t="s">
        <v>28</v>
      </c>
      <c r="D204" t="s">
        <v>29</v>
      </c>
      <c r="E204">
        <v>77703</v>
      </c>
      <c r="F204">
        <v>129996</v>
      </c>
      <c r="G204">
        <v>92703</v>
      </c>
      <c r="H204">
        <v>15000</v>
      </c>
      <c r="I204">
        <v>133492</v>
      </c>
      <c r="J204" t="str">
        <f>HYPERLINK("https://www.kinguin.net/es/category/340981/stellar-blade-complete-edition-pc-steam-account","Abrir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1622</v>
      </c>
      <c r="P204" t="s">
        <v>1623</v>
      </c>
      <c r="Q204" t="s">
        <v>32</v>
      </c>
      <c r="R204" t="s">
        <v>1624</v>
      </c>
      <c r="S204" t="s">
        <v>1625</v>
      </c>
      <c r="T204" t="s">
        <v>37</v>
      </c>
      <c r="U204" t="s">
        <v>1626</v>
      </c>
      <c r="V204" t="s">
        <v>37</v>
      </c>
      <c r="W204" t="s">
        <v>1627</v>
      </c>
      <c r="X204" t="s">
        <v>37</v>
      </c>
      <c r="Y204" t="s">
        <v>1628</v>
      </c>
      <c r="Z204" t="s">
        <v>37</v>
      </c>
    </row>
    <row r="205">
      <c r="A205" t="s">
        <v>1609</v>
      </c>
      <c r="B205" t="s">
        <v>55</v>
      </c>
      <c r="C205" t="s">
        <v>32</v>
      </c>
      <c r="D205" t="s">
        <v>42</v>
      </c>
      <c r="E205">
        <v>50006</v>
      </c>
      <c r="F205">
        <v>111422</v>
      </c>
      <c r="G205">
        <v>80074</v>
      </c>
      <c r="H205">
        <v>30068</v>
      </c>
      <c r="I205">
        <v>115307</v>
      </c>
      <c r="J205" t="str">
        <f>HYPERLINK("https://www.eneba.com/latam/steam-stellar-blade-steam-key-pc-latam","Abrir compra")</f>
        <v>Abrir compra</v>
      </c>
      <c r="K205" t="str">
        <f>HYPERLINK("https://store.steampowered.com/app/3489700/Stellar_Blade/","Abrir Steam")</f>
        <v>Abrir Steam</v>
      </c>
      <c r="L205" t="s">
        <v>43</v>
      </c>
      <c r="M205" t="s">
        <v>44</v>
      </c>
      <c r="N205" t="s">
        <v>32</v>
      </c>
      <c r="O205" t="s">
        <v>1629</v>
      </c>
      <c r="P205" t="s">
        <v>1630</v>
      </c>
      <c r="Q205" t="s">
        <v>32</v>
      </c>
      <c r="R205" t="s">
        <v>1631</v>
      </c>
      <c r="S205" t="s">
        <v>1632</v>
      </c>
      <c r="T205" t="s">
        <v>1633</v>
      </c>
      <c r="U205" t="s">
        <v>1634</v>
      </c>
      <c r="V205" t="s">
        <v>534</v>
      </c>
      <c r="W205" t="s">
        <v>1635</v>
      </c>
      <c r="X205" t="s">
        <v>1636</v>
      </c>
      <c r="Y205" t="s">
        <v>1637</v>
      </c>
      <c r="Z205" t="s">
        <v>1638</v>
      </c>
    </row>
    <row r="206">
      <c r="A206" t="s">
        <v>1609</v>
      </c>
      <c r="B206" t="s">
        <v>67</v>
      </c>
      <c r="C206" t="s">
        <v>28</v>
      </c>
      <c r="D206" t="s">
        <v>29</v>
      </c>
      <c r="E206">
        <v>50355</v>
      </c>
      <c r="F206">
        <v>111422</v>
      </c>
      <c r="G206">
        <v>69596</v>
      </c>
      <c r="H206">
        <v>19241</v>
      </c>
      <c r="I206">
        <v>100218</v>
      </c>
      <c r="J206" t="str">
        <f>HYPERLINK("https://driffle.com/es/stellar-blade-global-pc-steam-account-p9979470","Abrir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1639</v>
      </c>
      <c r="P206" t="s">
        <v>1640</v>
      </c>
      <c r="Q206" t="s">
        <v>32</v>
      </c>
      <c r="R206" t="s">
        <v>1641</v>
      </c>
      <c r="S206" t="s">
        <v>37</v>
      </c>
      <c r="T206" t="s">
        <v>37</v>
      </c>
      <c r="U206" t="s">
        <v>1642</v>
      </c>
      <c r="V206" t="s">
        <v>37</v>
      </c>
      <c r="W206" t="s">
        <v>37</v>
      </c>
      <c r="X206" t="s">
        <v>37</v>
      </c>
      <c r="Y206" t="s">
        <v>1643</v>
      </c>
      <c r="Z206" t="s">
        <v>37</v>
      </c>
    </row>
    <row r="207">
      <c r="A207" t="s">
        <v>1644</v>
      </c>
      <c r="B207" t="s">
        <v>1645</v>
      </c>
      <c r="C207" t="s">
        <v>32</v>
      </c>
      <c r="D207" t="s">
        <v>42</v>
      </c>
      <c r="E207">
        <v>43216</v>
      </c>
      <c r="F207">
        <v>83581</v>
      </c>
      <c r="G207">
        <v>62686</v>
      </c>
      <c r="H207">
        <v>19470</v>
      </c>
      <c r="I207">
        <v>90268</v>
      </c>
      <c r="J207" t="str">
        <f>HYPERLINK("https://www.kinguin.net/es/category/353130/street-fighter-6-years-1-2-fighters-edition-latam-pc-steam-cd-key","Abrir compra")</f>
        <v>Abrir compra</v>
      </c>
      <c r="K207" t="str">
        <f>HYPERLINK("https://store.steampowered.com/app/1364780/Street_Fighter_6/","Abrir Steam")</f>
        <v>Abrir Steam</v>
      </c>
      <c r="L207" t="s">
        <v>30</v>
      </c>
      <c r="M207" t="s">
        <v>44</v>
      </c>
      <c r="N207" t="s">
        <v>32</v>
      </c>
      <c r="O207" t="s">
        <v>1646</v>
      </c>
      <c r="P207" t="s">
        <v>1647</v>
      </c>
      <c r="Q207" t="s">
        <v>32</v>
      </c>
      <c r="R207" t="s">
        <v>1648</v>
      </c>
      <c r="S207" t="s">
        <v>1649</v>
      </c>
      <c r="T207" t="s">
        <v>37</v>
      </c>
      <c r="U207" t="s">
        <v>1650</v>
      </c>
      <c r="V207" t="s">
        <v>37</v>
      </c>
      <c r="W207" t="s">
        <v>1651</v>
      </c>
      <c r="X207" t="s">
        <v>1652</v>
      </c>
      <c r="Y207" t="s">
        <v>1653</v>
      </c>
      <c r="Z207" t="s">
        <v>37</v>
      </c>
    </row>
    <row r="208">
      <c r="A208" t="s">
        <v>1644</v>
      </c>
      <c r="B208" t="s">
        <v>1654</v>
      </c>
      <c r="C208" t="s">
        <v>28</v>
      </c>
      <c r="D208" t="s">
        <v>29</v>
      </c>
      <c r="E208">
        <v>63266</v>
      </c>
      <c r="F208">
        <v>83581</v>
      </c>
      <c r="G208">
        <v>78266</v>
      </c>
      <c r="H208">
        <v>15000</v>
      </c>
      <c r="I208">
        <v>112703</v>
      </c>
      <c r="J208" t="str">
        <f>HYPERLINK("https://www.kinguin.net/es/category/437624/street-fighter-6-years-1-2-fighters-edition-pc-steam-account","Abrir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31</v>
      </c>
      <c r="N208" t="s">
        <v>32</v>
      </c>
      <c r="O208" t="s">
        <v>1655</v>
      </c>
      <c r="P208" t="s">
        <v>1656</v>
      </c>
      <c r="Q208" t="s">
        <v>32</v>
      </c>
      <c r="R208" t="s">
        <v>1657</v>
      </c>
      <c r="S208" t="s">
        <v>1658</v>
      </c>
      <c r="T208" t="s">
        <v>37</v>
      </c>
      <c r="U208" t="s">
        <v>37</v>
      </c>
      <c r="V208" t="s">
        <v>37</v>
      </c>
      <c r="W208" t="s">
        <v>1659</v>
      </c>
      <c r="X208" t="s">
        <v>37</v>
      </c>
      <c r="Y208" t="s">
        <v>37</v>
      </c>
      <c r="Z208" t="s">
        <v>37</v>
      </c>
    </row>
    <row r="209">
      <c r="A209" t="s">
        <v>1644</v>
      </c>
      <c r="B209" t="s">
        <v>55</v>
      </c>
      <c r="C209" t="s">
        <v>32</v>
      </c>
      <c r="D209" t="s">
        <v>42</v>
      </c>
      <c r="E209">
        <v>24263</v>
      </c>
      <c r="F209">
        <v>55702</v>
      </c>
      <c r="G209">
        <v>41777</v>
      </c>
      <c r="H209">
        <v>17514</v>
      </c>
      <c r="I209">
        <v>60159</v>
      </c>
      <c r="J209" t="str">
        <f>HYPERLINK("https://www.eneba.com/latam/steam-street-fighter-6-pc-steam-key-latam","Abrir compra")</f>
        <v>Abrir compra</v>
      </c>
      <c r="K209" t="str">
        <f>HYPERLINK("https://store.steampowered.com/app/1364780/Street_Fighter_6/","Abrir Steam")</f>
        <v>Abrir Steam</v>
      </c>
      <c r="L209" t="s">
        <v>43</v>
      </c>
      <c r="M209" t="s">
        <v>44</v>
      </c>
      <c r="N209" t="s">
        <v>32</v>
      </c>
      <c r="O209" t="s">
        <v>1660</v>
      </c>
      <c r="P209" t="s">
        <v>1661</v>
      </c>
      <c r="Q209" t="s">
        <v>32</v>
      </c>
      <c r="R209" t="s">
        <v>1662</v>
      </c>
      <c r="S209" t="s">
        <v>37</v>
      </c>
      <c r="T209" t="s">
        <v>1663</v>
      </c>
      <c r="U209" t="s">
        <v>37</v>
      </c>
      <c r="V209" t="s">
        <v>37</v>
      </c>
      <c r="W209" t="s">
        <v>1664</v>
      </c>
      <c r="X209" t="s">
        <v>1665</v>
      </c>
      <c r="Y209" t="s">
        <v>37</v>
      </c>
      <c r="Z209" t="s">
        <v>37</v>
      </c>
    </row>
    <row r="210">
      <c r="A210" t="s">
        <v>1644</v>
      </c>
      <c r="B210" t="s">
        <v>67</v>
      </c>
      <c r="C210" t="s">
        <v>28</v>
      </c>
      <c r="D210" t="s">
        <v>29</v>
      </c>
      <c r="E210">
        <v>37349</v>
      </c>
      <c r="F210">
        <v>55702</v>
      </c>
      <c r="G210">
        <v>52349</v>
      </c>
      <c r="H210">
        <v>15000</v>
      </c>
      <c r="I210">
        <v>75383</v>
      </c>
      <c r="J210" t="str">
        <f>HYPERLINK("https://www.kinguin.net/es/category/153297/street-fighter-6-steam-account","Abrir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31</v>
      </c>
      <c r="N210" t="s">
        <v>32</v>
      </c>
      <c r="O210" t="s">
        <v>1666</v>
      </c>
      <c r="P210" t="s">
        <v>1667</v>
      </c>
      <c r="Q210" t="s">
        <v>32</v>
      </c>
      <c r="R210" t="s">
        <v>1668</v>
      </c>
      <c r="S210" t="s">
        <v>1669</v>
      </c>
      <c r="T210" t="s">
        <v>37</v>
      </c>
      <c r="U210" t="s">
        <v>37</v>
      </c>
      <c r="V210" t="s">
        <v>37</v>
      </c>
      <c r="W210" t="s">
        <v>1670</v>
      </c>
      <c r="X210" t="s">
        <v>37</v>
      </c>
      <c r="Y210" t="s">
        <v>37</v>
      </c>
      <c r="Z210" t="s">
        <v>37</v>
      </c>
    </row>
    <row r="211">
      <c r="A211" t="s">
        <v>1671</v>
      </c>
      <c r="B211" t="s">
        <v>67</v>
      </c>
      <c r="C211" t="s">
        <v>28</v>
      </c>
      <c r="D211" t="s">
        <v>29</v>
      </c>
      <c r="E211">
        <v>20909</v>
      </c>
      <c r="F211">
        <v>38986</v>
      </c>
      <c r="G211">
        <v>35909</v>
      </c>
      <c r="H211">
        <v>15000</v>
      </c>
      <c r="I211">
        <v>51709</v>
      </c>
      <c r="J211" t="str">
        <f>HYPERLINK("https://driffle.com/es/subnautica-2-global-pc-steam-account-p9995025","Abrir compra")</f>
        <v>Abrir compra</v>
      </c>
      <c r="K211" t="str">
        <f>HYPERLINK("https://store.steampowered.com/app/1962700/Subnautica_2/","Abrir Steam")</f>
        <v>Abrir Steam</v>
      </c>
      <c r="L211" t="s">
        <v>56</v>
      </c>
      <c r="M211" t="s">
        <v>44</v>
      </c>
      <c r="N211" t="s">
        <v>32</v>
      </c>
      <c r="O211" t="s">
        <v>1672</v>
      </c>
      <c r="P211" t="s">
        <v>1673</v>
      </c>
      <c r="Q211" t="s">
        <v>32</v>
      </c>
      <c r="R211" t="s">
        <v>1674</v>
      </c>
      <c r="S211" t="s">
        <v>1675</v>
      </c>
      <c r="T211" t="s">
        <v>37</v>
      </c>
      <c r="U211" t="s">
        <v>1676</v>
      </c>
      <c r="V211" t="s">
        <v>37</v>
      </c>
      <c r="W211" t="s">
        <v>1677</v>
      </c>
      <c r="X211" t="s">
        <v>37</v>
      </c>
      <c r="Y211" t="s">
        <v>1678</v>
      </c>
      <c r="Z211" t="s">
        <v>37</v>
      </c>
    </row>
    <row r="212">
      <c r="A212" t="s">
        <v>1679</v>
      </c>
      <c r="B212" t="s">
        <v>55</v>
      </c>
      <c r="C212" t="s">
        <v>32</v>
      </c>
      <c r="D212" t="s">
        <v>42</v>
      </c>
      <c r="E212">
        <v>32420</v>
      </c>
      <c r="F212">
        <v>59417</v>
      </c>
      <c r="G212">
        <v>49747</v>
      </c>
      <c r="H212">
        <v>17327</v>
      </c>
      <c r="I212">
        <v>71636</v>
      </c>
      <c r="J212" t="str">
        <f>HYPERLINK("https://www.loaded.com/es_es/tekken-8-pc-steam","Abrir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293</v>
      </c>
      <c r="M212" t="s">
        <v>31</v>
      </c>
      <c r="N212" t="s">
        <v>32</v>
      </c>
      <c r="O212" t="s">
        <v>1680</v>
      </c>
      <c r="P212" t="s">
        <v>1681</v>
      </c>
      <c r="Q212" t="s">
        <v>32</v>
      </c>
      <c r="R212" t="s">
        <v>1682</v>
      </c>
      <c r="S212" t="s">
        <v>37</v>
      </c>
      <c r="T212" t="s">
        <v>1683</v>
      </c>
      <c r="U212" t="s">
        <v>112</v>
      </c>
      <c r="V212" t="s">
        <v>1684</v>
      </c>
      <c r="W212" t="s">
        <v>1685</v>
      </c>
      <c r="X212" t="s">
        <v>1686</v>
      </c>
      <c r="Y212" t="s">
        <v>1687</v>
      </c>
      <c r="Z212" t="s">
        <v>1688</v>
      </c>
    </row>
    <row r="213">
      <c r="A213" t="s">
        <v>1679</v>
      </c>
      <c r="B213" t="s">
        <v>67</v>
      </c>
      <c r="C213" t="s">
        <v>28</v>
      </c>
      <c r="D213" t="s">
        <v>29</v>
      </c>
      <c r="E213">
        <v>26537</v>
      </c>
      <c r="F213">
        <v>59417</v>
      </c>
      <c r="G213">
        <v>41537</v>
      </c>
      <c r="H213">
        <v>15000</v>
      </c>
      <c r="I213">
        <v>59813</v>
      </c>
      <c r="J213" t="str">
        <f>HYPERLINK("https://www.kinguin.net/es/category/180122/tekken-8-steam-account","Abrir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30</v>
      </c>
      <c r="M213" t="s">
        <v>31</v>
      </c>
      <c r="N213" t="s">
        <v>32</v>
      </c>
      <c r="O213" t="s">
        <v>1689</v>
      </c>
      <c r="P213" t="s">
        <v>1690</v>
      </c>
      <c r="Q213" t="s">
        <v>32</v>
      </c>
      <c r="R213" t="s">
        <v>1691</v>
      </c>
      <c r="S213" t="s">
        <v>1692</v>
      </c>
      <c r="T213" t="s">
        <v>37</v>
      </c>
      <c r="U213" t="s">
        <v>1693</v>
      </c>
      <c r="V213" t="s">
        <v>37</v>
      </c>
      <c r="W213" t="s">
        <v>1694</v>
      </c>
      <c r="X213" t="s">
        <v>37</v>
      </c>
      <c r="Y213" t="s">
        <v>1695</v>
      </c>
      <c r="Z213" t="s">
        <v>37</v>
      </c>
    </row>
    <row r="214">
      <c r="A214" t="s">
        <v>1696</v>
      </c>
      <c r="B214" t="s">
        <v>55</v>
      </c>
      <c r="C214" t="s">
        <v>32</v>
      </c>
      <c r="D214" t="s">
        <v>42</v>
      </c>
      <c r="E214">
        <v>11321</v>
      </c>
      <c r="F214">
        <v>44558</v>
      </c>
      <c r="G214">
        <v>33419</v>
      </c>
      <c r="H214">
        <v>22098</v>
      </c>
      <c r="I214">
        <v>48123</v>
      </c>
      <c r="J214" t="str">
        <f>HYPERLINK("https://www.kinguin.net/es/category/301555/the-elder-scrolls-v-skyrim-special-edition-latam-ru-cis-tr-pc-steam-cd-key","Abrir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30</v>
      </c>
      <c r="M214" t="s">
        <v>44</v>
      </c>
      <c r="N214" t="s">
        <v>32</v>
      </c>
      <c r="O214" t="s">
        <v>1697</v>
      </c>
      <c r="P214" t="s">
        <v>1698</v>
      </c>
      <c r="Q214" t="s">
        <v>32</v>
      </c>
      <c r="R214" t="s">
        <v>1699</v>
      </c>
      <c r="S214" t="s">
        <v>1700</v>
      </c>
      <c r="T214" t="s">
        <v>1701</v>
      </c>
      <c r="U214" t="s">
        <v>1702</v>
      </c>
      <c r="V214" t="s">
        <v>1153</v>
      </c>
      <c r="W214" t="s">
        <v>1703</v>
      </c>
      <c r="X214" t="s">
        <v>1704</v>
      </c>
      <c r="Y214" t="s">
        <v>1705</v>
      </c>
      <c r="Z214" t="s">
        <v>1706</v>
      </c>
    </row>
    <row r="215">
      <c r="A215" t="s">
        <v>1696</v>
      </c>
      <c r="B215" t="s">
        <v>67</v>
      </c>
      <c r="C215" t="s">
        <v>28</v>
      </c>
      <c r="D215" t="s">
        <v>29</v>
      </c>
      <c r="E215">
        <v>37445</v>
      </c>
      <c r="F215">
        <v>44558</v>
      </c>
      <c r="G215">
        <v>52445</v>
      </c>
      <c r="H215">
        <v>15000</v>
      </c>
      <c r="I215">
        <v>75521</v>
      </c>
      <c r="J215" t="str">
        <f>HYPERLINK("https://www.kinguin.net/es/category/206801/the-elder-scrolls-v-skyrim-special-edition-pc-steam-account","Abrir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30</v>
      </c>
      <c r="M215" t="s">
        <v>31</v>
      </c>
      <c r="N215" t="s">
        <v>32</v>
      </c>
      <c r="O215" t="s">
        <v>1707</v>
      </c>
      <c r="P215" t="s">
        <v>1708</v>
      </c>
      <c r="Q215" t="s">
        <v>32</v>
      </c>
      <c r="R215" t="s">
        <v>1709</v>
      </c>
      <c r="S215" t="s">
        <v>1710</v>
      </c>
      <c r="T215" t="s">
        <v>37</v>
      </c>
      <c r="U215" t="s">
        <v>37</v>
      </c>
      <c r="V215" t="s">
        <v>37</v>
      </c>
      <c r="W215" t="s">
        <v>1711</v>
      </c>
      <c r="X215" t="s">
        <v>37</v>
      </c>
      <c r="Y215" t="s">
        <v>1712</v>
      </c>
      <c r="Z215" t="s">
        <v>37</v>
      </c>
    </row>
    <row r="216">
      <c r="A216" t="s">
        <v>1713</v>
      </c>
      <c r="B216" t="s">
        <v>55</v>
      </c>
      <c r="C216" t="s">
        <v>32</v>
      </c>
      <c r="D216" t="s">
        <v>42</v>
      </c>
      <c r="E216">
        <v>44854</v>
      </c>
      <c r="F216">
        <v>111422</v>
      </c>
      <c r="G216">
        <v>78537</v>
      </c>
      <c r="H216">
        <v>33683</v>
      </c>
      <c r="I216">
        <v>113093</v>
      </c>
      <c r="J216" t="str">
        <f>HYPERLINK("https://www.kinguin.net/es/category/160275/the-last-of-us-part-1-latam-steam-cd-key","Abrir compra")</f>
        <v>Abrir compra</v>
      </c>
      <c r="K216" t="str">
        <f>HYPERLINK("https://store.steampowered.com/app/1888930/The_Last_of_Us_Parte_I/","Abrir Steam")</f>
        <v>Abrir Steam</v>
      </c>
      <c r="L216" t="s">
        <v>30</v>
      </c>
      <c r="M216" t="s">
        <v>44</v>
      </c>
      <c r="N216" t="s">
        <v>32</v>
      </c>
      <c r="O216" t="s">
        <v>1714</v>
      </c>
      <c r="P216" t="s">
        <v>1715</v>
      </c>
      <c r="Q216" t="s">
        <v>32</v>
      </c>
      <c r="R216" t="s">
        <v>1716</v>
      </c>
      <c r="S216" t="s">
        <v>1717</v>
      </c>
      <c r="T216" t="s">
        <v>37</v>
      </c>
      <c r="U216" t="s">
        <v>37</v>
      </c>
      <c r="V216" t="s">
        <v>37</v>
      </c>
      <c r="W216" t="s">
        <v>1718</v>
      </c>
      <c r="X216" t="s">
        <v>1719</v>
      </c>
      <c r="Y216" t="s">
        <v>1720</v>
      </c>
      <c r="Z216" t="s">
        <v>1721</v>
      </c>
    </row>
    <row r="217">
      <c r="A217" t="s">
        <v>1713</v>
      </c>
      <c r="B217" t="s">
        <v>67</v>
      </c>
      <c r="C217" t="s">
        <v>28</v>
      </c>
      <c r="D217" t="s">
        <v>29</v>
      </c>
      <c r="E217">
        <v>47096</v>
      </c>
      <c r="F217">
        <v>111422</v>
      </c>
      <c r="G217">
        <v>68293</v>
      </c>
      <c r="H217">
        <v>21197</v>
      </c>
      <c r="I217">
        <v>98342</v>
      </c>
      <c r="J217" t="str">
        <f>HYPERLINK("https://www.kinguin.net/es/category/150724/the-last-of-us-part-1-steam-account","Abrir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75</v>
      </c>
      <c r="N217" t="s">
        <v>32</v>
      </c>
      <c r="O217" t="s">
        <v>1722</v>
      </c>
      <c r="P217" t="s">
        <v>1723</v>
      </c>
      <c r="Q217" t="s">
        <v>32</v>
      </c>
      <c r="R217" t="s">
        <v>1724</v>
      </c>
      <c r="S217" t="s">
        <v>1725</v>
      </c>
      <c r="T217" t="s">
        <v>37</v>
      </c>
      <c r="U217" t="s">
        <v>37</v>
      </c>
      <c r="V217" t="s">
        <v>37</v>
      </c>
      <c r="W217" t="s">
        <v>1726</v>
      </c>
      <c r="X217" t="s">
        <v>37</v>
      </c>
      <c r="Y217" t="s">
        <v>37</v>
      </c>
      <c r="Z217" t="s">
        <v>37</v>
      </c>
    </row>
    <row r="218">
      <c r="A218" t="s">
        <v>1727</v>
      </c>
      <c r="B218" t="s">
        <v>55</v>
      </c>
      <c r="C218" t="s">
        <v>32</v>
      </c>
      <c r="D218" t="s">
        <v>42</v>
      </c>
      <c r="E218">
        <v>58735</v>
      </c>
      <c r="F218">
        <v>74275</v>
      </c>
      <c r="G218">
        <v>73735</v>
      </c>
      <c r="H218">
        <v>15000</v>
      </c>
      <c r="I218">
        <v>106178</v>
      </c>
      <c r="J218" t="str">
        <f>HYPERLINK("https://www.kinguin.net/es/category/326607/the-last-of-us-part-2-remastered-latam-pc-steam-cd-key","Abrir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30</v>
      </c>
      <c r="M218" t="s">
        <v>44</v>
      </c>
      <c r="N218" t="s">
        <v>32</v>
      </c>
      <c r="O218" t="s">
        <v>1728</v>
      </c>
      <c r="P218" t="s">
        <v>1729</v>
      </c>
      <c r="Q218" t="s">
        <v>32</v>
      </c>
      <c r="R218" t="s">
        <v>1730</v>
      </c>
      <c r="S218" t="s">
        <v>1731</v>
      </c>
      <c r="T218" t="s">
        <v>37</v>
      </c>
      <c r="U218" t="s">
        <v>37</v>
      </c>
      <c r="V218" t="s">
        <v>37</v>
      </c>
      <c r="W218" t="s">
        <v>1732</v>
      </c>
      <c r="X218" t="s">
        <v>1733</v>
      </c>
      <c r="Y218" t="s">
        <v>1734</v>
      </c>
      <c r="Z218" t="s">
        <v>1735</v>
      </c>
    </row>
    <row r="219">
      <c r="A219" t="s">
        <v>1736</v>
      </c>
      <c r="B219" t="s">
        <v>1621</v>
      </c>
      <c r="C219" t="s">
        <v>28</v>
      </c>
      <c r="D219" t="s">
        <v>29</v>
      </c>
      <c r="E219">
        <v>17236</v>
      </c>
      <c r="F219">
        <v>64989</v>
      </c>
      <c r="G219">
        <v>38240</v>
      </c>
      <c r="H219">
        <v>21004</v>
      </c>
      <c r="I219">
        <v>55066</v>
      </c>
      <c r="J219" t="str">
        <f>HYPERLINK("https://www.kinguin.net/es/category/246280/the-witcher-3-wild-hunt-complete-edition-pc-steam-account","Abrir compra")</f>
        <v>Abrir compra</v>
      </c>
      <c r="K219" t="str">
        <f>HYPERLINK("https://store.steampowered.com/app/292030/The_Witcher_3_Wild_Hunt/","Abrir Steam")</f>
        <v>Abrir Steam</v>
      </c>
      <c r="L219" t="s">
        <v>30</v>
      </c>
      <c r="M219" t="s">
        <v>31</v>
      </c>
      <c r="N219" t="s">
        <v>32</v>
      </c>
      <c r="O219" t="s">
        <v>1737</v>
      </c>
      <c r="P219" t="s">
        <v>1738</v>
      </c>
      <c r="Q219" t="s">
        <v>32</v>
      </c>
      <c r="R219" t="s">
        <v>1739</v>
      </c>
      <c r="S219" t="s">
        <v>1208</v>
      </c>
      <c r="T219" t="s">
        <v>37</v>
      </c>
      <c r="U219" t="s">
        <v>37</v>
      </c>
      <c r="V219" t="s">
        <v>37</v>
      </c>
      <c r="W219" t="s">
        <v>1740</v>
      </c>
      <c r="X219" t="s">
        <v>37</v>
      </c>
      <c r="Y219" t="s">
        <v>37</v>
      </c>
      <c r="Z219" t="s">
        <v>37</v>
      </c>
    </row>
    <row r="220">
      <c r="A220" t="s">
        <v>1736</v>
      </c>
      <c r="B220" t="s">
        <v>67</v>
      </c>
      <c r="C220" t="s">
        <v>28</v>
      </c>
      <c r="D220" t="s">
        <v>29</v>
      </c>
      <c r="E220">
        <v>9381</v>
      </c>
      <c r="F220">
        <v>64989</v>
      </c>
      <c r="G220">
        <v>35098</v>
      </c>
      <c r="H220">
        <v>25717</v>
      </c>
      <c r="I220">
        <v>50541</v>
      </c>
      <c r="J220" t="str">
        <f>HYPERLINK("https://www.kinguin.net/es/category/150064/the-witcher-3-wild-hunt-steam-account","Abrir compra")</f>
        <v>Abrir compra</v>
      </c>
      <c r="K220" t="str">
        <f>HYPERLINK("https://store.steampowered.com/app/292030/The_Witcher_3_Wild_Hunt/","Abrir Steam")</f>
        <v>Abrir Steam</v>
      </c>
      <c r="L220" t="s">
        <v>30</v>
      </c>
      <c r="M220" t="s">
        <v>31</v>
      </c>
      <c r="N220" t="s">
        <v>32</v>
      </c>
      <c r="O220" t="s">
        <v>1741</v>
      </c>
      <c r="P220" t="s">
        <v>1742</v>
      </c>
      <c r="Q220" t="s">
        <v>32</v>
      </c>
      <c r="R220" t="s">
        <v>1743</v>
      </c>
      <c r="S220" t="s">
        <v>1744</v>
      </c>
      <c r="T220" t="s">
        <v>37</v>
      </c>
      <c r="U220" t="s">
        <v>37</v>
      </c>
      <c r="V220" t="s">
        <v>37</v>
      </c>
      <c r="W220" t="s">
        <v>1745</v>
      </c>
      <c r="X220" t="s">
        <v>37</v>
      </c>
      <c r="Y220" t="s">
        <v>37</v>
      </c>
      <c r="Z220" t="s">
        <v>37</v>
      </c>
    </row>
    <row r="221">
      <c r="A221" t="s">
        <v>1746</v>
      </c>
      <c r="B221" t="s">
        <v>55</v>
      </c>
      <c r="C221" t="s">
        <v>32</v>
      </c>
      <c r="D221" t="s">
        <v>42</v>
      </c>
      <c r="E221">
        <v>18826</v>
      </c>
      <c r="F221">
        <v>92849</v>
      </c>
      <c r="G221">
        <v>45826</v>
      </c>
      <c r="H221">
        <v>27000</v>
      </c>
      <c r="I221">
        <v>65989</v>
      </c>
      <c r="J221" t="str">
        <f>HYPERLINK("https://www.eneba.com/latam/steam-uncharted-legacy-of-thieves-collection-pc-steam-key-latam","Abrir compra")</f>
        <v>Abrir compra</v>
      </c>
      <c r="K221" t="str">
        <f>HYPERLINK("https://store.steampowered.com/app/1659420/UNCHARTED_Coleccin_Legado_de_los_Ladrones/?curator_clanid=4777282","Abrir Steam")</f>
        <v>Abrir Steam</v>
      </c>
      <c r="L221" t="s">
        <v>43</v>
      </c>
      <c r="M221" t="s">
        <v>44</v>
      </c>
      <c r="N221" t="s">
        <v>32</v>
      </c>
      <c r="O221" t="s">
        <v>1747</v>
      </c>
      <c r="P221" t="s">
        <v>1748</v>
      </c>
      <c r="Q221" t="s">
        <v>32</v>
      </c>
      <c r="R221" t="s">
        <v>1749</v>
      </c>
      <c r="S221" t="s">
        <v>37</v>
      </c>
      <c r="T221" t="s">
        <v>1750</v>
      </c>
      <c r="U221" t="s">
        <v>1751</v>
      </c>
      <c r="V221" t="s">
        <v>1684</v>
      </c>
      <c r="W221" t="s">
        <v>1752</v>
      </c>
      <c r="X221" t="s">
        <v>1753</v>
      </c>
      <c r="Y221" t="s">
        <v>1754</v>
      </c>
      <c r="Z221" t="s">
        <v>1755</v>
      </c>
    </row>
    <row r="222">
      <c r="A222" t="s">
        <v>1756</v>
      </c>
      <c r="B222" t="s">
        <v>55</v>
      </c>
      <c r="C222" t="s">
        <v>32</v>
      </c>
      <c r="D222" t="s">
        <v>42</v>
      </c>
      <c r="E222">
        <v>45633</v>
      </c>
      <c r="F222">
        <v>111422</v>
      </c>
      <c r="G222">
        <v>80633</v>
      </c>
      <c r="H222">
        <v>35000</v>
      </c>
      <c r="I222">
        <v>116112</v>
      </c>
      <c r="J222" t="str">
        <f>HYPERLINK("https://www.eneba.com/latam/steam-until-dawn-pc-steam-key-latam","Abrir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43</v>
      </c>
      <c r="M222" t="s">
        <v>44</v>
      </c>
      <c r="N222" t="s">
        <v>32</v>
      </c>
      <c r="O222" t="s">
        <v>1757</v>
      </c>
      <c r="P222" t="s">
        <v>1758</v>
      </c>
      <c r="Q222" t="s">
        <v>32</v>
      </c>
      <c r="R222" t="s">
        <v>1759</v>
      </c>
      <c r="S222" t="s">
        <v>1760</v>
      </c>
      <c r="T222" t="s">
        <v>1761</v>
      </c>
      <c r="U222" t="s">
        <v>336</v>
      </c>
      <c r="V222" t="s">
        <v>37</v>
      </c>
      <c r="W222" t="s">
        <v>1762</v>
      </c>
      <c r="X222" t="s">
        <v>1763</v>
      </c>
      <c r="Y222" t="s">
        <v>1764</v>
      </c>
      <c r="Z222" t="s">
        <v>37</v>
      </c>
    </row>
    <row r="223">
      <c r="A223" t="s">
        <v>1756</v>
      </c>
      <c r="B223" t="s">
        <v>67</v>
      </c>
      <c r="C223" t="s">
        <v>28</v>
      </c>
      <c r="D223" t="s">
        <v>29</v>
      </c>
      <c r="E223">
        <v>83252</v>
      </c>
      <c r="F223">
        <v>111422</v>
      </c>
      <c r="G223">
        <v>98252</v>
      </c>
      <c r="H223">
        <v>15000</v>
      </c>
      <c r="I223">
        <v>141483</v>
      </c>
      <c r="J223" t="str">
        <f>HYPERLINK("https://www.kinguin.net/es/category/272529/until-dawn-pc-steam-account","Abrir compra")</f>
        <v>Abrir compra</v>
      </c>
      <c r="K223" t="str">
        <f>HYPERLINK("https://store.steampowered.com/app/2172010/Until_Dawn/?curator_clanid=4777282","Abrir Steam")</f>
        <v>Abrir Steam</v>
      </c>
      <c r="L223" t="s">
        <v>30</v>
      </c>
      <c r="M223" t="s">
        <v>75</v>
      </c>
      <c r="N223" t="s">
        <v>32</v>
      </c>
      <c r="O223" t="s">
        <v>1765</v>
      </c>
      <c r="P223" t="s">
        <v>1766</v>
      </c>
      <c r="Q223" t="s">
        <v>32</v>
      </c>
      <c r="R223" t="s">
        <v>1767</v>
      </c>
      <c r="S223" t="s">
        <v>1768</v>
      </c>
      <c r="T223" t="s">
        <v>37</v>
      </c>
      <c r="U223" t="s">
        <v>37</v>
      </c>
      <c r="V223" t="s">
        <v>37</v>
      </c>
      <c r="W223" t="s">
        <v>1769</v>
      </c>
      <c r="X223" t="s">
        <v>37</v>
      </c>
      <c r="Y223" t="s">
        <v>37</v>
      </c>
      <c r="Z223" t="s">
        <v>37</v>
      </c>
    </row>
    <row r="224">
      <c r="A224" t="s">
        <v>1770</v>
      </c>
      <c r="B224" t="s">
        <v>1771</v>
      </c>
      <c r="C224" t="s">
        <v>32</v>
      </c>
      <c r="D224" t="s">
        <v>42</v>
      </c>
      <c r="E224">
        <v>188638</v>
      </c>
      <c r="F224">
        <v>241437</v>
      </c>
      <c r="G224">
        <v>203638</v>
      </c>
      <c r="H224">
        <v>15000</v>
      </c>
      <c r="I224">
        <v>293239</v>
      </c>
      <c r="J224" t="str">
        <f>HYPERLINK("https://driffle.com/es/wwe-2k25-the-bloodline-edition-global-pc-steam-digital-key-p9930284","Abrir compra")</f>
        <v>Abrir compra</v>
      </c>
      <c r="K224" t="str">
        <f>HYPERLINK("https://store.steampowered.com/app/2878960/WWE_2K25/","Abrir Steam")</f>
        <v>Abrir Steam</v>
      </c>
      <c r="L224" t="s">
        <v>56</v>
      </c>
      <c r="M224" t="s">
        <v>75</v>
      </c>
      <c r="N224" t="s">
        <v>32</v>
      </c>
      <c r="O224" t="s">
        <v>1772</v>
      </c>
      <c r="P224" t="s">
        <v>1773</v>
      </c>
      <c r="Q224" t="s">
        <v>32</v>
      </c>
      <c r="R224" t="s">
        <v>1774</v>
      </c>
      <c r="S224" t="s">
        <v>1775</v>
      </c>
      <c r="T224" t="s">
        <v>37</v>
      </c>
      <c r="U224" t="s">
        <v>1776</v>
      </c>
      <c r="V224" t="s">
        <v>37</v>
      </c>
      <c r="W224" t="s">
        <v>1777</v>
      </c>
      <c r="X224" t="s">
        <v>37</v>
      </c>
      <c r="Y224" t="s">
        <v>1778</v>
      </c>
      <c r="Z224" t="s">
        <v>37</v>
      </c>
    </row>
    <row r="225">
      <c r="A225" t="s">
        <v>1770</v>
      </c>
      <c r="B225" t="s">
        <v>1779</v>
      </c>
      <c r="C225" t="s">
        <v>28</v>
      </c>
      <c r="D225" t="s">
        <v>29</v>
      </c>
      <c r="E225">
        <v>144022</v>
      </c>
      <c r="F225">
        <v>241437</v>
      </c>
      <c r="G225">
        <v>159022</v>
      </c>
      <c r="H225">
        <v>15000</v>
      </c>
      <c r="I225">
        <v>228992</v>
      </c>
      <c r="J225" t="str">
        <f>HYPERLINK("https://www.kinguin.net/es/category/319995/wwe-2k25-bloodline-edition-pc-steam-account","Abrir compra")</f>
        <v>Abrir compra</v>
      </c>
      <c r="K225" t="str">
        <f>HYPERLINK("https://store.steampowered.com/app/2878960/WWE_2K25/","Abrir Steam")</f>
        <v>Abrir Steam</v>
      </c>
      <c r="L225" t="s">
        <v>30</v>
      </c>
      <c r="M225" t="s">
        <v>75</v>
      </c>
      <c r="N225" t="s">
        <v>32</v>
      </c>
      <c r="O225" t="s">
        <v>1780</v>
      </c>
      <c r="P225" t="s">
        <v>1781</v>
      </c>
      <c r="Q225" t="s">
        <v>32</v>
      </c>
      <c r="R225" t="s">
        <v>1782</v>
      </c>
      <c r="S225" t="s">
        <v>1783</v>
      </c>
      <c r="T225" t="s">
        <v>37</v>
      </c>
      <c r="U225" t="s">
        <v>37</v>
      </c>
      <c r="V225" t="s">
        <v>37</v>
      </c>
      <c r="W225" t="s">
        <v>1784</v>
      </c>
      <c r="X225" t="s">
        <v>1785</v>
      </c>
      <c r="Y225" t="s">
        <v>37</v>
      </c>
      <c r="Z225" t="s">
        <v>37</v>
      </c>
    </row>
    <row r="226">
      <c r="A226" t="s">
        <v>1770</v>
      </c>
      <c r="B226" t="s">
        <v>55</v>
      </c>
      <c r="C226" t="s">
        <v>32</v>
      </c>
      <c r="D226" t="s">
        <v>42</v>
      </c>
      <c r="E226">
        <v>32579</v>
      </c>
      <c r="F226">
        <v>111422</v>
      </c>
      <c r="G226">
        <v>67579</v>
      </c>
      <c r="H226">
        <v>35000</v>
      </c>
      <c r="I226">
        <v>97314</v>
      </c>
      <c r="J226" t="str">
        <f>HYPERLINK("https://driffle.com/es/wwe-2k25-global-pc-steam-digital-key-p9930153","Abrir compra")</f>
        <v>Abrir compra</v>
      </c>
      <c r="K226" t="str">
        <f>HYPERLINK("https://store.steampowered.com/app/2878960/WWE_2K25/","Abrir Steam")</f>
        <v>Abrir Steam</v>
      </c>
      <c r="L226" t="s">
        <v>56</v>
      </c>
      <c r="M226" t="s">
        <v>75</v>
      </c>
      <c r="N226" t="s">
        <v>32</v>
      </c>
      <c r="O226" t="s">
        <v>1786</v>
      </c>
      <c r="P226" t="s">
        <v>1787</v>
      </c>
      <c r="Q226" t="s">
        <v>32</v>
      </c>
      <c r="R226" t="s">
        <v>1788</v>
      </c>
      <c r="S226" t="s">
        <v>1789</v>
      </c>
      <c r="T226" t="s">
        <v>1790</v>
      </c>
      <c r="U226" t="s">
        <v>1791</v>
      </c>
      <c r="V226" t="s">
        <v>37</v>
      </c>
      <c r="W226" t="s">
        <v>1792</v>
      </c>
      <c r="X226" t="s">
        <v>1793</v>
      </c>
      <c r="Y226" t="s">
        <v>1794</v>
      </c>
      <c r="Z226" t="s">
        <v>37</v>
      </c>
    </row>
    <row r="227">
      <c r="A227" t="s">
        <v>1770</v>
      </c>
      <c r="B227" t="s">
        <v>67</v>
      </c>
      <c r="C227" t="s">
        <v>28</v>
      </c>
      <c r="D227" t="s">
        <v>29</v>
      </c>
      <c r="E227">
        <v>49306</v>
      </c>
      <c r="F227">
        <v>111422</v>
      </c>
      <c r="G227">
        <v>69177</v>
      </c>
      <c r="H227">
        <v>19871</v>
      </c>
      <c r="I227">
        <v>99615</v>
      </c>
      <c r="J227" t="str">
        <f>HYPERLINK("https://www.kinguin.net/es/category/314612/wwe-2k25-pc-steam-account","Abrir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75</v>
      </c>
      <c r="N227" t="s">
        <v>32</v>
      </c>
      <c r="O227" t="s">
        <v>1795</v>
      </c>
      <c r="P227" t="s">
        <v>1796</v>
      </c>
      <c r="Q227" t="s">
        <v>32</v>
      </c>
      <c r="R227" t="s">
        <v>1797</v>
      </c>
      <c r="S227" t="s">
        <v>1798</v>
      </c>
      <c r="T227" t="s">
        <v>37</v>
      </c>
      <c r="U227" t="s">
        <v>37</v>
      </c>
      <c r="V227" t="s">
        <v>37</v>
      </c>
      <c r="W227" t="s">
        <v>1799</v>
      </c>
      <c r="X227" t="s">
        <v>37</v>
      </c>
      <c r="Y227" t="s">
        <v>37</v>
      </c>
      <c r="Z227" t="s">
        <v>37</v>
      </c>
    </row>
    <row r="228">
      <c r="A228" t="s">
        <v>1800</v>
      </c>
      <c r="B228" t="s">
        <v>1801</v>
      </c>
      <c r="C228" t="s">
        <v>32</v>
      </c>
      <c r="D228" t="s">
        <v>42</v>
      </c>
      <c r="E228">
        <v>104050</v>
      </c>
      <c r="F228">
        <v>241437</v>
      </c>
      <c r="G228">
        <v>139050</v>
      </c>
      <c r="H228">
        <v>35000</v>
      </c>
      <c r="I228">
        <v>200232</v>
      </c>
      <c r="J228" t="str">
        <f>HYPERLINK("https://www.kinguin.net/es/category/476565/wwe-2k26-attitude-era-edition-pc-steam-cd-key","Abrir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31</v>
      </c>
      <c r="N228" t="s">
        <v>32</v>
      </c>
      <c r="O228" t="s">
        <v>1802</v>
      </c>
      <c r="P228" t="s">
        <v>1803</v>
      </c>
      <c r="Q228" t="s">
        <v>32</v>
      </c>
      <c r="R228" t="s">
        <v>1804</v>
      </c>
      <c r="S228" t="s">
        <v>1805</v>
      </c>
      <c r="T228" t="s">
        <v>37</v>
      </c>
      <c r="U228" t="s">
        <v>37</v>
      </c>
      <c r="V228" t="s">
        <v>37</v>
      </c>
      <c r="W228" t="s">
        <v>1806</v>
      </c>
      <c r="X228" t="s">
        <v>37</v>
      </c>
      <c r="Y228" t="s">
        <v>37</v>
      </c>
      <c r="Z228" t="s">
        <v>37</v>
      </c>
    </row>
    <row r="229">
      <c r="A229" t="s">
        <v>1800</v>
      </c>
      <c r="B229" t="s">
        <v>1807</v>
      </c>
      <c r="C229" t="s">
        <v>28</v>
      </c>
      <c r="D229" t="s">
        <v>29</v>
      </c>
      <c r="E229">
        <v>144038</v>
      </c>
      <c r="F229">
        <v>241437</v>
      </c>
      <c r="G229">
        <v>159038</v>
      </c>
      <c r="H229">
        <v>15000</v>
      </c>
      <c r="I229">
        <v>229015</v>
      </c>
      <c r="J229" t="str">
        <f>HYPERLINK("https://www.kinguin.net/es/category/476568/wwe-2k26-attitude-era-edition-pc-steam-account","Abrir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75</v>
      </c>
      <c r="N229" t="s">
        <v>32</v>
      </c>
      <c r="O229" t="s">
        <v>1808</v>
      </c>
      <c r="P229" t="s">
        <v>1809</v>
      </c>
      <c r="Q229" t="s">
        <v>32</v>
      </c>
      <c r="R229" t="s">
        <v>1810</v>
      </c>
      <c r="S229" t="s">
        <v>1811</v>
      </c>
      <c r="T229" t="s">
        <v>37</v>
      </c>
      <c r="U229" t="s">
        <v>37</v>
      </c>
      <c r="V229" t="s">
        <v>37</v>
      </c>
      <c r="W229" t="s">
        <v>1812</v>
      </c>
      <c r="X229" t="s">
        <v>37</v>
      </c>
      <c r="Y229" t="s">
        <v>37</v>
      </c>
      <c r="Z229" t="s">
        <v>37</v>
      </c>
    </row>
    <row r="230">
      <c r="A230" t="s">
        <v>1800</v>
      </c>
      <c r="B230" t="s">
        <v>55</v>
      </c>
      <c r="C230" t="s">
        <v>32</v>
      </c>
      <c r="D230" t="s">
        <v>42</v>
      </c>
      <c r="E230">
        <v>44822</v>
      </c>
      <c r="F230">
        <v>129996</v>
      </c>
      <c r="G230">
        <v>79822</v>
      </c>
      <c r="H230">
        <v>35000</v>
      </c>
      <c r="I230">
        <v>114944</v>
      </c>
      <c r="J230" t="str">
        <f>HYPERLINK("https://www.eneba.com/latam/steam-wwe-2k26-steam-key-pc-global","Abrir compra")</f>
        <v>Abrir compra</v>
      </c>
      <c r="K230" t="str">
        <f>HYPERLINK("https://store.steampowered.com/app/3717070/WWE_2K26/","Abrir Steam")</f>
        <v>Abrir Steam</v>
      </c>
      <c r="L230" t="s">
        <v>43</v>
      </c>
      <c r="M230" t="s">
        <v>75</v>
      </c>
      <c r="N230" t="s">
        <v>32</v>
      </c>
      <c r="O230" t="s">
        <v>1813</v>
      </c>
      <c r="P230" t="s">
        <v>1814</v>
      </c>
      <c r="Q230" t="s">
        <v>32</v>
      </c>
      <c r="R230" t="s">
        <v>1815</v>
      </c>
      <c r="S230" t="s">
        <v>1816</v>
      </c>
      <c r="T230" t="s">
        <v>334</v>
      </c>
      <c r="U230" t="s">
        <v>37</v>
      </c>
      <c r="V230" t="s">
        <v>37</v>
      </c>
      <c r="W230" t="s">
        <v>1817</v>
      </c>
      <c r="X230" t="s">
        <v>1818</v>
      </c>
      <c r="Y230" t="s">
        <v>37</v>
      </c>
      <c r="Z230" t="s">
        <v>37</v>
      </c>
    </row>
    <row r="231">
      <c r="A231" t="s">
        <v>1800</v>
      </c>
      <c r="B231" t="s">
        <v>67</v>
      </c>
      <c r="C231" t="s">
        <v>28</v>
      </c>
      <c r="D231" t="s">
        <v>29</v>
      </c>
      <c r="E231">
        <v>59879</v>
      </c>
      <c r="F231">
        <v>129996</v>
      </c>
      <c r="G231">
        <v>80650</v>
      </c>
      <c r="H231">
        <v>20771</v>
      </c>
      <c r="I231">
        <v>116136</v>
      </c>
      <c r="J231" t="str">
        <f>HYPERLINK("https://www.kinguin.net/es/category/464749/wwe-2k26-pc-steam-account","Abrir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1819</v>
      </c>
      <c r="P231" t="s">
        <v>1820</v>
      </c>
      <c r="Q231" t="s">
        <v>32</v>
      </c>
      <c r="R231" t="s">
        <v>1821</v>
      </c>
      <c r="S231" t="s">
        <v>1822</v>
      </c>
      <c r="T231" t="s">
        <v>37</v>
      </c>
      <c r="U231" t="s">
        <v>37</v>
      </c>
      <c r="V231" t="s">
        <v>37</v>
      </c>
      <c r="W231" t="s">
        <v>1823</v>
      </c>
      <c r="X231" t="s">
        <v>37</v>
      </c>
      <c r="Y231" t="s">
        <v>37</v>
      </c>
      <c r="Z231" t="s">
        <v>37</v>
      </c>
    </row>
    <row r="232">
      <c r="A232" t="s">
        <v>1800</v>
      </c>
      <c r="B232" t="s">
        <v>1824</v>
      </c>
      <c r="C232" t="s">
        <v>28</v>
      </c>
      <c r="D232" t="s">
        <v>29</v>
      </c>
      <c r="E232">
        <v>109758</v>
      </c>
      <c r="F232">
        <v>185716</v>
      </c>
      <c r="G232">
        <v>124758</v>
      </c>
      <c r="H232">
        <v>15000</v>
      </c>
      <c r="I232">
        <v>179652</v>
      </c>
      <c r="J232" t="str">
        <f>HYPERLINK("https://www.kinguin.net/es/category/476574/wwe-2k26-king-of-kings-edition-pc-steam-account","Abrir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75</v>
      </c>
      <c r="N232" t="s">
        <v>32</v>
      </c>
      <c r="O232" t="s">
        <v>1825</v>
      </c>
      <c r="P232" t="s">
        <v>1826</v>
      </c>
      <c r="Q232" t="s">
        <v>32</v>
      </c>
      <c r="R232" t="s">
        <v>1827</v>
      </c>
      <c r="S232" t="s">
        <v>1828</v>
      </c>
      <c r="T232" t="s">
        <v>37</v>
      </c>
      <c r="U232" t="s">
        <v>37</v>
      </c>
      <c r="V232" t="s">
        <v>37</v>
      </c>
      <c r="W232" t="s">
        <v>1829</v>
      </c>
      <c r="X232" t="s">
        <v>37</v>
      </c>
      <c r="Y232" t="s">
        <v>37</v>
      </c>
      <c r="Z232" t="s">
        <v>37</v>
      </c>
    </row>
  </sheetData>
</worksheet>
</file>