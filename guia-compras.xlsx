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<sst xmlns="http://schemas.openxmlformats.org/spreadsheetml/2006/main" count="1296" uniqueCount="1296">
  <si>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</si>
  <si>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</si>
  <si>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</si>
  <si>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</si>
  <si>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</si>
  <si>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</si>
  <si>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</si>
  <si>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</si>
  <si>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</si>
  <si>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</si>
  <si>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</si>
  <si>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</si>
  <si>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</si>
  <si>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</si>
  <si>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</si>
  <si>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</si>
  <si>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</si>
  <si>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</si>
  <si>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</si>
  <si>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</si>
  <si>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</si>
  <si>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</si>
  <si>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</si>
  <si>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</si>
  <si>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</si>
  <si>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</si>
  <si>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</si>
  <si>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</si>
  <si>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</si>
  <si>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</si>
  <si>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</si>
  <si>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</si>
  <si>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</si>
  <si>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</si>
  <si>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2026-08-26T00:59:25.089Z</t>
  </si>
  <si>
    <t>driffle:85866</t>
  </si>
  <si>
    <t/>
  </si>
  <si>
    <t>85866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</si>
  <si>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</si>
  <si>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</si>
  <si>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</si>
  <si>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</si>
  <si>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global</t>
  </si>
  <si>
    <t>A Way Out (Global) (PC) - Steam Account</t>
  </si>
  <si>
    <t>2026-08-26T00:59:58.120Z</t>
  </si>
  <si>
    <t>driffle:7243</t>
  </si>
  <si>
    <t>7243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</si>
  <si>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</si>
  <si>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</si>
  <si>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</si>
  <si>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</si>
  <si>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</si>
  <si>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</si>
  <si>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</si>
  <si>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2026-08-26T01:01:53.468Z</t>
  </si>
  <si>
    <t>driffle:55341 | loaded:56589 | eneba:55197</t>
  </si>
  <si>
    <t>55197</t>
  </si>
  <si>
    <t>55341</t>
  </si>
  <si>
    <t>56589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</si>
  <si>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</si>
  <si>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</si>
  <si>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</si>
  <si>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</si>
  <si>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</si>
  <si>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</si>
  <si>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cuenta</t>
  </si>
  <si>
    <t>ARC Raiders PC Key</t>
  </si>
  <si>
    <t>2026-08-26T01:00:41.142Z</t>
  </si>
  <si>
    <t>driffle:40039 | loaded:39160 | eneba:40663</t>
  </si>
  <si>
    <t>40663</t>
  </si>
  <si>
    <t>40039</t>
  </si>
  <si>
    <t>39160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</si>
  <si>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</si>
  <si>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</si>
  <si>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</si>
  <si>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</si>
  <si>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</si>
  <si>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</si>
  <si>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2026-08-26T01:02:59.248Z</t>
  </si>
  <si>
    <t>driffle:83724</t>
  </si>
  <si>
    <t>83724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</si>
  <si>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</si>
  <si>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</si>
  <si>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</si>
  <si>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</si>
  <si>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2026-08-26T01:03:32.149Z</t>
  </si>
  <si>
    <t>driffle:13783</t>
  </si>
  <si>
    <t>13783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</si>
  <si>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</si>
  <si>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</si>
  <si>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</si>
  <si>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</si>
  <si>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2026-08-26T01:06:16.115Z</t>
  </si>
  <si>
    <t>driffle:38280</t>
  </si>
  <si>
    <t>38280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</si>
  <si>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</si>
  <si>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</si>
  <si>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</si>
  <si>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</si>
  <si>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2026-08-26T01:08:33.895Z</t>
  </si>
  <si>
    <t>driffle:22994</t>
  </si>
  <si>
    <t>22994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</si>
  <si>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</si>
  <si>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</si>
  <si>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</si>
  <si>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</si>
  <si>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2026-08-26T01:10:37.836Z</t>
  </si>
  <si>
    <t>driffle:78159</t>
  </si>
  <si>
    <t>78159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</si>
  <si>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</si>
  <si>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</si>
  <si>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</si>
  <si>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</si>
  <si>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</si>
  <si>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2026-08-26T01:11:10.695Z</t>
  </si>
  <si>
    <t>driffle:27183</t>
  </si>
  <si>
    <t>27183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</si>
  <si>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</si>
  <si>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</si>
  <si>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</si>
  <si>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</si>
  <si>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2026-08-26T01:12:54.085Z</t>
  </si>
  <si>
    <t>driffle:138745</t>
  </si>
  <si>
    <t>138745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</si>
  <si>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</si>
  <si>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</si>
  <si>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</si>
  <si>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</si>
  <si>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</si>
  <si>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</si>
  <si>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2026-08-26T01:13:27.051Z</t>
  </si>
  <si>
    <t>driffle:98978</t>
  </si>
  <si>
    <t>98978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</si>
  <si>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</si>
  <si>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</si>
  <si>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</si>
  <si>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</si>
  <si>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2026-08-26T01:14:08.237Z</t>
  </si>
  <si>
    <t>driffle:58971 | loaded:60906 | eneba:59003</t>
  </si>
  <si>
    <t>59003</t>
  </si>
  <si>
    <t>58971</t>
  </si>
  <si>
    <t>60906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</si>
  <si>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</si>
  <si>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</si>
  <si>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</si>
  <si>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</si>
  <si>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</si>
  <si>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2026-08-26T01:14:41.145Z</t>
  </si>
  <si>
    <t>driffle:38232</t>
  </si>
  <si>
    <t>38232</t>
  </si>
  <si>
    <t>https://www.kinguin.net/es/category/243305/black-myth-wukong-pc-steam-account</t>
  </si>
  <si>
    <t>https://driffle.com/black-myth-wukong-global-pc-steam-account-p9952239</t>
  </si>
  <si>
    <t>Borderlands 4</t>
  </si>
  <si>
    <t>kinguin</t>
  </si>
  <si>
    <t>Borderlands 4 Deluxe Edition PC Steam Account</t>
  </si>
  <si>
    <t>2026-08-26T01:17:27.312Z</t>
  </si>
  <si>
    <t>kinguin:94389</t>
  </si>
  <si>
    <t>94389</t>
  </si>
  <si>
    <t>https://www.kinguin.net/es/category/352522/borderlands-4-deluxe-edition-pc-steam-account</t>
  </si>
  <si>
    <t>Borderlands 4 Super Deluxe Edition PC Steam Account</t>
  </si>
  <si>
    <t>2026-08-26T01:18:08.596Z</t>
  </si>
  <si>
    <t>kinguin:135723</t>
  </si>
  <si>
    <t>135723</t>
  </si>
  <si>
    <t>https://www.kinguin.net/es/category/352529/borderlands-4-super-deluxe-edition-pc-steam-account</t>
  </si>
  <si>
    <t>Borderlands 4 Deluxe Edition Código de Steam (PC) GLOBAL</t>
  </si>
  <si>
    <t>2026-08-26T01:17:23.037Z</t>
  </si>
  <si>
    <t>driffle:66422 | eneba:63784</t>
  </si>
  <si>
    <t>63784</t>
  </si>
  <si>
    <t>66422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</si>
  <si>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</si>
  <si>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</si>
  <si>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</si>
  <si>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</si>
  <si>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2026-08-26T01:16:17.565Z</t>
  </si>
  <si>
    <t>driffle:45396 | kinguin:48594 | loaded:48274 | eneba:45188</t>
  </si>
  <si>
    <t>48594</t>
  </si>
  <si>
    <t>45188</t>
  </si>
  <si>
    <t>45396</t>
  </si>
  <si>
    <t>48274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</si>
  <si>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</si>
  <si>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</si>
  <si>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</si>
  <si>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</si>
  <si>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</si>
  <si>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</si>
  <si>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2026-08-26T01:18:04.521Z</t>
  </si>
  <si>
    <t>driffle:81629 | eneba:83868</t>
  </si>
  <si>
    <t>83868</t>
  </si>
  <si>
    <t>81629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</si>
  <si>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</si>
  <si>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</si>
  <si>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</si>
  <si>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</si>
  <si>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</si>
  <si>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2026-08-26T01:18:41.692Z</t>
  </si>
  <si>
    <t>driffle:50560</t>
  </si>
  <si>
    <t>50560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</si>
  <si>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</si>
  <si>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</si>
  <si>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</si>
  <si>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</si>
  <si>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2026-08-26T01:18:46.150Z</t>
  </si>
  <si>
    <t>kinguin:120613</t>
  </si>
  <si>
    <t>120613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</si>
  <si>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</si>
  <si>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</si>
  <si>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</si>
  <si>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</si>
  <si>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2026-08-26T01:18:54.858Z</t>
  </si>
  <si>
    <t>driffle:32572 | kinguin:37225</t>
  </si>
  <si>
    <t>37225</t>
  </si>
  <si>
    <t>32572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</si>
  <si>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</si>
  <si>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</si>
  <si>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</si>
  <si>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</si>
  <si>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2026-08-26T01:21:59.687Z</t>
  </si>
  <si>
    <t>driffle:62457</t>
  </si>
  <si>
    <t>62457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</si>
  <si>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</si>
  <si>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</si>
  <si>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</si>
  <si>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2026-08-26T01:20:11.120Z</t>
  </si>
  <si>
    <t>driffle:41670 | loaded:36921 | eneba:40727</t>
  </si>
  <si>
    <t>40727</t>
  </si>
  <si>
    <t>41670</t>
  </si>
  <si>
    <t>36921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</si>
  <si>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</si>
  <si>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</si>
  <si>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</si>
  <si>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</si>
  <si>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</si>
  <si>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</si>
  <si>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2026-08-26T01:25:28.014Z</t>
  </si>
  <si>
    <t>driffle:65303</t>
  </si>
  <si>
    <t>65303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</si>
  <si>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</si>
  <si>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</si>
  <si>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</si>
  <si>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2026-08-26T01:22:18.459Z</t>
  </si>
  <si>
    <t>loaded:50033 | eneba:72563 | kinguin:87273 | driffle:106062</t>
  </si>
  <si>
    <t>87273</t>
  </si>
  <si>
    <t>72563</t>
  </si>
  <si>
    <t>106062</t>
  </si>
  <si>
    <t>50033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</si>
  <si>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</si>
  <si>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</si>
  <si>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</si>
  <si>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</si>
  <si>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</si>
  <si>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2026-08-26T01:22:51.332Z</t>
  </si>
  <si>
    <t>driffle:51856</t>
  </si>
  <si>
    <t>51856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</si>
  <si>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</si>
  <si>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</si>
  <si>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</si>
  <si>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</si>
  <si>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</si>
  <si>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2026-08-26T01:27:15.638Z</t>
  </si>
  <si>
    <t>eneba:24369 | driffle:25392</t>
  </si>
  <si>
    <t>24369</t>
  </si>
  <si>
    <t>25392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</si>
  <si>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</si>
  <si>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</si>
  <si>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</si>
  <si>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</si>
  <si>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2026-08-26T01:26:05.543Z</t>
  </si>
  <si>
    <t>eneba:20499 | driffle:20963</t>
  </si>
  <si>
    <t>20499</t>
  </si>
  <si>
    <t>20963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</si>
  <si>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</si>
  <si>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</si>
  <si>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</si>
  <si>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</si>
  <si>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2026-08-26T01:26:38.440Z</t>
  </si>
  <si>
    <t>driffle:6476</t>
  </si>
  <si>
    <t>6476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</si>
  <si>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</si>
  <si>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</si>
  <si>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</si>
  <si>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</si>
  <si>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2026-08-26T01:28:17.074Z</t>
  </si>
  <si>
    <t>driffle:14359</t>
  </si>
  <si>
    <t>14359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</si>
  <si>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</si>
  <si>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</si>
  <si>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</si>
  <si>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</si>
  <si>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2026-08-26T01:28:50.109Z</t>
  </si>
  <si>
    <t>driffle:23441</t>
  </si>
  <si>
    <t>23441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</si>
  <si>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</si>
  <si>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</si>
  <si>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</si>
  <si>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</si>
  <si>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</si>
  <si>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2026-08-26T01:30:44.014Z</t>
  </si>
  <si>
    <t>driffle:63784 | eneba:66359 | loaded:60906</t>
  </si>
  <si>
    <t>66359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</si>
  <si>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</si>
  <si>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</si>
  <si>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</si>
  <si>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</si>
  <si>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</si>
  <si>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2026-08-26T01:29:27.155Z</t>
  </si>
  <si>
    <t>eneba:26096 | driffle:35034</t>
  </si>
  <si>
    <t>26096</t>
  </si>
  <si>
    <t>35034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</si>
  <si>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</si>
  <si>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</si>
  <si>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</si>
  <si>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</si>
  <si>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2026-08-26T01:30:00.113Z</t>
  </si>
  <si>
    <t>driffle:22594</t>
  </si>
  <si>
    <t>22594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</si>
  <si>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</si>
  <si>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</si>
  <si>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</si>
  <si>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</si>
  <si>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2026-08-26T01:33:37.436Z</t>
  </si>
  <si>
    <t>driffle:88984 | eneba:116647</t>
  </si>
  <si>
    <t>116647</t>
  </si>
  <si>
    <t>88984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</si>
  <si>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</si>
  <si>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</si>
  <si>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</si>
  <si>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</si>
  <si>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2026-08-26T01:33:42.090Z</t>
  </si>
  <si>
    <t>driffle:48881</t>
  </si>
  <si>
    <t>48881</t>
  </si>
  <si>
    <t>https://driffle.com/es/death-stranding-2-on-the-beach-global-pc-steam-account-p9986853</t>
  </si>
  <si>
    <t>Detroit: Become Human</t>
  </si>
  <si>
    <t>Detroit: Become Human Código de Steam LATAM</t>
  </si>
  <si>
    <t>2026-08-26T01:40:15.688Z</t>
  </si>
  <si>
    <t>driffle:9226 | loaded:10857 | eneba:8283</t>
  </si>
  <si>
    <t>8283</t>
  </si>
  <si>
    <t>9226</t>
  </si>
  <si>
    <t>10857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</si>
  <si>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</si>
  <si>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</si>
  <si>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</si>
  <si>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</si>
  <si>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</si>
  <si>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2026-08-26T01:40:24.649Z</t>
  </si>
  <si>
    <t>driffle:4429 | kinguin:6908</t>
  </si>
  <si>
    <t>6908</t>
  </si>
  <si>
    <t>4429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</si>
  <si>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</si>
  <si>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</si>
  <si>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</si>
  <si>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</si>
  <si>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2026-08-26T01:35:25.076Z</t>
  </si>
  <si>
    <t>driffle:38328</t>
  </si>
  <si>
    <t>38328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</si>
  <si>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</si>
  <si>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</si>
  <si>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</si>
  <si>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(Global) (PC) - Steam - Digital Key</t>
  </si>
  <si>
    <t>2026-08-26T01:41:26.698Z</t>
  </si>
  <si>
    <t>driffle:62873 | kinguin:67862 | loaded:62985 | eneba:63752</t>
  </si>
  <si>
    <t>67862</t>
  </si>
  <si>
    <t>63752</t>
  </si>
  <si>
    <t>62873</t>
  </si>
  <si>
    <t>62985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</si>
  <si>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</si>
  <si>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</si>
  <si>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</si>
  <si>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</si>
  <si>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</si>
  <si>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2026-08-26T01:41:35.414Z</t>
  </si>
  <si>
    <t>driffle:34890 | kinguin:38536</t>
  </si>
  <si>
    <t>38536</t>
  </si>
  <si>
    <t>34890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</si>
  <si>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</si>
  <si>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</si>
  <si>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</si>
  <si>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</si>
  <si>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2026-08-26T01:45:55.483Z</t>
  </si>
  <si>
    <t>driffle:63320 | loaded:63464 | eneba:74577</t>
  </si>
  <si>
    <t>74577</t>
  </si>
  <si>
    <t>63320</t>
  </si>
  <si>
    <t>63464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</si>
  <si>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</si>
  <si>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</si>
  <si>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</si>
  <si>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</si>
  <si>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</si>
  <si>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</si>
  <si>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2026-08-26T01:48:38.480Z</t>
  </si>
  <si>
    <t>driffle:6684 | kinguin:6764</t>
  </si>
  <si>
    <t>6764</t>
  </si>
  <si>
    <t>6684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</si>
  <si>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</si>
  <si>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</si>
  <si>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</si>
  <si>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</si>
  <si>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2026-08-26T01:49:15.900Z</t>
  </si>
  <si>
    <t>driffle:14647</t>
  </si>
  <si>
    <t>14647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</si>
  <si>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</si>
  <si>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</si>
  <si>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</si>
  <si>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</si>
  <si>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2026-08-26T01:49:24.614Z</t>
  </si>
  <si>
    <t>driffle:49057 | kinguin:52319</t>
  </si>
  <si>
    <t>52319</t>
  </si>
  <si>
    <t>49057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</si>
  <si>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</si>
  <si>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</si>
  <si>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</si>
  <si>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</si>
  <si>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2026-08-26T01:50:58.427Z</t>
  </si>
  <si>
    <t>driffle:81101 | eneba:84235</t>
  </si>
  <si>
    <t>84235</t>
  </si>
  <si>
    <t>81101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</si>
  <si>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</si>
  <si>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</si>
  <si>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</si>
  <si>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</si>
  <si>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2026-08-26T01:51:31.232Z</t>
  </si>
  <si>
    <t>driffle:49841</t>
  </si>
  <si>
    <t>49841</t>
  </si>
  <si>
    <t>https://www.kinguin.net/es/category/133264/elden-ring-steam-account</t>
  </si>
  <si>
    <t>https://driffle.com/es/elden-ring-global-pc-steam-account-p9943442</t>
  </si>
  <si>
    <t>F1 25</t>
  </si>
  <si>
    <t>2026 Season Edition - CD Key (Steam)</t>
  </si>
  <si>
    <t>titulo</t>
  </si>
  <si>
    <t>F1 25: 2026 Season Edition PC Steam CD Key</t>
  </si>
  <si>
    <t>2026-08-26T01:54:13.097Z</t>
  </si>
  <si>
    <t>kinguin:48194</t>
  </si>
  <si>
    <t>48194</t>
  </si>
  <si>
    <t>https://www.kinguin.net/es/category/549472/f1-25-2026-season-edition-pc-steam-cd-key</t>
  </si>
  <si>
    <t>2026 Season Edition - Cuenta Steam</t>
  </si>
  <si>
    <t>F1 25: 2026 Season Edition PC Steam Account</t>
  </si>
  <si>
    <t>2026-08-26T01:54:21.854Z</t>
  </si>
  <si>
    <t>kinguin:42086 | driffle:49633</t>
  </si>
  <si>
    <t>42086</t>
  </si>
  <si>
    <t>49633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</si>
  <si>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</si>
  <si>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</si>
  <si>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</si>
  <si>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</si>
  <si>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2026-08-26T01:56:29.397Z</t>
  </si>
  <si>
    <t>eneba:12968 | driffle:15191 | loaded:15015</t>
  </si>
  <si>
    <t>12968</t>
  </si>
  <si>
    <t>15191</t>
  </si>
  <si>
    <t>15015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</si>
  <si>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</si>
  <si>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</si>
  <si>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</si>
  <si>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</si>
  <si>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</si>
  <si>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2026-08-26T01:57:02.413Z</t>
  </si>
  <si>
    <t>driffle:6764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</si>
  <si>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</si>
  <si>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</si>
  <si>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</si>
  <si>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</si>
  <si>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2026-08-26T01:58:45.900Z</t>
  </si>
  <si>
    <t>driffle:26879 | eneba:27599</t>
  </si>
  <si>
    <t>27599</t>
  </si>
  <si>
    <t>26879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</si>
  <si>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</si>
  <si>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</si>
  <si>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</si>
  <si>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</si>
  <si>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</si>
  <si>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</si>
  <si>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2026-08-26T01:59:36.628Z</t>
  </si>
  <si>
    <t>driffle:32572 | kinguin:34490</t>
  </si>
  <si>
    <t>34490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</si>
  <si>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</si>
  <si>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</si>
  <si>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</si>
  <si>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2026-08-26T01:59:27.355Z</t>
  </si>
  <si>
    <t>driffle:20115</t>
  </si>
  <si>
    <t>20115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</si>
  <si>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</si>
  <si>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</si>
  <si>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</si>
  <si>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</si>
  <si>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2026-08-26T01:59:49.616Z</t>
  </si>
  <si>
    <t>kinguin:34746 | driffle:36665</t>
  </si>
  <si>
    <t>34746</t>
  </si>
  <si>
    <t>36665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</si>
  <si>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</si>
  <si>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</si>
  <si>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</si>
  <si>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</si>
  <si>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2026-08-26T02:01:13.666Z</t>
  </si>
  <si>
    <t>kinguin:87066 | driffle:93094</t>
  </si>
  <si>
    <t>87066</t>
  </si>
  <si>
    <t>93094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</si>
  <si>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</si>
  <si>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</si>
  <si>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</si>
  <si>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</si>
  <si>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</si>
  <si>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2026-08-26T02:03:27.142Z</t>
  </si>
  <si>
    <t>driffle:38712 | kinguin:42661 | eneba:39351</t>
  </si>
  <si>
    <t>42661</t>
  </si>
  <si>
    <t>39351</t>
  </si>
  <si>
    <t>38712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</si>
  <si>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</si>
  <si>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</si>
  <si>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</si>
  <si>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</si>
  <si>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</si>
  <si>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</si>
  <si>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2026-08-26T02:03:36.131Z</t>
  </si>
  <si>
    <t>driffle:27087 | eneba:23138</t>
  </si>
  <si>
    <t>23138</t>
  </si>
  <si>
    <t>27087</t>
  </si>
  <si>
    <t>https://www.eneba.com/latam/steam-god-of-war-pc-steam-key-latam</t>
  </si>
  <si>
    <t>https://driffle.com/es/god-of-war-pc-steam-digital-code-p9878708</t>
  </si>
  <si>
    <t>God Of War Ragnarök</t>
  </si>
  <si>
    <t>God of War Ragnarok (LATAM) (PC) - Steam - Digital Key</t>
  </si>
  <si>
    <t>2026-08-26T02:04:46.036Z</t>
  </si>
  <si>
    <t>driffle:49249 | eneba:51072</t>
  </si>
  <si>
    <t>51072</t>
  </si>
  <si>
    <t>49249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</si>
  <si>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</si>
  <si>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</si>
  <si>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</si>
  <si>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</si>
  <si>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2026-08-26T02:05:19.091Z</t>
  </si>
  <si>
    <t>driffle:40790</t>
  </si>
  <si>
    <t>40790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</si>
  <si>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</si>
  <si>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</si>
  <si>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</si>
  <si>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</si>
  <si>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2026-08-26T02:08:28.613Z</t>
  </si>
  <si>
    <t>eneba:38200 | kinguin:41798 | driffle:50001</t>
  </si>
  <si>
    <t>41798</t>
  </si>
  <si>
    <t>38200</t>
  </si>
  <si>
    <t>50001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</si>
  <si>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</si>
  <si>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</si>
  <si>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</si>
  <si>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</si>
  <si>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</si>
  <si>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</si>
  <si>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</si>
  <si>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2026-08-26T02:08:42.291Z</t>
  </si>
  <si>
    <t>driffle:16470 | kinguin:17445</t>
  </si>
  <si>
    <t>17445</t>
  </si>
  <si>
    <t>16470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</si>
  <si>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</si>
  <si>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</si>
  <si>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</si>
  <si>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</si>
  <si>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2026-08-26T02:09:24.919Z</t>
  </si>
  <si>
    <t>driffle:79262</t>
  </si>
  <si>
    <t>79262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</si>
  <si>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</si>
  <si>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</si>
  <si>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</si>
  <si>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</si>
  <si>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2026-08-26T02:10:08.387Z</t>
  </si>
  <si>
    <t>driffle:38712 | loaded:43477 | eneba:40647</t>
  </si>
  <si>
    <t>40647</t>
  </si>
  <si>
    <t>43477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</si>
  <si>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</si>
  <si>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</si>
  <si>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</si>
  <si>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</si>
  <si>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</si>
  <si>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2026-08-26T02:10:41.229Z</t>
  </si>
  <si>
    <t>driffle:30989</t>
  </si>
  <si>
    <t>30989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</si>
  <si>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</si>
  <si>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</si>
  <si>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</si>
  <si>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</si>
  <si>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2026-08-26T02:13:09.432Z</t>
  </si>
  <si>
    <t>driffle:57516 | eneba:57788</t>
  </si>
  <si>
    <t>57788</t>
  </si>
  <si>
    <t>57516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</si>
  <si>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</si>
  <si>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</si>
  <si>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</si>
  <si>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</si>
  <si>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</si>
  <si>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</si>
  <si>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2026-08-26T02:14:31.055Z</t>
  </si>
  <si>
    <t>driffle:30445</t>
  </si>
  <si>
    <t>30445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</si>
  <si>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</si>
  <si>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</si>
  <si>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</si>
  <si>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</si>
  <si>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2026-08-26T02:13:49.029Z</t>
  </si>
  <si>
    <t>driffle:35466</t>
  </si>
  <si>
    <t>35466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</si>
  <si>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</si>
  <si>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</si>
  <si>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</si>
  <si>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2026-08-26T02:13:53.720Z</t>
  </si>
  <si>
    <t>driffle:14135</t>
  </si>
  <si>
    <t>14135</t>
  </si>
  <si>
    <t>https://driffle.com/es/hitman-world-of-assassination-global-pc-steam-account-p9945630</t>
  </si>
  <si>
    <t>Hogwarts Legacy</t>
  </si>
  <si>
    <t>Hogwarts Legacy Deluxe Edition (PC) Código de Steam LATAM</t>
  </si>
  <si>
    <t>2026-08-26T02:18:49.929Z</t>
  </si>
  <si>
    <t>driffle:15926 | loaded:18532 | eneba:10441</t>
  </si>
  <si>
    <t>10441</t>
  </si>
  <si>
    <t>15926</t>
  </si>
  <si>
    <t>18532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</si>
  <si>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</si>
  <si>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</si>
  <si>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</si>
  <si>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</si>
  <si>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</si>
  <si>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2026-08-26T02:19:23.845Z</t>
  </si>
  <si>
    <t>driffle:10633</t>
  </si>
  <si>
    <t>10633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</si>
  <si>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</si>
  <si>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</si>
  <si>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</si>
  <si>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2026-08-26T02:16:34.870Z</t>
  </si>
  <si>
    <t>kinguin:8491 | driffle:8507 | eneba:7643</t>
  </si>
  <si>
    <t>8491</t>
  </si>
  <si>
    <t>7643</t>
  </si>
  <si>
    <t>8507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</si>
  <si>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</si>
  <si>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</si>
  <si>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</si>
  <si>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</si>
  <si>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</si>
  <si>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2026-08-26T02:17:07.620Z</t>
  </si>
  <si>
    <t>driffle:5916</t>
  </si>
  <si>
    <t>5916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</si>
  <si>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</si>
  <si>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</si>
  <si>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</si>
  <si>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</si>
  <si>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2026-08-26T02:23:08.327Z</t>
  </si>
  <si>
    <t>driffle:40263</t>
  </si>
  <si>
    <t>40263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</si>
  <si>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</si>
  <si>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</si>
  <si>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</si>
  <si>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2026-08-26T02:20:44.220Z</t>
  </si>
  <si>
    <t>driffle:22098</t>
  </si>
  <si>
    <t>22098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</si>
  <si>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</si>
  <si>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</si>
  <si>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</si>
  <si>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</si>
  <si>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2026-08-26T02:23:23.694Z</t>
  </si>
  <si>
    <t>driffle:70132 | eneba:71635</t>
  </si>
  <si>
    <t>71635</t>
  </si>
  <si>
    <t>70132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</si>
  <si>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</si>
  <si>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</si>
  <si>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</si>
  <si>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</si>
  <si>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2026-08-26T02:23:32.559Z</t>
  </si>
  <si>
    <t>driffle:9034 | kinguin:9834</t>
  </si>
  <si>
    <t>9834</t>
  </si>
  <si>
    <t>9034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</si>
  <si>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</si>
  <si>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</si>
  <si>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</si>
  <si>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</si>
  <si>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2026-08-26T02:27:40.045Z</t>
  </si>
  <si>
    <t>loaded:80414 | eneba:90455 | driffle:105502</t>
  </si>
  <si>
    <t>90455</t>
  </si>
  <si>
    <t>105502</t>
  </si>
  <si>
    <t>80414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</si>
  <si>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</si>
  <si>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</si>
  <si>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</si>
  <si>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</si>
  <si>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</si>
  <si>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2026-08-26T02:26:00.765Z</t>
  </si>
  <si>
    <t>eneba:66950 | driffle:74050</t>
  </si>
  <si>
    <t>66950</t>
  </si>
  <si>
    <t>74050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</si>
  <si>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</si>
  <si>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</si>
  <si>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</si>
  <si>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</si>
  <si>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</si>
  <si>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</si>
  <si>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2026-08-26T02:31:25.090Z</t>
  </si>
  <si>
    <t>eneba:11721 | driffle:14983</t>
  </si>
  <si>
    <t>11721</t>
  </si>
  <si>
    <t>14983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</si>
  <si>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</si>
  <si>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</si>
  <si>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</si>
  <si>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</si>
  <si>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</si>
  <si>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2026-08-26T02:28:56.882Z</t>
  </si>
  <si>
    <t>driffle:9354 | eneba:7036</t>
  </si>
  <si>
    <t>7036</t>
  </si>
  <si>
    <t>9354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</si>
  <si>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</si>
  <si>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</si>
  <si>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</si>
  <si>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</si>
  <si>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</si>
  <si>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2026-08-26T02:32:48.334Z</t>
  </si>
  <si>
    <t>driffle:55389</t>
  </si>
  <si>
    <t>55389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</si>
  <si>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</si>
  <si>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</si>
  <si>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</si>
  <si>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</si>
  <si>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2026-08-26T02:32:02.544Z</t>
  </si>
  <si>
    <t>driffle:51472 | eneba:52031</t>
  </si>
  <si>
    <t>52031</t>
  </si>
  <si>
    <t>51472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</si>
  <si>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</si>
  <si>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</si>
  <si>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</si>
  <si>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</si>
  <si>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</si>
  <si>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2026-08-26T02:34:04.298Z</t>
  </si>
  <si>
    <t>eneba:37113</t>
  </si>
  <si>
    <t>37113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</si>
  <si>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</si>
  <si>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</si>
  <si>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</si>
  <si>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</si>
  <si>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</si>
  <si>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</si>
  <si>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2026-08-26T02:35:43.822Z</t>
  </si>
  <si>
    <t>driffle:36489 | eneba:24241</t>
  </si>
  <si>
    <t>24241</t>
  </si>
  <si>
    <t>36489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</si>
  <si>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</si>
  <si>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</si>
  <si>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</si>
  <si>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</si>
  <si>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</si>
  <si>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</si>
  <si>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</si>
  <si>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2026-08-26T02:38:47.655Z</t>
  </si>
  <si>
    <t>loaded:203057</t>
  </si>
  <si>
    <t>203057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</si>
  <si>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</si>
  <si>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</si>
  <si>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</si>
  <si>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2026-08-26T02:37:25.619Z</t>
  </si>
  <si>
    <t>loaded:102320</t>
  </si>
  <si>
    <t>102320</t>
  </si>
  <si>
    <t>https://www.loaded.com/es_es/microsoft-flight-simulator-2024-deluxe-edition-pc-steam</t>
  </si>
  <si>
    <t>Microsoft Flight Simulator 2024 PC Key</t>
  </si>
  <si>
    <t>2026-08-26T02:36:46.315Z</t>
  </si>
  <si>
    <t>loaded:73538</t>
  </si>
  <si>
    <t>73538</t>
  </si>
  <si>
    <t>https://www.loaded.com/es_es/microsoft-flight-simulator-2024-pc-steam</t>
  </si>
  <si>
    <t>Microsoft Flight Simulator 2024 (Global) (PC) - Steam Account</t>
  </si>
  <si>
    <t>2026-08-26T02:37:19.198Z</t>
  </si>
  <si>
    <t>driffle:66055</t>
  </si>
  <si>
    <t>66055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</si>
  <si>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</si>
  <si>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</si>
  <si>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</si>
  <si>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</si>
  <si>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2026-08-26T02:37:40.289Z</t>
  </si>
  <si>
    <t>loaded:132701</t>
  </si>
  <si>
    <t>132701</t>
  </si>
  <si>
    <t>https://www.loaded.com/es_es/microsoft-flight-simulator-2024-premium-deluxe-edition-pc-steam</t>
  </si>
  <si>
    <t>Monster Hunter Wilds</t>
  </si>
  <si>
    <t>Monster Hunter Wilds (PC) Código de Steam LATAM</t>
  </si>
  <si>
    <t>2026-08-26T02:39:29.458Z</t>
  </si>
  <si>
    <t>kinguin:38600 | eneba:38408</t>
  </si>
  <si>
    <t>38600</t>
  </si>
  <si>
    <t>38408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</si>
  <si>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</si>
  <si>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</si>
  <si>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</si>
  <si>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</si>
  <si>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</si>
  <si>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</si>
  <si>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2026-08-26T02:42:04.126Z</t>
  </si>
  <si>
    <t>eneba:22482 | driffle:28846 | loaded:27167</t>
  </si>
  <si>
    <t>22482</t>
  </si>
  <si>
    <t>28846</t>
  </si>
  <si>
    <t>27167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</si>
  <si>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</si>
  <si>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</si>
  <si>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</si>
  <si>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</si>
  <si>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</si>
  <si>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</si>
  <si>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2026-08-26T02:42:08.515Z</t>
  </si>
  <si>
    <t>kinguin:41526</t>
  </si>
  <si>
    <t>41526</t>
  </si>
  <si>
    <t>https://www.kinguin.net/es/category/405683/mortal-kombat-1-definitive-edition-pc-steam-account</t>
  </si>
  <si>
    <t>Mortal Kombat 1 (PC) Código de Steam LATAM</t>
  </si>
  <si>
    <t>2026-08-26T02:41:16.548Z</t>
  </si>
  <si>
    <t>driffle:13400 | kinguin:15814 | eneba:12744</t>
  </si>
  <si>
    <t>15814</t>
  </si>
  <si>
    <t>12744</t>
  </si>
  <si>
    <t>13400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</si>
  <si>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</si>
  <si>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</si>
  <si>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</si>
  <si>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</si>
  <si>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</si>
  <si>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2026-08-26T02:41:20.787Z</t>
  </si>
  <si>
    <t>kinguin:15127</t>
  </si>
  <si>
    <t>15127</t>
  </si>
  <si>
    <t>https://www.kinguin.net/es/category/185707/mortal-kombat-1-steam-account</t>
  </si>
  <si>
    <t>NBA 2K26</t>
  </si>
  <si>
    <t>NBA 2K26 Steam Key (PC) GLOBAL</t>
  </si>
  <si>
    <t>2026-08-26T02:42:55.927Z</t>
  </si>
  <si>
    <t>eneba:15558 | driffle:15606 | loaded:17413</t>
  </si>
  <si>
    <t>15558</t>
  </si>
  <si>
    <t>15606</t>
  </si>
  <si>
    <t>17413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</si>
  <si>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</si>
  <si>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</si>
  <si>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</si>
  <si>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</si>
  <si>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</si>
  <si>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2026-08-26T02:43:28.844Z</t>
  </si>
  <si>
    <t>driffle:10953</t>
  </si>
  <si>
    <t>10953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</si>
  <si>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</si>
  <si>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</si>
  <si>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</si>
  <si>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</si>
  <si>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2026-08-26T02:44:44.678Z</t>
  </si>
  <si>
    <t>eneba:25824 | driffle:26447 | loaded:17413</t>
  </si>
  <si>
    <t>25824</t>
  </si>
  <si>
    <t>26447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</si>
  <si>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</si>
  <si>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</si>
  <si>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</si>
  <si>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</si>
  <si>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</si>
  <si>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</si>
  <si>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2026-08-26T02:44:53.186Z</t>
  </si>
  <si>
    <t>kinguin:23649 | driffle:87881</t>
  </si>
  <si>
    <t>23649</t>
  </si>
  <si>
    <t>87881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</si>
  <si>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</si>
  <si>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</si>
  <si>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</si>
  <si>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</si>
  <si>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2026-08-26T02:46:04.485Z</t>
  </si>
  <si>
    <t>driffle:37401 | eneba:38168 | loaded:28286</t>
  </si>
  <si>
    <t>38168</t>
  </si>
  <si>
    <t>37401</t>
  </si>
  <si>
    <t>28286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</si>
  <si>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</si>
  <si>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</si>
  <si>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</si>
  <si>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</si>
  <si>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</si>
  <si>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</si>
  <si>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</si>
  <si>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2026-08-26T02:49:01.215Z</t>
  </si>
  <si>
    <t>driffle:23233 | eneba:18165</t>
  </si>
  <si>
    <t>18165</t>
  </si>
  <si>
    <t>23233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</si>
  <si>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</si>
  <si>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</si>
  <si>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</si>
  <si>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</si>
  <si>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</si>
  <si>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</si>
  <si>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2026-08-26T02:49:10.134Z</t>
  </si>
  <si>
    <t>driffle:7579 | kinguin:7755</t>
  </si>
  <si>
    <t>7755</t>
  </si>
  <si>
    <t>7579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</si>
  <si>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</si>
  <si>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</si>
  <si>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</si>
  <si>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</si>
  <si>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2026-08-26T02:55:20.993Z</t>
  </si>
  <si>
    <t>driffle:47522</t>
  </si>
  <si>
    <t>47522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</si>
  <si>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</si>
  <si>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</si>
  <si>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</si>
  <si>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</si>
  <si>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</si>
  <si>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2026-08-26T02:53:36.617Z</t>
  </si>
  <si>
    <t>driffle:30701 | eneba:28430</t>
  </si>
  <si>
    <t>28430</t>
  </si>
  <si>
    <t>30701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</si>
  <si>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</si>
  <si>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</si>
  <si>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</si>
  <si>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</si>
  <si>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</si>
  <si>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</si>
  <si>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2026-08-26T02:59:12.974Z</t>
  </si>
  <si>
    <t>loaded:76096 | eneba:77024 | driffle:81309</t>
  </si>
  <si>
    <t>77024</t>
  </si>
  <si>
    <t>81309</t>
  </si>
  <si>
    <t>76096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</si>
  <si>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</si>
  <si>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</si>
  <si>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</si>
  <si>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</si>
  <si>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</si>
  <si>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2026-08-26T02:57:56.921Z</t>
  </si>
  <si>
    <t>eneba:62073 | loaded:65223 | driffle:69493 | kinguin:73618</t>
  </si>
  <si>
    <t>73618</t>
  </si>
  <si>
    <t>62073</t>
  </si>
  <si>
    <t>69493</t>
  </si>
  <si>
    <t>65223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</si>
  <si>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</si>
  <si>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</si>
  <si>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</si>
  <si>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</si>
  <si>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</si>
  <si>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</si>
  <si>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2026-08-26T03:01:28.806Z</t>
  </si>
  <si>
    <t>kinguin:24417</t>
  </si>
  <si>
    <t>24417</t>
  </si>
  <si>
    <t>https://www.kinguin.net/es/category/505409/ready-or-not-deluxe-edition-pc-steam-account</t>
  </si>
  <si>
    <t>Ready or Not (PC) Código de Steam LATAM</t>
  </si>
  <si>
    <t>2026-08-26T03:00:32.468Z</t>
  </si>
  <si>
    <t>loaded:18532 | driffle:19380 | kinguin:19860 | eneba:18341</t>
  </si>
  <si>
    <t>19860</t>
  </si>
  <si>
    <t>18341</t>
  </si>
  <si>
    <t>19380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</si>
  <si>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</si>
  <si>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</si>
  <si>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</si>
  <si>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</si>
  <si>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</si>
  <si>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2026-08-26T03:00:41.659Z</t>
  </si>
  <si>
    <t>driffle:11305 | kinguin:11529</t>
  </si>
  <si>
    <t>11529</t>
  </si>
  <si>
    <t>11305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</si>
  <si>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</si>
  <si>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</si>
  <si>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</si>
  <si>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</si>
  <si>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2026-08-26T03:04:12.587Z</t>
  </si>
  <si>
    <t>eneba:12296 | driffle:23154</t>
  </si>
  <si>
    <t>12296</t>
  </si>
  <si>
    <t>23154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</si>
  <si>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</si>
  <si>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</si>
  <si>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</si>
  <si>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</si>
  <si>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2026-08-26T03:03:31.224Z</t>
  </si>
  <si>
    <t>driffle:14967 | eneba:9610</t>
  </si>
  <si>
    <t>9610</t>
  </si>
  <si>
    <t>14967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</si>
  <si>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</si>
  <si>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</si>
  <si>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</si>
  <si>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</si>
  <si>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2026-08-26T03:03:35.316Z</t>
  </si>
  <si>
    <t>kinguin:10409</t>
  </si>
  <si>
    <t>10409</t>
  </si>
  <si>
    <t>https://www.kinguin.net/es/category/199156/resident-evil-2-steam-account</t>
  </si>
  <si>
    <t>Resident Evil 3</t>
  </si>
  <si>
    <t>Resident Evil 3 Código de Steam LATAM</t>
  </si>
  <si>
    <t>2026-08-26T03:04:50.474Z</t>
  </si>
  <si>
    <t>driffle:15542 | eneba:8523</t>
  </si>
  <si>
    <t>8523</t>
  </si>
  <si>
    <t>15542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</si>
  <si>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</si>
  <si>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</si>
  <si>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</si>
  <si>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</si>
  <si>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2026-08-26T03:04:59.039Z</t>
  </si>
  <si>
    <t>kinguin:3214 | driffle:5053</t>
  </si>
  <si>
    <t>3214</t>
  </si>
  <si>
    <t>5053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</si>
  <si>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</si>
  <si>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</si>
  <si>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</si>
  <si>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</si>
  <si>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2026-08-26T03:05:12.166Z</t>
  </si>
  <si>
    <t>kinguin:13623 | driffle:24209 | eneba:11641</t>
  </si>
  <si>
    <t>13623</t>
  </si>
  <si>
    <t>11641</t>
  </si>
  <si>
    <t>24209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</si>
  <si>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</si>
  <si>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</si>
  <si>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</si>
  <si>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</si>
  <si>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</si>
  <si>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2026-08-26T03:06:13.254Z</t>
  </si>
  <si>
    <t>eneba:18532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</si>
  <si>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</si>
  <si>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</si>
  <si>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</si>
  <si>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</si>
  <si>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</si>
  <si>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2026-08-26T03:06:54.664Z</t>
  </si>
  <si>
    <t>eneba:29566</t>
  </si>
  <si>
    <t>29566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</si>
  <si>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</si>
  <si>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</si>
  <si>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</si>
  <si>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</si>
  <si>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</si>
  <si>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2026-08-26T03:06:58.846Z</t>
  </si>
  <si>
    <t>kinguin:92982</t>
  </si>
  <si>
    <t>92982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</si>
  <si>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</si>
  <si>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</si>
  <si>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</si>
  <si>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2026-08-26T03:07:35.756Z</t>
  </si>
  <si>
    <t>driffle:22194 | eneba:9930</t>
  </si>
  <si>
    <t>9930</t>
  </si>
  <si>
    <t>22194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</si>
  <si>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</si>
  <si>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</si>
  <si>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</si>
  <si>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</si>
  <si>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2026-08-26T03:07:53.436Z</t>
  </si>
  <si>
    <t>driffle:17877 | eneba:12040 | kinguin:13528</t>
  </si>
  <si>
    <t>13528</t>
  </si>
  <si>
    <t>12040</t>
  </si>
  <si>
    <t>17877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</si>
  <si>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</si>
  <si>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</si>
  <si>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</si>
  <si>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</si>
  <si>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</si>
  <si>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2026-08-26T03:11:28.842Z</t>
  </si>
  <si>
    <t>eneba:72659 | driffle:81629</t>
  </si>
  <si>
    <t>72659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</si>
  <si>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</si>
  <si>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</si>
  <si>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</si>
  <si>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</si>
  <si>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</si>
  <si>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2026-08-26T03:09:13.799Z</t>
  </si>
  <si>
    <t>eneba:63800 | driffle:69509 | kinguin:69636</t>
  </si>
  <si>
    <t>69636</t>
  </si>
  <si>
    <t>63800</t>
  </si>
  <si>
    <t>69509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</si>
  <si>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</si>
  <si>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</si>
  <si>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</si>
  <si>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</si>
  <si>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</si>
  <si>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2026-08-26T03:09:18.751Z</t>
  </si>
  <si>
    <t>kinguin:44532</t>
  </si>
  <si>
    <t>44532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</si>
  <si>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</si>
  <si>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</si>
  <si>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</si>
  <si>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2026-08-26T03:14:25.737Z</t>
  </si>
  <si>
    <t>driffle:23058 | eneba:11737</t>
  </si>
  <si>
    <t>11737</t>
  </si>
  <si>
    <t>23058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</si>
  <si>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</si>
  <si>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</si>
  <si>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</si>
  <si>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</si>
  <si>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</si>
  <si>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2026-08-26T03:16:37.788Z</t>
  </si>
  <si>
    <t>eneba:18165 | driffle:28286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</si>
  <si>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</si>
  <si>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</si>
  <si>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</si>
  <si>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</si>
  <si>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</si>
  <si>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</si>
  <si>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2026-08-26T03:17:44.836Z</t>
  </si>
  <si>
    <t>driffle:12120 | eneba:12872</t>
  </si>
  <si>
    <t>12872</t>
  </si>
  <si>
    <t>12120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</si>
  <si>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</si>
  <si>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</si>
  <si>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</si>
  <si>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</si>
  <si>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</si>
  <si>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</si>
  <si>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2026-08-26T03:18:17.887Z</t>
  </si>
  <si>
    <t>driffle:17861</t>
  </si>
  <si>
    <t>17861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</si>
  <si>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</si>
  <si>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</si>
  <si>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</si>
  <si>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</si>
  <si>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2026-08-26T03:19:42.326Z</t>
  </si>
  <si>
    <t>driffle:52079 | loaded:41238 | eneba:45460</t>
  </si>
  <si>
    <t>45460</t>
  </si>
  <si>
    <t>52079</t>
  </si>
  <si>
    <t>41238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</si>
  <si>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</si>
  <si>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</si>
  <si>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</si>
  <si>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</si>
  <si>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</si>
  <si>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2026-08-26T03:20:15.251Z</t>
  </si>
  <si>
    <t>driffle:34794</t>
  </si>
  <si>
    <t>34794</t>
  </si>
  <si>
    <t>https://www.kinguin.net/es/category/272532/silent-hill-2-pc-steam-account</t>
  </si>
  <si>
    <t>https://driffle.com/es/silent-hill-2-global-pc-steam-account-p9962323</t>
  </si>
  <si>
    <t>SILENT HILL: Townfall</t>
  </si>
  <si>
    <t>SILENT HILL: Townfall - Deluxe Edition PC Key</t>
  </si>
  <si>
    <t>2026-08-26T03:25:15.688Z</t>
  </si>
  <si>
    <t>eneba:93286 | loaded:74977</t>
  </si>
  <si>
    <t>93286</t>
  </si>
  <si>
    <t>74977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</si>
  <si>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</si>
  <si>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</si>
  <si>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</si>
  <si>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2026-08-26T03:24:08.719Z</t>
  </si>
  <si>
    <t>eneba:78351 | loaded:62985</t>
  </si>
  <si>
    <t>78351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</si>
  <si>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</si>
  <si>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</si>
  <si>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</si>
  <si>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</si>
  <si>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</si>
  <si>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2026-08-26T03:25:53.095Z</t>
  </si>
  <si>
    <t>driffle:72067 | eneba:72179</t>
  </si>
  <si>
    <t>72179</t>
  </si>
  <si>
    <t>72067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</si>
  <si>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</si>
  <si>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</si>
  <si>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</si>
  <si>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</si>
  <si>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2026-08-26T03:26:25.969Z</t>
  </si>
  <si>
    <t>driffle:33819</t>
  </si>
  <si>
    <t>33819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</si>
  <si>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</si>
  <si>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</si>
  <si>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</si>
  <si>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</si>
  <si>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2026-08-26T03:27:16.400Z</t>
  </si>
  <si>
    <t>kinguin:105086</t>
  </si>
  <si>
    <t>105086</t>
  </si>
  <si>
    <t>https://www.kinguin.net/es/category/160069/star-wars-jedi-survivor-deluxe-edition-steam-account</t>
  </si>
  <si>
    <t>Star Wars Jedi Survivor (Global) (PC) - Steam Account</t>
  </si>
  <si>
    <t>2026-08-26T03:27:02.805Z</t>
  </si>
  <si>
    <t>driffle:12136</t>
  </si>
  <si>
    <t>12136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</si>
  <si>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</si>
  <si>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</si>
  <si>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</si>
  <si>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</si>
  <si>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</si>
  <si>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2026-08-26T03:28:27.039Z</t>
  </si>
  <si>
    <t>driffle:70740 | kinguin:77807 | loaded:82652 | eneba:69956</t>
  </si>
  <si>
    <t>77807</t>
  </si>
  <si>
    <t>69956</t>
  </si>
  <si>
    <t>70740</t>
  </si>
  <si>
    <t>82652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</si>
  <si>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</si>
  <si>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</si>
  <si>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</si>
  <si>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</si>
  <si>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</si>
  <si>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</si>
  <si>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2026-08-26T03:28:35.614Z</t>
  </si>
  <si>
    <t>kinguin:79502 | driffle:109627</t>
  </si>
  <si>
    <t>79502</t>
  </si>
  <si>
    <t>109627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</si>
  <si>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</si>
  <si>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</si>
  <si>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</si>
  <si>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2026-08-26T03:27:35.504Z</t>
  </si>
  <si>
    <t>driffle:54110 | kinguin:59467 | loaded:65223 | eneba:52783</t>
  </si>
  <si>
    <t>59467</t>
  </si>
  <si>
    <t>52783</t>
  </si>
  <si>
    <t>54110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</si>
  <si>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</si>
  <si>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</si>
  <si>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</si>
  <si>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</si>
  <si>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</si>
  <si>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2026-08-26T03:27:40.194Z</t>
  </si>
  <si>
    <t>driffle:50992</t>
  </si>
  <si>
    <t>50992</t>
  </si>
  <si>
    <t>https://driffle.com/es/stellar-blade-global-pc-steam-account-p9979470</t>
  </si>
  <si>
    <t>Street Fighter 6</t>
  </si>
  <si>
    <t>Street Fighter 6 (PC) Código de Steam LATAM</t>
  </si>
  <si>
    <t>2026-08-26T03:29:10.302Z</t>
  </si>
  <si>
    <t>eneba:24433</t>
  </si>
  <si>
    <t>24433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</si>
  <si>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</si>
  <si>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</si>
  <si>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</si>
  <si>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2026-08-26T03:29:14.358Z</t>
  </si>
  <si>
    <t>kinguin:23777</t>
  </si>
  <si>
    <t>23777</t>
  </si>
  <si>
    <t>https://www.kinguin.net/es/category/153297/street-fighter-6-steam-account</t>
  </si>
  <si>
    <t>TEKKEN 8</t>
  </si>
  <si>
    <t>TEKKEN 8 PC Key</t>
  </si>
  <si>
    <t>2026-08-26T03:32:11.131Z</t>
  </si>
  <si>
    <t>driffle:33883 | loaded:32604 | eneba:34123</t>
  </si>
  <si>
    <t>34123</t>
  </si>
  <si>
    <t>33883</t>
  </si>
  <si>
    <t>32604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</si>
  <si>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</si>
  <si>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</si>
  <si>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</si>
  <si>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</si>
  <si>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</si>
  <si>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2026-08-26T03:32:19.999Z</t>
  </si>
  <si>
    <t>kinguin:26847 | driffle:40039</t>
  </si>
  <si>
    <t>26847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</si>
  <si>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</si>
  <si>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</si>
  <si>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</si>
  <si>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</si>
  <si>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2026-08-26T03:33:32.581Z</t>
  </si>
  <si>
    <t>driffle:11465 | loaded:16294 | eneba:11161</t>
  </si>
  <si>
    <t>11161</t>
  </si>
  <si>
    <t>11465</t>
  </si>
  <si>
    <t>16294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</si>
  <si>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</si>
  <si>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</si>
  <si>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</si>
  <si>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</si>
  <si>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</si>
  <si>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</si>
  <si>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2026-08-26T03:34:24.641Z</t>
  </si>
  <si>
    <t>kinguin:45092</t>
  </si>
  <si>
    <t>45092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</si>
  <si>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</si>
  <si>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</si>
  <si>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</si>
  <si>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</si>
  <si>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</si>
  <si>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PC Steam Account</t>
  </si>
  <si>
    <t>2026-08-26T03:35:34.528Z</t>
  </si>
  <si>
    <t>kinguin:64552</t>
  </si>
  <si>
    <t>64552</t>
  </si>
  <si>
    <t>https://www.kinguin.net/es/category/321634/the-last-of-us-part-2-remastered-pc-steam-account</t>
  </si>
  <si>
    <t>The Witcher 3: Wild Hunt</t>
  </si>
  <si>
    <t>The Witcher 3: Wild Hunt Steam Account</t>
  </si>
  <si>
    <t>2026-08-26T03:35:39.000Z</t>
  </si>
  <si>
    <t>kinguin:4573</t>
  </si>
  <si>
    <t>4573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</si>
  <si>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</si>
  <si>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</si>
  <si>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</si>
  <si>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2026-08-26T03:38:14.890Z</t>
  </si>
  <si>
    <t>driffle:19412 | eneba:18420 | loaded:32604</t>
  </si>
  <si>
    <t>18420</t>
  </si>
  <si>
    <t>19412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</si>
  <si>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</si>
  <si>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</si>
  <si>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</si>
  <si>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</si>
  <si>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</si>
  <si>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</si>
  <si>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2026-08-26T03:38:52.287Z</t>
  </si>
  <si>
    <t>driffle:54878 | eneba:39927</t>
  </si>
  <si>
    <t>39927</t>
  </si>
  <si>
    <t>54878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</si>
  <si>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</si>
  <si>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</si>
  <si>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</si>
  <si>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</si>
  <si>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</si>
  <si>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</si>
  <si>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2026-08-26T03:40:43.296Z</t>
  </si>
  <si>
    <t>kinguin:146293</t>
  </si>
  <si>
    <t>146293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</si>
  <si>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</si>
  <si>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</si>
  <si>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</si>
  <si>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2026-08-26T03:39:57.825Z</t>
  </si>
  <si>
    <t>driffle:31308 | eneba:32204</t>
  </si>
  <si>
    <t>32204</t>
  </si>
  <si>
    <t>31308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</si>
  <si>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</si>
  <si>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</si>
  <si>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</si>
  <si>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</si>
  <si>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2026-08-26T03:40:01.964Z</t>
  </si>
  <si>
    <t>kinguin:49873</t>
  </si>
  <si>
    <t>49873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</si>
  <si>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</si>
  <si>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</si>
  <si>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</si>
  <si>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</si>
  <si>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2026-08-26T03:41:52.498Z</t>
  </si>
  <si>
    <t>kinguin:105246</t>
  </si>
  <si>
    <t>105246</t>
  </si>
  <si>
    <t>https://www.kinguin.net/es/category/476565/wwe-2k26-attitude-era-edition-pc-steam-cd-key</t>
  </si>
  <si>
    <t>WWE 2K26 Steam Key (PC) GLOBAL</t>
  </si>
  <si>
    <t>2026-08-26T03:41:15.787Z</t>
  </si>
  <si>
    <t>eneba:45396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</si>
  <si>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</si>
  <si>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</si>
  <si>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</si>
  <si>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</si>
  <si>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2026-08-26T03:41:48.323Z</t>
  </si>
  <si>
    <t>kinguin:111370</t>
  </si>
  <si>
    <t>111370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</si>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</sst>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85866</v>
      </c>
      <c r="F2">
        <v>85141</v>
      </c>
      <c r="G2">
        <v>100866</v>
      </c>
      <c r="H2">
        <v>15000</v>
      </c>
      <c r="I2">
        <v>145247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7243</v>
      </c>
      <c r="F3">
        <v>55520</v>
      </c>
      <c r="G3">
        <v>30550</v>
      </c>
      <c r="H3">
        <v>23307</v>
      </c>
      <c r="I3">
        <v>43992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36</v>
      </c>
      <c r="U3" t="s">
        <v>46</v>
      </c>
      <c r="V3" t="s">
        <v>36</v>
      </c>
      <c r="W3" t="s">
        <v>47</v>
      </c>
      <c r="X3" t="s">
        <v>36</v>
      </c>
      <c r="Y3" t="s">
        <v>48</v>
      </c>
      <c r="Z3" t="s">
        <v>36</v>
      </c>
    </row>
    <row r="4">
      <c r="A4" t="s">
        <v>49</v>
      </c>
      <c r="B4" t="s">
        <v>50</v>
      </c>
      <c r="C4" t="s">
        <v>32</v>
      </c>
      <c r="D4" t="s">
        <v>51</v>
      </c>
      <c r="E4">
        <v>55197</v>
      </c>
      <c r="F4">
        <v>111059</v>
      </c>
      <c r="G4">
        <v>78055</v>
      </c>
      <c r="H4">
        <v>22858</v>
      </c>
      <c r="I4">
        <v>112399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52</v>
      </c>
      <c r="M4" t="s">
        <v>42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49</v>
      </c>
      <c r="B5" t="s">
        <v>63</v>
      </c>
      <c r="C5" t="s">
        <v>32</v>
      </c>
      <c r="D5" t="s">
        <v>51</v>
      </c>
      <c r="E5">
        <v>39160</v>
      </c>
      <c r="F5">
        <v>74033</v>
      </c>
      <c r="G5">
        <v>54979</v>
      </c>
      <c r="H5">
        <v>15819</v>
      </c>
      <c r="I5">
        <v>79170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64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36</v>
      </c>
      <c r="T5" t="s">
        <v>69</v>
      </c>
      <c r="U5" t="s">
        <v>70</v>
      </c>
      <c r="V5" t="s">
        <v>71</v>
      </c>
      <c r="W5" t="s">
        <v>72</v>
      </c>
      <c r="X5" t="s">
        <v>73</v>
      </c>
      <c r="Y5" t="s">
        <v>74</v>
      </c>
      <c r="Z5" t="s">
        <v>75</v>
      </c>
    </row>
    <row r="6">
      <c r="A6" t="s">
        <v>76</v>
      </c>
      <c r="B6" t="s">
        <v>63</v>
      </c>
      <c r="C6" t="s">
        <v>32</v>
      </c>
      <c r="D6" t="s">
        <v>51</v>
      </c>
      <c r="E6">
        <v>83724</v>
      </c>
      <c r="F6">
        <v>83290</v>
      </c>
      <c r="G6">
        <v>98937</v>
      </c>
      <c r="H6">
        <v>15213</v>
      </c>
      <c r="I6">
        <v>142469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42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36</v>
      </c>
      <c r="T6" t="s">
        <v>36</v>
      </c>
      <c r="U6" t="s">
        <v>80</v>
      </c>
      <c r="V6" t="s">
        <v>36</v>
      </c>
      <c r="W6" t="s">
        <v>81</v>
      </c>
      <c r="X6" t="s">
        <v>82</v>
      </c>
      <c r="Y6" t="s">
        <v>83</v>
      </c>
      <c r="Z6" t="s">
        <v>36</v>
      </c>
    </row>
    <row r="7">
      <c r="A7" t="s">
        <v>76</v>
      </c>
      <c r="B7" t="s">
        <v>41</v>
      </c>
      <c r="C7" t="s">
        <v>28</v>
      </c>
      <c r="D7" t="s">
        <v>29</v>
      </c>
      <c r="E7">
        <v>13783</v>
      </c>
      <c r="F7">
        <v>83290</v>
      </c>
      <c r="G7">
        <v>40783</v>
      </c>
      <c r="H7">
        <v>27000</v>
      </c>
      <c r="I7">
        <v>58728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42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36</v>
      </c>
      <c r="T7" t="s">
        <v>36</v>
      </c>
      <c r="U7" t="s">
        <v>87</v>
      </c>
      <c r="V7" t="s">
        <v>36</v>
      </c>
      <c r="W7" t="s">
        <v>88</v>
      </c>
      <c r="X7" t="s">
        <v>36</v>
      </c>
      <c r="Y7" t="s">
        <v>89</v>
      </c>
      <c r="Z7" t="s">
        <v>36</v>
      </c>
    </row>
    <row r="8">
      <c r="A8" t="s">
        <v>90</v>
      </c>
      <c r="B8" t="s">
        <v>41</v>
      </c>
      <c r="C8" t="s">
        <v>28</v>
      </c>
      <c r="D8" t="s">
        <v>29</v>
      </c>
      <c r="E8">
        <v>38280</v>
      </c>
      <c r="F8">
        <v>103654</v>
      </c>
      <c r="G8">
        <v>61737</v>
      </c>
      <c r="H8">
        <v>23457</v>
      </c>
      <c r="I8">
        <v>88901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42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41</v>
      </c>
      <c r="C9" t="s">
        <v>28</v>
      </c>
      <c r="D9" t="s">
        <v>29</v>
      </c>
      <c r="E9">
        <v>22994</v>
      </c>
      <c r="F9">
        <v>64777</v>
      </c>
      <c r="G9">
        <v>40461</v>
      </c>
      <c r="H9">
        <v>17467</v>
      </c>
      <c r="I9">
        <v>58264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42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36</v>
      </c>
      <c r="Y9" t="s">
        <v>103</v>
      </c>
      <c r="Z9" t="s">
        <v>36</v>
      </c>
    </row>
    <row r="10">
      <c r="A10" t="s">
        <v>104</v>
      </c>
      <c r="B10" t="s">
        <v>63</v>
      </c>
      <c r="C10" t="s">
        <v>32</v>
      </c>
      <c r="D10" t="s">
        <v>51</v>
      </c>
      <c r="E10">
        <v>78159</v>
      </c>
      <c r="F10">
        <v>129572</v>
      </c>
      <c r="G10">
        <v>95978</v>
      </c>
      <c r="H10">
        <v>17819</v>
      </c>
      <c r="I10">
        <v>138208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110</v>
      </c>
      <c r="Y10" t="s">
        <v>111</v>
      </c>
      <c r="Z10" t="s">
        <v>112</v>
      </c>
    </row>
    <row r="11">
      <c r="A11" t="s">
        <v>104</v>
      </c>
      <c r="B11" t="s">
        <v>41</v>
      </c>
      <c r="C11" t="s">
        <v>28</v>
      </c>
      <c r="D11" t="s">
        <v>29</v>
      </c>
      <c r="E11">
        <v>27183</v>
      </c>
      <c r="F11">
        <v>129572</v>
      </c>
      <c r="G11">
        <v>54183</v>
      </c>
      <c r="H11">
        <v>27000</v>
      </c>
      <c r="I11">
        <v>78024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104</v>
      </c>
      <c r="B12" t="s">
        <v>119</v>
      </c>
      <c r="C12" t="s">
        <v>32</v>
      </c>
      <c r="D12" t="s">
        <v>51</v>
      </c>
      <c r="E12">
        <v>138745</v>
      </c>
      <c r="F12">
        <v>185111</v>
      </c>
      <c r="G12">
        <v>166423</v>
      </c>
      <c r="H12">
        <v>27678</v>
      </c>
      <c r="I12">
        <v>239649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104</v>
      </c>
      <c r="B13" t="s">
        <v>128</v>
      </c>
      <c r="C13" t="s">
        <v>28</v>
      </c>
      <c r="D13" t="s">
        <v>29</v>
      </c>
      <c r="E13">
        <v>98978</v>
      </c>
      <c r="F13">
        <v>185111</v>
      </c>
      <c r="G13">
        <v>117784</v>
      </c>
      <c r="H13">
        <v>18806</v>
      </c>
      <c r="I13">
        <v>169609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63</v>
      </c>
      <c r="C14" t="s">
        <v>32</v>
      </c>
      <c r="D14" t="s">
        <v>51</v>
      </c>
      <c r="E14">
        <v>58971</v>
      </c>
      <c r="F14">
        <v>111059</v>
      </c>
      <c r="G14">
        <v>79663</v>
      </c>
      <c r="H14">
        <v>20692</v>
      </c>
      <c r="I14">
        <v>114715</v>
      </c>
      <c r="J14" t="str">
        <f>HYPERLINK("https://driffle.com/es/black-myth-wukong-latam-pc-steam-digital-key-p9916395","Abrir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139</v>
      </c>
      <c r="U14" t="s">
        <v>140</v>
      </c>
      <c r="V14" t="s">
        <v>141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135</v>
      </c>
      <c r="B15" t="s">
        <v>41</v>
      </c>
      <c r="C15" t="s">
        <v>28</v>
      </c>
      <c r="D15" t="s">
        <v>29</v>
      </c>
      <c r="E15">
        <v>38232</v>
      </c>
      <c r="F15">
        <v>111059</v>
      </c>
      <c r="G15">
        <v>64606</v>
      </c>
      <c r="H15">
        <v>26374</v>
      </c>
      <c r="I15">
        <v>93033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42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36</v>
      </c>
      <c r="T15" t="s">
        <v>36</v>
      </c>
      <c r="U15" t="s">
        <v>149</v>
      </c>
      <c r="V15" t="s">
        <v>36</v>
      </c>
      <c r="W15" t="s">
        <v>150</v>
      </c>
      <c r="X15" t="s">
        <v>36</v>
      </c>
      <c r="Y15" t="s">
        <v>151</v>
      </c>
      <c r="Z15" t="s">
        <v>36</v>
      </c>
    </row>
    <row r="16">
      <c r="A16" t="s">
        <v>152</v>
      </c>
      <c r="B16" t="s">
        <v>27</v>
      </c>
      <c r="C16" t="s">
        <v>28</v>
      </c>
      <c r="D16" t="s">
        <v>29</v>
      </c>
      <c r="E16">
        <v>94389</v>
      </c>
      <c r="F16">
        <v>185111</v>
      </c>
      <c r="G16">
        <v>115949</v>
      </c>
      <c r="H16">
        <v>21560</v>
      </c>
      <c r="I16">
        <v>166967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153</v>
      </c>
      <c r="M16" t="s">
        <v>65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157</v>
      </c>
      <c r="T16" t="s">
        <v>36</v>
      </c>
      <c r="U16" t="s">
        <v>36</v>
      </c>
      <c r="V16" t="s">
        <v>36</v>
      </c>
      <c r="W16" t="s">
        <v>158</v>
      </c>
      <c r="X16" t="s">
        <v>36</v>
      </c>
      <c r="Y16" t="s">
        <v>36</v>
      </c>
      <c r="Z16" t="s">
        <v>36</v>
      </c>
    </row>
    <row r="17">
      <c r="A17" t="s">
        <v>152</v>
      </c>
      <c r="B17" t="s">
        <v>27</v>
      </c>
      <c r="C17" t="s">
        <v>28</v>
      </c>
      <c r="D17" t="s">
        <v>29</v>
      </c>
      <c r="E17">
        <v>135723</v>
      </c>
      <c r="F17">
        <v>185111</v>
      </c>
      <c r="G17">
        <v>150723</v>
      </c>
      <c r="H17">
        <v>15000</v>
      </c>
      <c r="I17">
        <v>217041</v>
      </c>
      <c r="J17" t="str">
        <f>HYPERLINK("https://www.kinguin.net/es/category/352529/borderlands-4-super-deluxe-edition-pc-steam-account","Abrir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153</v>
      </c>
      <c r="M17" t="s">
        <v>65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36</v>
      </c>
      <c r="U17" t="s">
        <v>36</v>
      </c>
      <c r="V17" t="s">
        <v>36</v>
      </c>
      <c r="W17" t="s">
        <v>163</v>
      </c>
      <c r="X17" t="s">
        <v>36</v>
      </c>
      <c r="Y17" t="s">
        <v>36</v>
      </c>
      <c r="Z17" t="s">
        <v>36</v>
      </c>
    </row>
    <row r="18">
      <c r="A18" t="s">
        <v>152</v>
      </c>
      <c r="B18" t="s">
        <v>50</v>
      </c>
      <c r="C18" t="s">
        <v>32</v>
      </c>
      <c r="D18" t="s">
        <v>51</v>
      </c>
      <c r="E18">
        <v>63784</v>
      </c>
      <c r="F18">
        <v>185111</v>
      </c>
      <c r="G18">
        <v>90784</v>
      </c>
      <c r="H18">
        <v>27000</v>
      </c>
      <c r="I18">
        <v>130729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52</v>
      </c>
      <c r="M18" t="s">
        <v>42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36</v>
      </c>
      <c r="T18" t="s">
        <v>167</v>
      </c>
      <c r="U18" t="s">
        <v>168</v>
      </c>
      <c r="V18" t="s">
        <v>36</v>
      </c>
      <c r="W18" t="s">
        <v>169</v>
      </c>
      <c r="X18" t="s">
        <v>170</v>
      </c>
      <c r="Y18" t="s">
        <v>171</v>
      </c>
      <c r="Z18" t="s">
        <v>36</v>
      </c>
    </row>
    <row r="19">
      <c r="A19" t="s">
        <v>152</v>
      </c>
      <c r="B19" t="s">
        <v>63</v>
      </c>
      <c r="C19" t="s">
        <v>32</v>
      </c>
      <c r="D19" t="s">
        <v>51</v>
      </c>
      <c r="E19">
        <v>45188</v>
      </c>
      <c r="F19">
        <v>129572</v>
      </c>
      <c r="G19">
        <v>72188</v>
      </c>
      <c r="H19">
        <v>27000</v>
      </c>
      <c r="I19">
        <v>103951</v>
      </c>
      <c r="J19" t="str">
        <f>HYPERLINK("https://www.eneba.com/latam/steam-borderlands-4-steam-key-pc-global","Abrir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52</v>
      </c>
      <c r="M19" t="s">
        <v>42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175</v>
      </c>
      <c r="T19" t="s">
        <v>176</v>
      </c>
      <c r="U19" t="s">
        <v>177</v>
      </c>
      <c r="V19" t="s">
        <v>178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152</v>
      </c>
      <c r="B20" t="s">
        <v>183</v>
      </c>
      <c r="C20" t="s">
        <v>32</v>
      </c>
      <c r="D20" t="s">
        <v>51</v>
      </c>
      <c r="E20">
        <v>81629</v>
      </c>
      <c r="F20">
        <v>240650</v>
      </c>
      <c r="G20">
        <v>108629</v>
      </c>
      <c r="H20">
        <v>27000</v>
      </c>
      <c r="I20">
        <v>156426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42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36</v>
      </c>
      <c r="T20" t="s">
        <v>187</v>
      </c>
      <c r="U20" t="s">
        <v>188</v>
      </c>
      <c r="V20" t="s">
        <v>36</v>
      </c>
      <c r="W20" t="s">
        <v>189</v>
      </c>
      <c r="X20" t="s">
        <v>190</v>
      </c>
      <c r="Y20" t="s">
        <v>191</v>
      </c>
      <c r="Z20" t="s">
        <v>36</v>
      </c>
    </row>
    <row r="21">
      <c r="A21" t="s">
        <v>192</v>
      </c>
      <c r="B21" t="s">
        <v>41</v>
      </c>
      <c r="C21" t="s">
        <v>28</v>
      </c>
      <c r="D21" t="s">
        <v>29</v>
      </c>
      <c r="E21">
        <v>50560</v>
      </c>
      <c r="F21">
        <v>129572</v>
      </c>
      <c r="G21">
        <v>76757</v>
      </c>
      <c r="H21">
        <v>26197</v>
      </c>
      <c r="I21">
        <v>110530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36</v>
      </c>
      <c r="T21" t="s">
        <v>36</v>
      </c>
      <c r="U21" t="s">
        <v>196</v>
      </c>
      <c r="V21" t="s">
        <v>36</v>
      </c>
      <c r="W21" t="s">
        <v>197</v>
      </c>
      <c r="X21" t="s">
        <v>36</v>
      </c>
      <c r="Y21" t="s">
        <v>198</v>
      </c>
      <c r="Z21" t="s">
        <v>36</v>
      </c>
    </row>
    <row r="22">
      <c r="A22" t="s">
        <v>192</v>
      </c>
      <c r="B22" t="s">
        <v>199</v>
      </c>
      <c r="C22" t="s">
        <v>28</v>
      </c>
      <c r="D22" t="s">
        <v>29</v>
      </c>
      <c r="E22">
        <v>120613</v>
      </c>
      <c r="F22">
        <v>185111</v>
      </c>
      <c r="G22">
        <v>135613</v>
      </c>
      <c r="H22">
        <v>15000</v>
      </c>
      <c r="I22">
        <v>195283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153</v>
      </c>
      <c r="M22" t="s">
        <v>65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36</v>
      </c>
      <c r="U22" t="s">
        <v>36</v>
      </c>
      <c r="V22" t="s">
        <v>36</v>
      </c>
      <c r="W22" t="s">
        <v>204</v>
      </c>
      <c r="X22" t="s">
        <v>36</v>
      </c>
      <c r="Y22" t="s">
        <v>36</v>
      </c>
      <c r="Z22" t="s">
        <v>36</v>
      </c>
    </row>
    <row r="23">
      <c r="A23" t="s">
        <v>205</v>
      </c>
      <c r="B23" t="s">
        <v>206</v>
      </c>
      <c r="C23" t="s">
        <v>28</v>
      </c>
      <c r="D23" t="s">
        <v>29</v>
      </c>
      <c r="E23">
        <v>32572</v>
      </c>
      <c r="F23">
        <v>111059</v>
      </c>
      <c r="G23">
        <v>59572</v>
      </c>
      <c r="H23">
        <v>27000</v>
      </c>
      <c r="I23">
        <v>85784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42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36</v>
      </c>
      <c r="U23" t="s">
        <v>211</v>
      </c>
      <c r="V23" t="s">
        <v>36</v>
      </c>
      <c r="W23" t="s">
        <v>212</v>
      </c>
      <c r="X23" t="s">
        <v>36</v>
      </c>
      <c r="Y23" t="s">
        <v>213</v>
      </c>
      <c r="Z23" t="s">
        <v>36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62457</v>
      </c>
      <c r="F24">
        <v>77736</v>
      </c>
      <c r="G24">
        <v>77457</v>
      </c>
      <c r="H24">
        <v>15000</v>
      </c>
      <c r="I24">
        <v>111538</v>
      </c>
      <c r="J24" t="str">
        <f>HYPERLINK("https://driffle.com/es/clair-obscur-expedition-33-deluxe-edition-global-pc-steam-account-p9979466","Abrir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42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36</v>
      </c>
      <c r="T24" t="s">
        <v>36</v>
      </c>
      <c r="U24" t="s">
        <v>218</v>
      </c>
      <c r="V24" t="s">
        <v>36</v>
      </c>
      <c r="W24" t="s">
        <v>219</v>
      </c>
      <c r="X24" t="s">
        <v>36</v>
      </c>
      <c r="Y24" t="s">
        <v>220</v>
      </c>
      <c r="Z24" t="s">
        <v>36</v>
      </c>
    </row>
    <row r="25">
      <c r="A25" t="s">
        <v>214</v>
      </c>
      <c r="B25" t="s">
        <v>63</v>
      </c>
      <c r="C25" t="s">
        <v>32</v>
      </c>
      <c r="D25" t="s">
        <v>51</v>
      </c>
      <c r="E25">
        <v>36921</v>
      </c>
      <c r="F25">
        <v>64777</v>
      </c>
      <c r="G25">
        <v>56185</v>
      </c>
      <c r="H25">
        <v>19264</v>
      </c>
      <c r="I25">
        <v>80906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64</v>
      </c>
      <c r="M25" t="s">
        <v>65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36</v>
      </c>
      <c r="T25" t="s">
        <v>224</v>
      </c>
      <c r="U25" t="s">
        <v>225</v>
      </c>
      <c r="V25" t="s">
        <v>226</v>
      </c>
      <c r="W25" t="s">
        <v>227</v>
      </c>
      <c r="X25" t="s">
        <v>228</v>
      </c>
      <c r="Y25" t="s">
        <v>229</v>
      </c>
      <c r="Z25" t="s">
        <v>230</v>
      </c>
    </row>
    <row r="26">
      <c r="A26" t="s">
        <v>231</v>
      </c>
      <c r="B26" t="s">
        <v>27</v>
      </c>
      <c r="C26" t="s">
        <v>28</v>
      </c>
      <c r="D26" t="s">
        <v>29</v>
      </c>
      <c r="E26">
        <v>65303</v>
      </c>
      <c r="F26">
        <v>148085</v>
      </c>
      <c r="G26">
        <v>89874</v>
      </c>
      <c r="H26">
        <v>24571</v>
      </c>
      <c r="I26">
        <v>129419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231</v>
      </c>
      <c r="B27" t="s">
        <v>63</v>
      </c>
      <c r="C27" t="s">
        <v>32</v>
      </c>
      <c r="D27" t="s">
        <v>51</v>
      </c>
      <c r="E27">
        <v>50033</v>
      </c>
      <c r="F27">
        <v>129572</v>
      </c>
      <c r="G27">
        <v>85033</v>
      </c>
      <c r="H27">
        <v>35000</v>
      </c>
      <c r="I27">
        <v>122448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64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242</v>
      </c>
      <c r="U27" t="s">
        <v>243</v>
      </c>
      <c r="V27" t="s">
        <v>244</v>
      </c>
      <c r="W27" t="s">
        <v>245</v>
      </c>
      <c r="X27" t="s">
        <v>246</v>
      </c>
      <c r="Y27" t="s">
        <v>247</v>
      </c>
      <c r="Z27" t="s">
        <v>248</v>
      </c>
    </row>
    <row r="28">
      <c r="A28" t="s">
        <v>231</v>
      </c>
      <c r="B28" t="s">
        <v>41</v>
      </c>
      <c r="C28" t="s">
        <v>28</v>
      </c>
      <c r="D28" t="s">
        <v>29</v>
      </c>
      <c r="E28">
        <v>51856</v>
      </c>
      <c r="F28">
        <v>129572</v>
      </c>
      <c r="G28">
        <v>77276</v>
      </c>
      <c r="H28">
        <v>25420</v>
      </c>
      <c r="I28">
        <v>111277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36</v>
      </c>
      <c r="U28" t="s">
        <v>252</v>
      </c>
      <c r="V28" t="s">
        <v>36</v>
      </c>
      <c r="W28" t="s">
        <v>253</v>
      </c>
      <c r="X28" t="s">
        <v>36</v>
      </c>
      <c r="Y28" t="s">
        <v>254</v>
      </c>
      <c r="Z28" t="s">
        <v>36</v>
      </c>
    </row>
    <row r="29">
      <c r="A29" t="s">
        <v>255</v>
      </c>
      <c r="B29" t="s">
        <v>256</v>
      </c>
      <c r="C29" t="s">
        <v>32</v>
      </c>
      <c r="D29" t="s">
        <v>51</v>
      </c>
      <c r="E29">
        <v>24369</v>
      </c>
      <c r="F29">
        <v>49967</v>
      </c>
      <c r="G29">
        <v>39369</v>
      </c>
      <c r="H29">
        <v>15000</v>
      </c>
      <c r="I29">
        <v>56691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52</v>
      </c>
      <c r="M29" t="s">
        <v>42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36</v>
      </c>
      <c r="T29" t="s">
        <v>260</v>
      </c>
      <c r="U29" t="s">
        <v>261</v>
      </c>
      <c r="V29" t="s">
        <v>36</v>
      </c>
      <c r="W29" t="s">
        <v>262</v>
      </c>
      <c r="X29" t="s">
        <v>263</v>
      </c>
      <c r="Y29" t="s">
        <v>264</v>
      </c>
      <c r="Z29" t="s">
        <v>36</v>
      </c>
    </row>
    <row r="30">
      <c r="A30" t="s">
        <v>255</v>
      </c>
      <c r="B30" t="s">
        <v>63</v>
      </c>
      <c r="C30" t="s">
        <v>32</v>
      </c>
      <c r="D30" t="s">
        <v>51</v>
      </c>
      <c r="E30">
        <v>20499</v>
      </c>
      <c r="F30">
        <v>37007</v>
      </c>
      <c r="G30">
        <v>38756</v>
      </c>
      <c r="H30">
        <v>18257</v>
      </c>
      <c r="I30">
        <v>55809</v>
      </c>
      <c r="J30" t="str">
        <f>HYPERLINK("https://www.eneba.com/latam/steam-cuphead-steam-key-global","Abrir compra")</f>
        <v>Abrir compra</v>
      </c>
      <c r="K30" t="str">
        <f>HYPERLINK("https://store.steampowered.com/app/268910/Cuphead/?curator_clanid=4777282","Abrir Steam")</f>
        <v>Abrir Steam</v>
      </c>
      <c r="L30" t="s">
        <v>52</v>
      </c>
      <c r="M30" t="s">
        <v>42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36</v>
      </c>
      <c r="T30" t="s">
        <v>268</v>
      </c>
      <c r="U30" t="s">
        <v>269</v>
      </c>
      <c r="V30" t="s">
        <v>36</v>
      </c>
      <c r="W30" t="s">
        <v>270</v>
      </c>
      <c r="X30" t="s">
        <v>271</v>
      </c>
      <c r="Y30" t="s">
        <v>272</v>
      </c>
      <c r="Z30" t="s">
        <v>36</v>
      </c>
    </row>
    <row r="31">
      <c r="A31" t="s">
        <v>255</v>
      </c>
      <c r="B31" t="s">
        <v>41</v>
      </c>
      <c r="C31" t="s">
        <v>28</v>
      </c>
      <c r="D31" t="s">
        <v>29</v>
      </c>
      <c r="E31">
        <v>6476</v>
      </c>
      <c r="F31">
        <v>37007</v>
      </c>
      <c r="G31">
        <v>23023</v>
      </c>
      <c r="H31">
        <v>16547</v>
      </c>
      <c r="I31">
        <v>33153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36</v>
      </c>
      <c r="T31" t="s">
        <v>36</v>
      </c>
      <c r="U31" t="s">
        <v>276</v>
      </c>
      <c r="V31" t="s">
        <v>36</v>
      </c>
      <c r="W31" t="s">
        <v>277</v>
      </c>
      <c r="X31" t="s">
        <v>36</v>
      </c>
      <c r="Y31" t="s">
        <v>278</v>
      </c>
      <c r="Z31" t="s">
        <v>36</v>
      </c>
    </row>
    <row r="32">
      <c r="A32" t="s">
        <v>279</v>
      </c>
      <c r="B32" t="s">
        <v>41</v>
      </c>
      <c r="C32" t="s">
        <v>28</v>
      </c>
      <c r="D32" t="s">
        <v>29</v>
      </c>
      <c r="E32">
        <v>14359</v>
      </c>
      <c r="F32">
        <v>83290</v>
      </c>
      <c r="G32">
        <v>41359</v>
      </c>
      <c r="H32">
        <v>27000</v>
      </c>
      <c r="I32">
        <v>59557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42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36</v>
      </c>
      <c r="T32" t="s">
        <v>36</v>
      </c>
      <c r="U32" t="s">
        <v>283</v>
      </c>
      <c r="V32" t="s">
        <v>36</v>
      </c>
      <c r="W32" t="s">
        <v>284</v>
      </c>
      <c r="X32" t="s">
        <v>36</v>
      </c>
      <c r="Y32" t="s">
        <v>285</v>
      </c>
      <c r="Z32" t="s">
        <v>36</v>
      </c>
    </row>
    <row r="33">
      <c r="A33" t="s">
        <v>279</v>
      </c>
      <c r="B33" t="s">
        <v>286</v>
      </c>
      <c r="C33" t="s">
        <v>28</v>
      </c>
      <c r="D33" t="s">
        <v>29</v>
      </c>
      <c r="E33">
        <v>23441</v>
      </c>
      <c r="F33">
        <v>124926</v>
      </c>
      <c r="G33">
        <v>50441</v>
      </c>
      <c r="H33">
        <v>27000</v>
      </c>
      <c r="I33">
        <v>72635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42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36</v>
      </c>
      <c r="U33" t="s">
        <v>290</v>
      </c>
      <c r="V33" t="s">
        <v>36</v>
      </c>
      <c r="W33" t="s">
        <v>291</v>
      </c>
      <c r="X33" t="s">
        <v>36</v>
      </c>
      <c r="Y33" t="s">
        <v>292</v>
      </c>
      <c r="Z33" t="s">
        <v>36</v>
      </c>
    </row>
    <row r="34">
      <c r="A34" t="s">
        <v>293</v>
      </c>
      <c r="B34" t="s">
        <v>294</v>
      </c>
      <c r="C34" t="s">
        <v>32</v>
      </c>
      <c r="D34" t="s">
        <v>51</v>
      </c>
      <c r="E34">
        <v>60906</v>
      </c>
      <c r="F34">
        <v>111059</v>
      </c>
      <c r="G34">
        <v>80339</v>
      </c>
      <c r="H34">
        <v>19433</v>
      </c>
      <c r="I34">
        <v>115688</v>
      </c>
      <c r="J34" t="str">
        <f>HYPERLINK("https://www.loaded.com/es_es/dayz-deluxe-edition-pc-steam","Abrir compra")</f>
        <v>Abrir compra</v>
      </c>
      <c r="K34" t="str">
        <f>HYPERLINK("https://store.steampowered.com/app/221100/DayZ/","Abrir Steam")</f>
        <v>Abrir Steam</v>
      </c>
      <c r="L34" t="s">
        <v>64</v>
      </c>
      <c r="M34" t="s">
        <v>65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36</v>
      </c>
      <c r="T34" t="s">
        <v>298</v>
      </c>
      <c r="U34" t="s">
        <v>167</v>
      </c>
      <c r="V34" t="s">
        <v>141</v>
      </c>
      <c r="W34" t="s">
        <v>299</v>
      </c>
      <c r="X34" t="s">
        <v>300</v>
      </c>
      <c r="Y34" t="s">
        <v>301</v>
      </c>
      <c r="Z34" t="s">
        <v>302</v>
      </c>
    </row>
    <row r="35">
      <c r="A35" t="s">
        <v>293</v>
      </c>
      <c r="B35" t="s">
        <v>63</v>
      </c>
      <c r="C35" t="s">
        <v>32</v>
      </c>
      <c r="D35" t="s">
        <v>51</v>
      </c>
      <c r="E35">
        <v>26096</v>
      </c>
      <c r="F35">
        <v>92546</v>
      </c>
      <c r="G35">
        <v>57594</v>
      </c>
      <c r="H35">
        <v>31498</v>
      </c>
      <c r="I35">
        <v>82935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52</v>
      </c>
      <c r="M35" t="s">
        <v>31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36</v>
      </c>
      <c r="T35" t="s">
        <v>306</v>
      </c>
      <c r="U35" t="s">
        <v>307</v>
      </c>
      <c r="V35" t="s">
        <v>36</v>
      </c>
      <c r="W35" t="s">
        <v>308</v>
      </c>
      <c r="X35" t="s">
        <v>309</v>
      </c>
      <c r="Y35" t="s">
        <v>310</v>
      </c>
      <c r="Z35" t="s">
        <v>36</v>
      </c>
    </row>
    <row r="36">
      <c r="A36" t="s">
        <v>293</v>
      </c>
      <c r="B36" t="s">
        <v>41</v>
      </c>
      <c r="C36" t="s">
        <v>28</v>
      </c>
      <c r="D36" t="s">
        <v>29</v>
      </c>
      <c r="E36">
        <v>22594</v>
      </c>
      <c r="F36">
        <v>92546</v>
      </c>
      <c r="G36">
        <v>49594</v>
      </c>
      <c r="H36">
        <v>27000</v>
      </c>
      <c r="I36">
        <v>71415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42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36</v>
      </c>
      <c r="T36" t="s">
        <v>36</v>
      </c>
      <c r="U36" t="s">
        <v>314</v>
      </c>
      <c r="V36" t="s">
        <v>36</v>
      </c>
      <c r="W36" t="s">
        <v>315</v>
      </c>
      <c r="X36" t="s">
        <v>36</v>
      </c>
      <c r="Y36" t="s">
        <v>316</v>
      </c>
      <c r="Z36" t="s">
        <v>36</v>
      </c>
    </row>
    <row r="37">
      <c r="A37" t="s">
        <v>317</v>
      </c>
      <c r="B37" t="s">
        <v>63</v>
      </c>
      <c r="C37" t="s">
        <v>32</v>
      </c>
      <c r="D37" t="s">
        <v>51</v>
      </c>
      <c r="E37">
        <v>88984</v>
      </c>
      <c r="F37">
        <v>129572</v>
      </c>
      <c r="G37">
        <v>117497</v>
      </c>
      <c r="H37">
        <v>28513</v>
      </c>
      <c r="I37">
        <v>169196</v>
      </c>
      <c r="J37" t="str">
        <f>HYPERLINK("https://driffle.com/es/death-stranding-2-on-the-beach-latam-pc-steam-digital-key-p9985579","Abrir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31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36</v>
      </c>
      <c r="T37" t="s">
        <v>321</v>
      </c>
      <c r="U37" t="s">
        <v>322</v>
      </c>
      <c r="V37" t="s">
        <v>36</v>
      </c>
      <c r="W37" t="s">
        <v>323</v>
      </c>
      <c r="X37" t="s">
        <v>324</v>
      </c>
      <c r="Y37" t="s">
        <v>325</v>
      </c>
      <c r="Z37" t="s">
        <v>36</v>
      </c>
    </row>
    <row r="38">
      <c r="A38" t="s">
        <v>317</v>
      </c>
      <c r="B38" t="s">
        <v>41</v>
      </c>
      <c r="C38" t="s">
        <v>28</v>
      </c>
      <c r="D38" t="s">
        <v>29</v>
      </c>
      <c r="E38">
        <v>48881</v>
      </c>
      <c r="F38">
        <v>129572</v>
      </c>
      <c r="G38">
        <v>75881</v>
      </c>
      <c r="H38">
        <v>27000</v>
      </c>
      <c r="I38">
        <v>109269</v>
      </c>
      <c r="J38" t="str">
        <f>HYPERLINK("https://driffle.com/es/death-stranding-2-on-the-beach-global-pc-steam-account-p9986853","Abrir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36</v>
      </c>
      <c r="T38" t="s">
        <v>36</v>
      </c>
      <c r="U38" t="s">
        <v>329</v>
      </c>
      <c r="V38" t="s">
        <v>36</v>
      </c>
      <c r="W38" t="s">
        <v>36</v>
      </c>
      <c r="X38" t="s">
        <v>36</v>
      </c>
      <c r="Y38" t="s">
        <v>330</v>
      </c>
      <c r="Z38" t="s">
        <v>36</v>
      </c>
    </row>
    <row r="39">
      <c r="A39" t="s">
        <v>331</v>
      </c>
      <c r="B39" t="s">
        <v>63</v>
      </c>
      <c r="C39" t="s">
        <v>32</v>
      </c>
      <c r="D39" t="s">
        <v>51</v>
      </c>
      <c r="E39">
        <v>8283</v>
      </c>
      <c r="F39">
        <v>59223</v>
      </c>
      <c r="G39">
        <v>38869</v>
      </c>
      <c r="H39">
        <v>30586</v>
      </c>
      <c r="I39">
        <v>55971</v>
      </c>
      <c r="J39" t="str">
        <f>HYPERLINK("https://www.eneba.com/latam/steam-detroit-become-human-steam-key-latam","Abrir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52</v>
      </c>
      <c r="M39" t="s">
        <v>31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36</v>
      </c>
      <c r="T39" t="s">
        <v>335</v>
      </c>
      <c r="U39" t="s">
        <v>336</v>
      </c>
      <c r="V39" t="s">
        <v>337</v>
      </c>
      <c r="W39" t="s">
        <v>338</v>
      </c>
      <c r="X39" t="s">
        <v>339</v>
      </c>
      <c r="Y39" t="s">
        <v>340</v>
      </c>
      <c r="Z39" t="s">
        <v>341</v>
      </c>
    </row>
    <row r="40">
      <c r="A40" t="s">
        <v>331</v>
      </c>
      <c r="B40" t="s">
        <v>41</v>
      </c>
      <c r="C40" t="s">
        <v>28</v>
      </c>
      <c r="D40" t="s">
        <v>29</v>
      </c>
      <c r="E40">
        <v>4429</v>
      </c>
      <c r="F40">
        <v>59223</v>
      </c>
      <c r="G40">
        <v>30869</v>
      </c>
      <c r="H40">
        <v>26440</v>
      </c>
      <c r="I40">
        <v>44451</v>
      </c>
      <c r="J40" t="str">
        <f>HYPERLINK("https://driffle.com/es/detroit-become-human-global-pc-steam-account-p9943441","Abrir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345</v>
      </c>
      <c r="T40" t="s">
        <v>36</v>
      </c>
      <c r="U40" t="s">
        <v>346</v>
      </c>
      <c r="V40" t="s">
        <v>36</v>
      </c>
      <c r="W40" t="s">
        <v>347</v>
      </c>
      <c r="X40" t="s">
        <v>36</v>
      </c>
      <c r="Y40" t="s">
        <v>348</v>
      </c>
      <c r="Z40" t="s">
        <v>36</v>
      </c>
    </row>
    <row r="41">
      <c r="A41" t="s">
        <v>349</v>
      </c>
      <c r="B41" t="s">
        <v>41</v>
      </c>
      <c r="C41" t="s">
        <v>28</v>
      </c>
      <c r="D41" t="s">
        <v>29</v>
      </c>
      <c r="E41">
        <v>38328</v>
      </c>
      <c r="F41">
        <v>92546</v>
      </c>
      <c r="G41">
        <v>57424</v>
      </c>
      <c r="H41">
        <v>19096</v>
      </c>
      <c r="I41">
        <v>82691</v>
      </c>
      <c r="J41" t="str">
        <f>HYPERLINK("https://driffle.com/es/diablo-iv-global-pc-steam-account-p9979483","Abrir compra")</f>
        <v>Abrir compra</v>
      </c>
      <c r="K41" t="str">
        <f>HYPERLINK("https://store.steampowered.com/app/2344520/Diablo_IV/","Abrir Steam")</f>
        <v>Abrir Steam</v>
      </c>
      <c r="L41" t="s">
        <v>30</v>
      </c>
      <c r="M41" t="s">
        <v>31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36</v>
      </c>
      <c r="T41" t="s">
        <v>36</v>
      </c>
      <c r="U41" t="s">
        <v>353</v>
      </c>
      <c r="V41" t="s">
        <v>36</v>
      </c>
      <c r="W41" t="s">
        <v>354</v>
      </c>
      <c r="X41" t="s">
        <v>36</v>
      </c>
      <c r="Y41" t="s">
        <v>355</v>
      </c>
      <c r="Z41" t="s">
        <v>36</v>
      </c>
    </row>
    <row r="42">
      <c r="A42" t="s">
        <v>356</v>
      </c>
      <c r="B42" t="s">
        <v>63</v>
      </c>
      <c r="C42" t="s">
        <v>32</v>
      </c>
      <c r="D42" t="s">
        <v>51</v>
      </c>
      <c r="E42">
        <v>62873</v>
      </c>
      <c r="F42">
        <v>83290</v>
      </c>
      <c r="G42">
        <v>77873</v>
      </c>
      <c r="H42">
        <v>15000</v>
      </c>
      <c r="I42">
        <v>112137</v>
      </c>
      <c r="J42" t="str">
        <f>HYPERLINK("https://driffle.com/es/dying-light-the-beast-global-pc-steam-digital-key-p9938120","Abrir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361</v>
      </c>
      <c r="U42" t="s">
        <v>362</v>
      </c>
      <c r="V42" t="s">
        <v>363</v>
      </c>
      <c r="W42" t="s">
        <v>364</v>
      </c>
      <c r="X42" t="s">
        <v>365</v>
      </c>
      <c r="Y42" t="s">
        <v>366</v>
      </c>
      <c r="Z42" t="s">
        <v>367</v>
      </c>
    </row>
    <row r="43">
      <c r="A43" t="s">
        <v>356</v>
      </c>
      <c r="B43" t="s">
        <v>41</v>
      </c>
      <c r="C43" t="s">
        <v>28</v>
      </c>
      <c r="D43" t="s">
        <v>29</v>
      </c>
      <c r="E43">
        <v>34890</v>
      </c>
      <c r="F43">
        <v>83290</v>
      </c>
      <c r="G43">
        <v>52439</v>
      </c>
      <c r="H43">
        <v>17549</v>
      </c>
      <c r="I43">
        <v>75512</v>
      </c>
      <c r="J43" t="str">
        <f>HYPERLINK("https://driffle.com/es/dying-light-the-beast-global-pc-steam-account-p9961930","Abrir compra")</f>
        <v>Abrir compra</v>
      </c>
      <c r="K43" t="str">
        <f>HYPERLINK("https://store.steampowered.com/app/3008130/Dying_Light_The_Beast/","Abrir Steam")</f>
        <v>Abrir Steam</v>
      </c>
      <c r="L43" t="s">
        <v>30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36</v>
      </c>
      <c r="U43" t="s">
        <v>372</v>
      </c>
      <c r="V43" t="s">
        <v>36</v>
      </c>
      <c r="W43" t="s">
        <v>373</v>
      </c>
      <c r="X43" t="s">
        <v>36</v>
      </c>
      <c r="Y43" t="s">
        <v>374</v>
      </c>
      <c r="Z43" t="s">
        <v>36</v>
      </c>
    </row>
    <row r="44">
      <c r="A44" t="s">
        <v>375</v>
      </c>
      <c r="B44" t="s">
        <v>63</v>
      </c>
      <c r="C44" t="s">
        <v>32</v>
      </c>
      <c r="D44" t="s">
        <v>51</v>
      </c>
      <c r="E44">
        <v>63320</v>
      </c>
      <c r="F44">
        <v>107912</v>
      </c>
      <c r="G44">
        <v>79888</v>
      </c>
      <c r="H44">
        <v>16568</v>
      </c>
      <c r="I44">
        <v>115039</v>
      </c>
      <c r="J44" t="str">
        <f>HYPERLINK("https://driffle.com/es/dynasty-warriors-origins-global-pc-steam-digital-key-p9926207","Abrir compra")</f>
        <v>Abrir compra</v>
      </c>
      <c r="K44" t="str">
        <f>HYPERLINK("https://store.steampowered.com/app/2384580/DYNASTY_WARRIORS_ORIGINS/","Abrir Steam")</f>
        <v>Abrir Steam</v>
      </c>
      <c r="L44" t="s">
        <v>30</v>
      </c>
      <c r="M44" t="s">
        <v>42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36</v>
      </c>
      <c r="T44" t="s">
        <v>379</v>
      </c>
      <c r="U44" t="s">
        <v>380</v>
      </c>
      <c r="V44" t="s">
        <v>381</v>
      </c>
      <c r="W44" t="s">
        <v>382</v>
      </c>
      <c r="X44" t="s">
        <v>383</v>
      </c>
      <c r="Y44" t="s">
        <v>384</v>
      </c>
      <c r="Z44" t="s">
        <v>385</v>
      </c>
    </row>
    <row r="45">
      <c r="A45" t="s">
        <v>386</v>
      </c>
      <c r="B45" t="s">
        <v>41</v>
      </c>
      <c r="C45" t="s">
        <v>28</v>
      </c>
      <c r="D45" t="s">
        <v>29</v>
      </c>
      <c r="E45">
        <v>6684</v>
      </c>
      <c r="F45">
        <v>129572</v>
      </c>
      <c r="G45">
        <v>33684</v>
      </c>
      <c r="H45">
        <v>27000</v>
      </c>
      <c r="I45">
        <v>48505</v>
      </c>
      <c r="J45" t="str">
        <f>HYPERLINK("https://driffle.com/es/ea-sports-fc-26-global-pc-steam-account-p9952463","Abrir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31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390</v>
      </c>
      <c r="T45" t="s">
        <v>36</v>
      </c>
      <c r="U45" t="s">
        <v>391</v>
      </c>
      <c r="V45" t="s">
        <v>36</v>
      </c>
      <c r="W45" t="s">
        <v>392</v>
      </c>
      <c r="X45" t="s">
        <v>36</v>
      </c>
      <c r="Y45" t="s">
        <v>393</v>
      </c>
      <c r="Z45" t="s">
        <v>36</v>
      </c>
    </row>
    <row r="46">
      <c r="A46" t="s">
        <v>386</v>
      </c>
      <c r="B46" t="s">
        <v>394</v>
      </c>
      <c r="C46" t="s">
        <v>28</v>
      </c>
      <c r="D46" t="s">
        <v>29</v>
      </c>
      <c r="E46">
        <v>14647</v>
      </c>
      <c r="F46">
        <v>166598</v>
      </c>
      <c r="G46">
        <v>41647</v>
      </c>
      <c r="H46">
        <v>27000</v>
      </c>
      <c r="I46">
        <v>59972</v>
      </c>
      <c r="J46" t="str">
        <f>HYPERLINK("https://driffle.com/es/ea-sports-fc-26-the-worlds-game-edition-global-pc-steam-account-p9996215","Abrir compra")</f>
        <v>Abrir compra</v>
      </c>
      <c r="K46" t="str">
        <f>HYPERLINK("https://store.steampowered.com/app/3405690/EA_SPORTS_FC_26/","Abrir Steam")</f>
        <v>Abrir Steam</v>
      </c>
      <c r="L46" t="s">
        <v>30</v>
      </c>
      <c r="M46" t="s">
        <v>31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36</v>
      </c>
      <c r="T46" t="s">
        <v>36</v>
      </c>
      <c r="U46" t="s">
        <v>398</v>
      </c>
      <c r="V46" t="s">
        <v>36</v>
      </c>
      <c r="W46" t="s">
        <v>399</v>
      </c>
      <c r="X46" t="s">
        <v>36</v>
      </c>
      <c r="Y46" t="s">
        <v>400</v>
      </c>
      <c r="Z46" t="s">
        <v>36</v>
      </c>
    </row>
    <row r="47">
      <c r="A47" t="s">
        <v>401</v>
      </c>
      <c r="B47" t="s">
        <v>41</v>
      </c>
      <c r="C47" t="s">
        <v>28</v>
      </c>
      <c r="D47" t="s">
        <v>29</v>
      </c>
      <c r="E47">
        <v>49057</v>
      </c>
      <c r="F47">
        <v>129572</v>
      </c>
      <c r="G47">
        <v>76057</v>
      </c>
      <c r="H47">
        <v>27000</v>
      </c>
      <c r="I47">
        <v>109522</v>
      </c>
      <c r="J47" t="str">
        <f>HYPERLINK("https://driffle.com/es/ea-sports-fc-27-global-pc-steam-account-p9998646","Abrir compra")</f>
        <v>Abrir compra</v>
      </c>
      <c r="K47" t="str">
        <f>HYPERLINK("https://store.steampowered.com/app/4080220/EA_SPORTS_FC_27/","Abrir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405</v>
      </c>
      <c r="T47" t="s">
        <v>36</v>
      </c>
      <c r="U47" t="s">
        <v>406</v>
      </c>
      <c r="V47" t="s">
        <v>36</v>
      </c>
      <c r="W47" t="s">
        <v>407</v>
      </c>
      <c r="X47" t="s">
        <v>36</v>
      </c>
      <c r="Y47" t="s">
        <v>408</v>
      </c>
      <c r="Z47" t="s">
        <v>36</v>
      </c>
    </row>
    <row r="48">
      <c r="A48" t="s">
        <v>409</v>
      </c>
      <c r="B48" t="s">
        <v>63</v>
      </c>
      <c r="C48" t="s">
        <v>32</v>
      </c>
      <c r="D48" t="s">
        <v>51</v>
      </c>
      <c r="E48">
        <v>81101</v>
      </c>
      <c r="F48">
        <v>88844</v>
      </c>
      <c r="G48">
        <v>96101</v>
      </c>
      <c r="H48">
        <v>15000</v>
      </c>
      <c r="I48">
        <v>138385</v>
      </c>
      <c r="J48" t="str">
        <f>HYPERLINK("https://driffle.com/es/elden-ring-latam-pc-steam-digital-key-p9972146","Abrir compra")</f>
        <v>Abrir compra</v>
      </c>
      <c r="K48" t="str">
        <f>HYPERLINK("https://store.steampowered.com/app/1245620/ELDEN_RING/","Abrir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36</v>
      </c>
      <c r="T48" t="s">
        <v>413</v>
      </c>
      <c r="U48" t="s">
        <v>414</v>
      </c>
      <c r="V48" t="s">
        <v>36</v>
      </c>
      <c r="W48" t="s">
        <v>415</v>
      </c>
      <c r="X48" t="s">
        <v>416</v>
      </c>
      <c r="Y48" t="s">
        <v>417</v>
      </c>
      <c r="Z48" t="s">
        <v>36</v>
      </c>
    </row>
    <row r="49">
      <c r="A49" t="s">
        <v>409</v>
      </c>
      <c r="B49" t="s">
        <v>41</v>
      </c>
      <c r="C49" t="s">
        <v>28</v>
      </c>
      <c r="D49" t="s">
        <v>29</v>
      </c>
      <c r="E49">
        <v>49841</v>
      </c>
      <c r="F49">
        <v>88844</v>
      </c>
      <c r="G49">
        <v>64841</v>
      </c>
      <c r="H49">
        <v>15000</v>
      </c>
      <c r="I49">
        <v>93371</v>
      </c>
      <c r="J49" t="str">
        <f>HYPERLINK("https://driffle.com/es/elden-ring-global-pc-steam-account-p9943442","Abrir compra")</f>
        <v>Abrir compra</v>
      </c>
      <c r="K49" t="str">
        <f>HYPERLINK("https://store.steampowered.com/app/1245620/ELDEN_RING/","Abrir Steam")</f>
        <v>Abrir Steam</v>
      </c>
      <c r="L49" t="s">
        <v>30</v>
      </c>
      <c r="M49" t="s">
        <v>42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36</v>
      </c>
      <c r="T49" t="s">
        <v>36</v>
      </c>
      <c r="U49" t="s">
        <v>421</v>
      </c>
      <c r="V49" t="s">
        <v>36</v>
      </c>
      <c r="W49" t="s">
        <v>422</v>
      </c>
      <c r="X49" t="s">
        <v>36</v>
      </c>
      <c r="Y49" t="s">
        <v>423</v>
      </c>
      <c r="Z49" t="s">
        <v>36</v>
      </c>
    </row>
    <row r="50">
      <c r="A50" t="s">
        <v>424</v>
      </c>
      <c r="B50" t="s">
        <v>425</v>
      </c>
      <c r="C50" t="s">
        <v>32</v>
      </c>
      <c r="D50" t="s">
        <v>51</v>
      </c>
      <c r="E50">
        <v>48194</v>
      </c>
      <c r="F50">
        <v>92546</v>
      </c>
      <c r="G50">
        <v>67790</v>
      </c>
      <c r="H50">
        <v>19596</v>
      </c>
      <c r="I50">
        <v>97618</v>
      </c>
      <c r="J50" t="str">
        <f>HYPERLINK("https://www.kinguin.net/es/category/549472/f1-25-2026-season-edition-pc-steam-cd-key","Abrir compra")</f>
        <v>Abrir compra</v>
      </c>
      <c r="K50" t="str">
        <f>HYPERLINK("https://store.steampowered.com/app/3059520/F1_25/","Abrir Steam")</f>
        <v>Abrir Steam</v>
      </c>
      <c r="L50" t="s">
        <v>153</v>
      </c>
      <c r="M50" t="s">
        <v>426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430</v>
      </c>
      <c r="T50" t="s">
        <v>36</v>
      </c>
      <c r="U50" t="s">
        <v>36</v>
      </c>
      <c r="V50" t="s">
        <v>36</v>
      </c>
      <c r="W50" t="s">
        <v>431</v>
      </c>
      <c r="X50" t="s">
        <v>36</v>
      </c>
      <c r="Y50" t="s">
        <v>36</v>
      </c>
      <c r="Z50" t="s">
        <v>36</v>
      </c>
    </row>
    <row r="51">
      <c r="A51" t="s">
        <v>424</v>
      </c>
      <c r="B51" t="s">
        <v>432</v>
      </c>
      <c r="C51" t="s">
        <v>28</v>
      </c>
      <c r="D51" t="s">
        <v>29</v>
      </c>
      <c r="E51">
        <v>42086</v>
      </c>
      <c r="F51">
        <v>92546</v>
      </c>
      <c r="G51">
        <v>58927</v>
      </c>
      <c r="H51">
        <v>16841</v>
      </c>
      <c r="I51">
        <v>84855</v>
      </c>
      <c r="J51" t="str">
        <f>HYPERLINK("https://www.kinguin.net/es/category/541795/f1-25-2026-season-edition-pc-steam-account","Abrir compra")</f>
        <v>Abrir compra</v>
      </c>
      <c r="K51" t="str">
        <f>HYPERLINK("https://store.steampowered.com/app/3059520/F1_25/","Abrir Steam")</f>
        <v>Abrir Steam</v>
      </c>
      <c r="L51" t="s">
        <v>153</v>
      </c>
      <c r="M51" t="s">
        <v>42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36</v>
      </c>
      <c r="U51" t="s">
        <v>437</v>
      </c>
      <c r="V51" t="s">
        <v>36</v>
      </c>
      <c r="W51" t="s">
        <v>438</v>
      </c>
      <c r="X51" t="s">
        <v>36</v>
      </c>
      <c r="Y51" t="s">
        <v>439</v>
      </c>
      <c r="Z51" t="s">
        <v>36</v>
      </c>
    </row>
    <row r="52">
      <c r="A52" t="s">
        <v>440</v>
      </c>
      <c r="B52" t="s">
        <v>63</v>
      </c>
      <c r="C52" t="s">
        <v>32</v>
      </c>
      <c r="D52" t="s">
        <v>51</v>
      </c>
      <c r="E52">
        <v>12968</v>
      </c>
      <c r="F52">
        <v>44413</v>
      </c>
      <c r="G52">
        <v>33310</v>
      </c>
      <c r="H52">
        <v>20342</v>
      </c>
      <c r="I52">
        <v>47966</v>
      </c>
      <c r="J52" t="str">
        <f>HYPERLINK("https://www.eneba.com/latam/steam-fallout-76-steam-key-pc-latam","Abrir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52</v>
      </c>
      <c r="M52" t="s">
        <v>31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36</v>
      </c>
      <c r="T52" t="s">
        <v>444</v>
      </c>
      <c r="U52" t="s">
        <v>445</v>
      </c>
      <c r="V52" t="s">
        <v>446</v>
      </c>
      <c r="W52" t="s">
        <v>447</v>
      </c>
      <c r="X52" t="s">
        <v>448</v>
      </c>
      <c r="Y52" t="s">
        <v>449</v>
      </c>
      <c r="Z52" t="s">
        <v>450</v>
      </c>
    </row>
    <row r="53">
      <c r="A53" t="s">
        <v>440</v>
      </c>
      <c r="B53" t="s">
        <v>41</v>
      </c>
      <c r="C53" t="s">
        <v>28</v>
      </c>
      <c r="D53" t="s">
        <v>29</v>
      </c>
      <c r="E53">
        <v>6764</v>
      </c>
      <c r="F53">
        <v>44413</v>
      </c>
      <c r="G53">
        <v>26026</v>
      </c>
      <c r="H53">
        <v>19262</v>
      </c>
      <c r="I53">
        <v>37477</v>
      </c>
      <c r="J53" t="str">
        <f>HYPERLINK("https://driffle.com/es/fallout-76-global-pc-steam-account-p9979508","Abrir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30</v>
      </c>
      <c r="M53" t="s">
        <v>42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36</v>
      </c>
      <c r="T53" t="s">
        <v>36</v>
      </c>
      <c r="U53" t="s">
        <v>390</v>
      </c>
      <c r="V53" t="s">
        <v>36</v>
      </c>
      <c r="W53" t="s">
        <v>454</v>
      </c>
      <c r="X53" t="s">
        <v>36</v>
      </c>
      <c r="Y53" t="s">
        <v>455</v>
      </c>
      <c r="Z53" t="s">
        <v>36</v>
      </c>
    </row>
    <row r="54">
      <c r="A54" t="s">
        <v>456</v>
      </c>
      <c r="B54" t="s">
        <v>63</v>
      </c>
      <c r="C54" t="s">
        <v>32</v>
      </c>
      <c r="D54" t="s">
        <v>51</v>
      </c>
      <c r="E54">
        <v>26879</v>
      </c>
      <c r="F54">
        <v>59223</v>
      </c>
      <c r="G54">
        <v>43402</v>
      </c>
      <c r="H54">
        <v>16523</v>
      </c>
      <c r="I54">
        <v>62499</v>
      </c>
      <c r="J54" t="str">
        <f>HYPERLINK("https://driffle.com/es/final-fantasy-vii-remake-intergrade-pc-steam-digital-code-p9907421","Abrir compra")</f>
        <v>Abrir compra</v>
      </c>
      <c r="K54" t="str">
        <f>HYPERLINK("https://store.steampowered.com/app/1462040/FINAL_FANTASY_VII_REMAKE_INTERGRADE/?curator_clanid=4777282","Abrir Steam")</f>
        <v>Abrir Steam</v>
      </c>
      <c r="L54" t="s">
        <v>30</v>
      </c>
      <c r="M54" t="s">
        <v>42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36</v>
      </c>
      <c r="T54" t="s">
        <v>460</v>
      </c>
      <c r="U54" t="s">
        <v>461</v>
      </c>
      <c r="V54" t="s">
        <v>36</v>
      </c>
      <c r="W54" t="s">
        <v>462</v>
      </c>
      <c r="X54" t="s">
        <v>463</v>
      </c>
      <c r="Y54" t="s">
        <v>464</v>
      </c>
      <c r="Z54" t="s">
        <v>465</v>
      </c>
    </row>
    <row r="55">
      <c r="A55" t="s">
        <v>466</v>
      </c>
      <c r="B55" t="s">
        <v>27</v>
      </c>
      <c r="C55" t="s">
        <v>28</v>
      </c>
      <c r="D55" t="s">
        <v>29</v>
      </c>
      <c r="E55">
        <v>32572</v>
      </c>
      <c r="F55">
        <v>75607</v>
      </c>
      <c r="G55">
        <v>48516</v>
      </c>
      <c r="H55">
        <v>15944</v>
      </c>
      <c r="I55">
        <v>69863</v>
      </c>
      <c r="J55" t="str">
        <f>HYPERLINK("https://driffle.com/es/forza-horizon-5-deluxe-edition-global-pc-steam-account-p9962282","Abrir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30</v>
      </c>
      <c r="M55" t="s">
        <v>42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470</v>
      </c>
      <c r="T55" t="s">
        <v>36</v>
      </c>
      <c r="U55" t="s">
        <v>211</v>
      </c>
      <c r="V55" t="s">
        <v>36</v>
      </c>
      <c r="W55" t="s">
        <v>471</v>
      </c>
      <c r="X55" t="s">
        <v>36</v>
      </c>
      <c r="Y55" t="s">
        <v>472</v>
      </c>
      <c r="Z55" t="s">
        <v>36</v>
      </c>
    </row>
    <row r="56">
      <c r="A56" t="s">
        <v>466</v>
      </c>
      <c r="B56" t="s">
        <v>41</v>
      </c>
      <c r="C56" t="s">
        <v>28</v>
      </c>
      <c r="D56" t="s">
        <v>29</v>
      </c>
      <c r="E56">
        <v>20115</v>
      </c>
      <c r="F56">
        <v>60686</v>
      </c>
      <c r="G56">
        <v>37714</v>
      </c>
      <c r="H56">
        <v>17599</v>
      </c>
      <c r="I56">
        <v>54308</v>
      </c>
      <c r="J56" t="str">
        <f>HYPERLINK("https://driffle.com/es/forza-horizon-5-global-pc-steam-account-p9943443","Abrir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30</v>
      </c>
      <c r="M56" t="s">
        <v>31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36</v>
      </c>
      <c r="T56" t="s">
        <v>36</v>
      </c>
      <c r="U56" t="s">
        <v>476</v>
      </c>
      <c r="V56" t="s">
        <v>36</v>
      </c>
      <c r="W56" t="s">
        <v>477</v>
      </c>
      <c r="X56" t="s">
        <v>36</v>
      </c>
      <c r="Y56" t="s">
        <v>478</v>
      </c>
      <c r="Z56" t="s">
        <v>36</v>
      </c>
    </row>
    <row r="57">
      <c r="A57" t="s">
        <v>466</v>
      </c>
      <c r="B57" t="s">
        <v>479</v>
      </c>
      <c r="C57" t="s">
        <v>28</v>
      </c>
      <c r="D57" t="s">
        <v>29</v>
      </c>
      <c r="E57">
        <v>34746</v>
      </c>
      <c r="F57">
        <v>95175</v>
      </c>
      <c r="G57">
        <v>57017</v>
      </c>
      <c r="H57">
        <v>22271</v>
      </c>
      <c r="I57">
        <v>82104</v>
      </c>
      <c r="J57" t="str">
        <f>HYPERLINK("https://www.kinguin.net/es/category/153246/forza-horizon-5-premium-edition-steam-account","Abrir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153</v>
      </c>
      <c r="M57" t="s">
        <v>65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483</v>
      </c>
      <c r="T57" t="s">
        <v>36</v>
      </c>
      <c r="U57" t="s">
        <v>484</v>
      </c>
      <c r="V57" t="s">
        <v>36</v>
      </c>
      <c r="W57" t="s">
        <v>485</v>
      </c>
      <c r="X57" t="s">
        <v>36</v>
      </c>
      <c r="Y57" t="s">
        <v>486</v>
      </c>
      <c r="Z57" t="s">
        <v>36</v>
      </c>
    </row>
    <row r="58">
      <c r="A58" t="s">
        <v>487</v>
      </c>
      <c r="B58" t="s">
        <v>41</v>
      </c>
      <c r="C58" t="s">
        <v>28</v>
      </c>
      <c r="D58" t="s">
        <v>29</v>
      </c>
      <c r="E58">
        <v>87066</v>
      </c>
      <c r="F58">
        <v>90695</v>
      </c>
      <c r="G58">
        <v>102066</v>
      </c>
      <c r="H58">
        <v>15000</v>
      </c>
      <c r="I58">
        <v>146975</v>
      </c>
      <c r="J58" t="str">
        <f>HYPERLINK("https://www.kinguin.net/es/category/542407/gears-of-war-e-day-pc-steam-account","Abrir compra")</f>
        <v>Abrir compra</v>
      </c>
      <c r="K58" t="str">
        <f>HYPERLINK("https://store.steampowered.com/app/3010850/Gears_of_War_EDay/","Abrir Steam")</f>
        <v>Abrir Steam</v>
      </c>
      <c r="L58" t="s">
        <v>153</v>
      </c>
      <c r="M58" t="s">
        <v>42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491</v>
      </c>
      <c r="T58" t="s">
        <v>36</v>
      </c>
      <c r="U58" t="s">
        <v>492</v>
      </c>
      <c r="V58" t="s">
        <v>36</v>
      </c>
      <c r="W58" t="s">
        <v>493</v>
      </c>
      <c r="X58" t="s">
        <v>36</v>
      </c>
      <c r="Y58" t="s">
        <v>494</v>
      </c>
      <c r="Z58" t="s">
        <v>36</v>
      </c>
    </row>
    <row r="59">
      <c r="A59" t="s">
        <v>495</v>
      </c>
      <c r="B59" t="s">
        <v>496</v>
      </c>
      <c r="C59" t="s">
        <v>32</v>
      </c>
      <c r="D59" t="s">
        <v>51</v>
      </c>
      <c r="E59">
        <v>38712</v>
      </c>
      <c r="F59">
        <v>92546</v>
      </c>
      <c r="G59">
        <v>63131</v>
      </c>
      <c r="H59">
        <v>24419</v>
      </c>
      <c r="I59">
        <v>90909</v>
      </c>
      <c r="J59" t="str">
        <f>HYPERLINK("https://driffle.com/es/ghost-of-tsushima-directors-cut-latam-pc-steam-digital-key-p9944724","Abrir compra")</f>
        <v>Abrir compra</v>
      </c>
      <c r="K59" t="str">
        <f>HYPERLINK("https://store.steampowered.com/app/2215430/Ghost_of_Tsushima_VERSIN_DEL_DIRECTOR/?l=spanish","Abrir Steam")</f>
        <v>Abrir Steam</v>
      </c>
      <c r="L59" t="s">
        <v>30</v>
      </c>
      <c r="M59" t="s">
        <v>31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500</v>
      </c>
      <c r="T59" t="s">
        <v>501</v>
      </c>
      <c r="U59" t="s">
        <v>502</v>
      </c>
      <c r="V59" t="s">
        <v>36</v>
      </c>
      <c r="W59" t="s">
        <v>503</v>
      </c>
      <c r="X59" t="s">
        <v>504</v>
      </c>
      <c r="Y59" t="s">
        <v>505</v>
      </c>
      <c r="Z59" t="s">
        <v>506</v>
      </c>
    </row>
    <row r="60">
      <c r="A60" t="s">
        <v>507</v>
      </c>
      <c r="B60" t="s">
        <v>63</v>
      </c>
      <c r="C60" t="s">
        <v>32</v>
      </c>
      <c r="D60" t="s">
        <v>51</v>
      </c>
      <c r="E60">
        <v>23138</v>
      </c>
      <c r="F60">
        <v>92546</v>
      </c>
      <c r="G60">
        <v>58138</v>
      </c>
      <c r="H60">
        <v>35000</v>
      </c>
      <c r="I60">
        <v>83719</v>
      </c>
      <c r="J60" t="str">
        <f>HYPERLINK("https://www.eneba.com/latam/steam-god-of-war-pc-steam-key-latam","Abrir compra")</f>
        <v>Abrir compra</v>
      </c>
      <c r="K60" t="str">
        <f>HYPERLINK("https://store.steampowered.com/app/1593500/God_of_War/","Abrir Steam")</f>
        <v>Abrir Steam</v>
      </c>
      <c r="L60" t="s">
        <v>52</v>
      </c>
      <c r="M60" t="s">
        <v>31</v>
      </c>
      <c r="N60" t="s">
        <v>32</v>
      </c>
      <c r="O60" t="s">
        <v>508</v>
      </c>
      <c r="P60" t="s">
        <v>509</v>
      </c>
      <c r="Q60" t="s">
        <v>32</v>
      </c>
      <c r="R60" t="s">
        <v>510</v>
      </c>
      <c r="S60" t="s">
        <v>36</v>
      </c>
      <c r="T60" t="s">
        <v>511</v>
      </c>
      <c r="U60" t="s">
        <v>512</v>
      </c>
      <c r="V60" t="s">
        <v>36</v>
      </c>
      <c r="W60" t="s">
        <v>36</v>
      </c>
      <c r="X60" t="s">
        <v>513</v>
      </c>
      <c r="Y60" t="s">
        <v>514</v>
      </c>
      <c r="Z60" t="s">
        <v>36</v>
      </c>
    </row>
    <row r="61">
      <c r="A61" t="s">
        <v>515</v>
      </c>
      <c r="B61" t="s">
        <v>63</v>
      </c>
      <c r="C61" t="s">
        <v>32</v>
      </c>
      <c r="D61" t="s">
        <v>51</v>
      </c>
      <c r="E61">
        <v>49249</v>
      </c>
      <c r="F61">
        <v>92546</v>
      </c>
      <c r="G61">
        <v>69230</v>
      </c>
      <c r="H61">
        <v>19981</v>
      </c>
      <c r="I61">
        <v>99691</v>
      </c>
      <c r="J61" t="str">
        <f>HYPERLINK("https://driffle.com/es/god-of-war-ragnarok-latam-pc-steam-digital-key-p9978346","Abrir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30</v>
      </c>
      <c r="M61" t="s">
        <v>31</v>
      </c>
      <c r="N61" t="s">
        <v>32</v>
      </c>
      <c r="O61" t="s">
        <v>516</v>
      </c>
      <c r="P61" t="s">
        <v>517</v>
      </c>
      <c r="Q61" t="s">
        <v>32</v>
      </c>
      <c r="R61" t="s">
        <v>518</v>
      </c>
      <c r="S61" t="s">
        <v>36</v>
      </c>
      <c r="T61" t="s">
        <v>519</v>
      </c>
      <c r="U61" t="s">
        <v>520</v>
      </c>
      <c r="V61" t="s">
        <v>36</v>
      </c>
      <c r="W61" t="s">
        <v>521</v>
      </c>
      <c r="X61" t="s">
        <v>522</v>
      </c>
      <c r="Y61" t="s">
        <v>523</v>
      </c>
      <c r="Z61" t="s">
        <v>36</v>
      </c>
    </row>
    <row r="62">
      <c r="A62" t="s">
        <v>515</v>
      </c>
      <c r="B62" t="s">
        <v>41</v>
      </c>
      <c r="C62" t="s">
        <v>28</v>
      </c>
      <c r="D62" t="s">
        <v>29</v>
      </c>
      <c r="E62">
        <v>40790</v>
      </c>
      <c r="F62">
        <v>92546</v>
      </c>
      <c r="G62">
        <v>58409</v>
      </c>
      <c r="H62">
        <v>17619</v>
      </c>
      <c r="I62">
        <v>84109</v>
      </c>
      <c r="J62" t="str">
        <f>HYPERLINK("https://driffle.com/es/god-of-war-ragnarok-global-pc-steam-account-p9962284","Abrir compra")</f>
        <v>Abrir compra</v>
      </c>
      <c r="K62" t="str">
        <f>HYPERLINK("https://store.steampowered.com/app/2322010/God_of_War_Ragnark/?curator_clanid=4777282","Abrir Steam")</f>
        <v>Abrir Steam</v>
      </c>
      <c r="L62" t="s">
        <v>30</v>
      </c>
      <c r="M62" t="s">
        <v>31</v>
      </c>
      <c r="N62" t="s">
        <v>32</v>
      </c>
      <c r="O62" t="s">
        <v>524</v>
      </c>
      <c r="P62" t="s">
        <v>525</v>
      </c>
      <c r="Q62" t="s">
        <v>32</v>
      </c>
      <c r="R62" t="s">
        <v>526</v>
      </c>
      <c r="S62" t="s">
        <v>36</v>
      </c>
      <c r="T62" t="s">
        <v>36</v>
      </c>
      <c r="U62" t="s">
        <v>527</v>
      </c>
      <c r="V62" t="s">
        <v>36</v>
      </c>
      <c r="W62" t="s">
        <v>528</v>
      </c>
      <c r="X62" t="s">
        <v>36</v>
      </c>
      <c r="Y62" t="s">
        <v>529</v>
      </c>
      <c r="Z62" t="s">
        <v>36</v>
      </c>
    </row>
    <row r="63">
      <c r="A63" t="s">
        <v>530</v>
      </c>
      <c r="B63" t="s">
        <v>63</v>
      </c>
      <c r="C63" t="s">
        <v>32</v>
      </c>
      <c r="D63" t="s">
        <v>51</v>
      </c>
      <c r="E63">
        <v>38200</v>
      </c>
      <c r="F63">
        <v>62926</v>
      </c>
      <c r="G63">
        <v>66126</v>
      </c>
      <c r="H63">
        <v>27926</v>
      </c>
      <c r="I63">
        <v>95221</v>
      </c>
      <c r="J63" t="str">
        <f>HYPERLINK("https://www.eneba.com/latam/steam-gothic-1-remake-steam-key-pc-latam","Abrir compra")</f>
        <v>Abrir compra</v>
      </c>
      <c r="K63" t="str">
        <f>HYPERLINK("https://store.steampowered.com/app/1297900/Gothic_1_Remake/?curator_clanid=4777282","Abrir Steam")</f>
        <v>Abrir Steam</v>
      </c>
      <c r="L63" t="s">
        <v>52</v>
      </c>
      <c r="M63" t="s">
        <v>31</v>
      </c>
      <c r="N63" t="s">
        <v>32</v>
      </c>
      <c r="O63" t="s">
        <v>531</v>
      </c>
      <c r="P63" t="s">
        <v>532</v>
      </c>
      <c r="Q63" t="s">
        <v>32</v>
      </c>
      <c r="R63" t="s">
        <v>533</v>
      </c>
      <c r="S63" t="s">
        <v>534</v>
      </c>
      <c r="T63" t="s">
        <v>535</v>
      </c>
      <c r="U63" t="s">
        <v>536</v>
      </c>
      <c r="V63" t="s">
        <v>36</v>
      </c>
      <c r="W63" t="s">
        <v>537</v>
      </c>
      <c r="X63" t="s">
        <v>538</v>
      </c>
      <c r="Y63" t="s">
        <v>539</v>
      </c>
      <c r="Z63" t="s">
        <v>540</v>
      </c>
    </row>
    <row r="64">
      <c r="A64" t="s">
        <v>541</v>
      </c>
      <c r="B64" t="s">
        <v>542</v>
      </c>
      <c r="C64" t="s">
        <v>28</v>
      </c>
      <c r="D64" t="s">
        <v>29</v>
      </c>
      <c r="E64">
        <v>16470</v>
      </c>
      <c r="F64">
        <v>83290</v>
      </c>
      <c r="G64">
        <v>43470</v>
      </c>
      <c r="H64">
        <v>27000</v>
      </c>
      <c r="I64">
        <v>62597</v>
      </c>
      <c r="J64" t="str">
        <f>HYPERLINK("https://driffle.com/es/grand-theft-auto-v-enhanced-global-pc-steam-account-p9962285","Abrir compra")</f>
        <v>Abrir compra</v>
      </c>
      <c r="K64" t="str">
        <f>HYPERLINK("https://store.steampowered.com/app/3240220/Grand_Theft_Auto_V_Enhanced/","Abrir Steam")</f>
        <v>Abrir Steam</v>
      </c>
      <c r="L64" t="s">
        <v>30</v>
      </c>
      <c r="M64" t="s">
        <v>31</v>
      </c>
      <c r="N64" t="s">
        <v>32</v>
      </c>
      <c r="O64" t="s">
        <v>543</v>
      </c>
      <c r="P64" t="s">
        <v>544</v>
      </c>
      <c r="Q64" t="s">
        <v>32</v>
      </c>
      <c r="R64" t="s">
        <v>545</v>
      </c>
      <c r="S64" t="s">
        <v>546</v>
      </c>
      <c r="T64" t="s">
        <v>36</v>
      </c>
      <c r="U64" t="s">
        <v>547</v>
      </c>
      <c r="V64" t="s">
        <v>36</v>
      </c>
      <c r="W64" t="s">
        <v>548</v>
      </c>
      <c r="X64" t="s">
        <v>36</v>
      </c>
      <c r="Y64" t="s">
        <v>549</v>
      </c>
      <c r="Z64" t="s">
        <v>36</v>
      </c>
    </row>
    <row r="65">
      <c r="A65" t="s">
        <v>550</v>
      </c>
      <c r="B65" t="s">
        <v>479</v>
      </c>
      <c r="C65" t="s">
        <v>28</v>
      </c>
      <c r="D65" t="s">
        <v>29</v>
      </c>
      <c r="E65">
        <v>79262</v>
      </c>
      <c r="F65">
        <v>111059</v>
      </c>
      <c r="G65">
        <v>94262</v>
      </c>
      <c r="H65">
        <v>15000</v>
      </c>
      <c r="I65">
        <v>135737</v>
      </c>
      <c r="J65" t="str">
        <f>HYPERLINK("https://driffle.com/es/halo-campaign-evolved-premium-edition-global-pc-steam-account-p9996352","Abrir compra")</f>
        <v>Abrir compra</v>
      </c>
      <c r="K65" t="str">
        <f>HYPERLINK("https://store.steampowered.com/app/2806050/Halo_Campaign_Evolved/","Abrir Steam")</f>
        <v>Abrir Steam</v>
      </c>
      <c r="L65" t="s">
        <v>30</v>
      </c>
      <c r="M65" t="s">
        <v>31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36</v>
      </c>
      <c r="T65" t="s">
        <v>36</v>
      </c>
      <c r="U65" t="s">
        <v>554</v>
      </c>
      <c r="V65" t="s">
        <v>36</v>
      </c>
      <c r="W65" t="s">
        <v>555</v>
      </c>
      <c r="X65" t="s">
        <v>36</v>
      </c>
      <c r="Y65" t="s">
        <v>556</v>
      </c>
      <c r="Z65" t="s">
        <v>36</v>
      </c>
    </row>
    <row r="66">
      <c r="A66" t="s">
        <v>557</v>
      </c>
      <c r="B66" t="s">
        <v>63</v>
      </c>
      <c r="C66" t="s">
        <v>32</v>
      </c>
      <c r="D66" t="s">
        <v>51</v>
      </c>
      <c r="E66">
        <v>38712</v>
      </c>
      <c r="F66">
        <v>74033</v>
      </c>
      <c r="G66">
        <v>55268</v>
      </c>
      <c r="H66">
        <v>16556</v>
      </c>
      <c r="I66">
        <v>79586</v>
      </c>
      <c r="J66" t="str">
        <f>HYPERLINK("https://driffle.com/es/helldivers-2-latam-pc-steam-digital-key-p9967079","Abrir compra")</f>
        <v>Abrir compra</v>
      </c>
      <c r="K66" t="str">
        <f>HYPERLINK("https://store.steampowered.com/app/553850/HELLDIVERS_2/","Abrir Steam")</f>
        <v>Abrir Steam</v>
      </c>
      <c r="L66" t="s">
        <v>30</v>
      </c>
      <c r="M66" t="s">
        <v>31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36</v>
      </c>
      <c r="T66" t="s">
        <v>561</v>
      </c>
      <c r="U66" t="s">
        <v>502</v>
      </c>
      <c r="V66" t="s">
        <v>562</v>
      </c>
      <c r="W66" t="s">
        <v>563</v>
      </c>
      <c r="X66" t="s">
        <v>564</v>
      </c>
      <c r="Y66" t="s">
        <v>565</v>
      </c>
      <c r="Z66" t="s">
        <v>566</v>
      </c>
    </row>
    <row r="67">
      <c r="A67" t="s">
        <v>557</v>
      </c>
      <c r="B67" t="s">
        <v>41</v>
      </c>
      <c r="C67" t="s">
        <v>28</v>
      </c>
      <c r="D67" t="s">
        <v>29</v>
      </c>
      <c r="E67">
        <v>30989</v>
      </c>
      <c r="F67">
        <v>74033</v>
      </c>
      <c r="G67">
        <v>47268</v>
      </c>
      <c r="H67">
        <v>16279</v>
      </c>
      <c r="I67">
        <v>68066</v>
      </c>
      <c r="J67" t="str">
        <f>HYPERLINK("https://driffle.com/es/helldivers-2-global-pc-steam-account-p9952240","Abrir compra")</f>
        <v>Abrir compra</v>
      </c>
      <c r="K67" t="str">
        <f>HYPERLINK("https://store.steampowered.com/app/553850/HELLDIVERS_2/","Abrir Steam")</f>
        <v>Abrir Steam</v>
      </c>
      <c r="L67" t="s">
        <v>30</v>
      </c>
      <c r="M67" t="s">
        <v>42</v>
      </c>
      <c r="N67" t="s">
        <v>32</v>
      </c>
      <c r="O67" t="s">
        <v>567</v>
      </c>
      <c r="P67" t="s">
        <v>568</v>
      </c>
      <c r="Q67" t="s">
        <v>32</v>
      </c>
      <c r="R67" t="s">
        <v>569</v>
      </c>
      <c r="S67" t="s">
        <v>36</v>
      </c>
      <c r="T67" t="s">
        <v>36</v>
      </c>
      <c r="U67" t="s">
        <v>570</v>
      </c>
      <c r="V67" t="s">
        <v>36</v>
      </c>
      <c r="W67" t="s">
        <v>571</v>
      </c>
      <c r="X67" t="s">
        <v>36</v>
      </c>
      <c r="Y67" t="s">
        <v>572</v>
      </c>
      <c r="Z67" t="s">
        <v>36</v>
      </c>
    </row>
    <row r="68">
      <c r="A68" t="s">
        <v>557</v>
      </c>
      <c r="B68" t="s">
        <v>573</v>
      </c>
      <c r="C68" t="s">
        <v>32</v>
      </c>
      <c r="D68" t="s">
        <v>51</v>
      </c>
      <c r="E68">
        <v>57516</v>
      </c>
      <c r="F68">
        <v>74033</v>
      </c>
      <c r="G68">
        <v>72516</v>
      </c>
      <c r="H68">
        <v>15000</v>
      </c>
      <c r="I68">
        <v>104423</v>
      </c>
      <c r="J68" t="str">
        <f>HYPERLINK("https://driffle.com/es/helldivers-2-super-citizen-edition-latam-pc-steam-digital-key-p9981990","Abrir compra")</f>
        <v>Abrir compra</v>
      </c>
      <c r="K68" t="str">
        <f>HYPERLINK("https://store.steampowered.com/app/553850/HELLDIVERS_2/","Abrir Steam")</f>
        <v>Abrir Steam</v>
      </c>
      <c r="L68" t="s">
        <v>30</v>
      </c>
      <c r="M68" t="s">
        <v>31</v>
      </c>
      <c r="N68" t="s">
        <v>32</v>
      </c>
      <c r="O68" t="s">
        <v>574</v>
      </c>
      <c r="P68" t="s">
        <v>575</v>
      </c>
      <c r="Q68" t="s">
        <v>32</v>
      </c>
      <c r="R68" t="s">
        <v>576</v>
      </c>
      <c r="S68" t="s">
        <v>36</v>
      </c>
      <c r="T68" t="s">
        <v>577</v>
      </c>
      <c r="U68" t="s">
        <v>578</v>
      </c>
      <c r="V68" t="s">
        <v>36</v>
      </c>
      <c r="W68" t="s">
        <v>579</v>
      </c>
      <c r="X68" t="s">
        <v>580</v>
      </c>
      <c r="Y68" t="s">
        <v>581</v>
      </c>
      <c r="Z68" t="s">
        <v>582</v>
      </c>
    </row>
    <row r="69">
      <c r="A69" t="s">
        <v>583</v>
      </c>
      <c r="B69" t="s">
        <v>27</v>
      </c>
      <c r="C69" t="s">
        <v>28</v>
      </c>
      <c r="D69" t="s">
        <v>29</v>
      </c>
      <c r="E69">
        <v>30445</v>
      </c>
      <c r="F69">
        <v>85141</v>
      </c>
      <c r="G69">
        <v>51383</v>
      </c>
      <c r="H69">
        <v>20938</v>
      </c>
      <c r="I69">
        <v>73992</v>
      </c>
      <c r="J69" t="str">
        <f>HYPERLINK("https://driffle.com/es/hitman-world-of-assassination-deluxe-edition-global-pc-steam-account-p9979540","Abrir compra")</f>
        <v>Abrir compra</v>
      </c>
      <c r="K69" t="str">
        <f>HYPERLINK("https://store.steampowered.com/app/1659040/HITMAN_World_of_Assassination/?curator_clanid=4777282","Abrir Steam")</f>
        <v>Abrir Steam</v>
      </c>
      <c r="L69" t="s">
        <v>30</v>
      </c>
      <c r="M69" t="s">
        <v>42</v>
      </c>
      <c r="N69" t="s">
        <v>32</v>
      </c>
      <c r="O69" t="s">
        <v>584</v>
      </c>
      <c r="P69" t="s">
        <v>585</v>
      </c>
      <c r="Q69" t="s">
        <v>32</v>
      </c>
      <c r="R69" t="s">
        <v>586</v>
      </c>
      <c r="S69" t="s">
        <v>36</v>
      </c>
      <c r="T69" t="s">
        <v>36</v>
      </c>
      <c r="U69" t="s">
        <v>587</v>
      </c>
      <c r="V69" t="s">
        <v>36</v>
      </c>
      <c r="W69" t="s">
        <v>588</v>
      </c>
      <c r="X69" t="s">
        <v>36</v>
      </c>
      <c r="Y69" t="s">
        <v>589</v>
      </c>
      <c r="Z69" t="s">
        <v>36</v>
      </c>
    </row>
    <row r="70">
      <c r="A70" t="s">
        <v>583</v>
      </c>
      <c r="B70" t="s">
        <v>590</v>
      </c>
      <c r="C70" t="s">
        <v>32</v>
      </c>
      <c r="D70" t="s">
        <v>51</v>
      </c>
      <c r="E70">
        <v>35466</v>
      </c>
      <c r="F70">
        <v>61074</v>
      </c>
      <c r="G70">
        <v>51554</v>
      </c>
      <c r="H70">
        <v>16088</v>
      </c>
      <c r="I70">
        <v>74238</v>
      </c>
      <c r="J70" t="str">
        <f>HYPERLINK("https://driffle.com/es/hitman-world-of-assassination-global-pc-steam-digital-key-p9947612","Abrir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42</v>
      </c>
      <c r="N70" t="s">
        <v>32</v>
      </c>
      <c r="O70" t="s">
        <v>591</v>
      </c>
      <c r="P70" t="s">
        <v>592</v>
      </c>
      <c r="Q70" t="s">
        <v>32</v>
      </c>
      <c r="R70" t="s">
        <v>593</v>
      </c>
      <c r="S70" t="s">
        <v>36</v>
      </c>
      <c r="T70" t="s">
        <v>36</v>
      </c>
      <c r="U70" t="s">
        <v>594</v>
      </c>
      <c r="V70" t="s">
        <v>36</v>
      </c>
      <c r="W70" t="s">
        <v>36</v>
      </c>
      <c r="X70" t="s">
        <v>36</v>
      </c>
      <c r="Y70" t="s">
        <v>595</v>
      </c>
      <c r="Z70" t="s">
        <v>596</v>
      </c>
    </row>
    <row r="71">
      <c r="A71" t="s">
        <v>583</v>
      </c>
      <c r="B71" t="s">
        <v>41</v>
      </c>
      <c r="C71" t="s">
        <v>28</v>
      </c>
      <c r="D71" t="s">
        <v>29</v>
      </c>
      <c r="E71">
        <v>14135</v>
      </c>
      <c r="F71">
        <v>61074</v>
      </c>
      <c r="G71">
        <v>35473</v>
      </c>
      <c r="H71">
        <v>21338</v>
      </c>
      <c r="I71">
        <v>51081</v>
      </c>
      <c r="J71" t="str">
        <f>HYPERLINK("https://driffle.com/es/hitman-world-of-assassination-global-pc-steam-account-p9945630","Abrir compra")</f>
        <v>Abrir compra</v>
      </c>
      <c r="K71" t="str">
        <f>HYPERLINK("https://store.steampowered.com/app/1659040/HITMAN_World_of_Assassination/?curator_clanid=4777282","Abrir Steam")</f>
        <v>Abrir Steam</v>
      </c>
      <c r="L71" t="s">
        <v>30</v>
      </c>
      <c r="M71" t="s">
        <v>42</v>
      </c>
      <c r="N71" t="s">
        <v>32</v>
      </c>
      <c r="O71" t="s">
        <v>597</v>
      </c>
      <c r="P71" t="s">
        <v>598</v>
      </c>
      <c r="Q71" t="s">
        <v>32</v>
      </c>
      <c r="R71" t="s">
        <v>599</v>
      </c>
      <c r="S71" t="s">
        <v>36</v>
      </c>
      <c r="T71" t="s">
        <v>36</v>
      </c>
      <c r="U71" t="s">
        <v>600</v>
      </c>
      <c r="V71" t="s">
        <v>36</v>
      </c>
      <c r="W71" t="s">
        <v>36</v>
      </c>
      <c r="X71" t="s">
        <v>36</v>
      </c>
      <c r="Y71" t="s">
        <v>601</v>
      </c>
      <c r="Z71" t="s">
        <v>36</v>
      </c>
    </row>
    <row r="72">
      <c r="A72" t="s">
        <v>602</v>
      </c>
      <c r="B72" t="s">
        <v>294</v>
      </c>
      <c r="C72" t="s">
        <v>32</v>
      </c>
      <c r="D72" t="s">
        <v>51</v>
      </c>
      <c r="E72">
        <v>10441</v>
      </c>
      <c r="F72">
        <v>74033</v>
      </c>
      <c r="G72">
        <v>45441</v>
      </c>
      <c r="H72">
        <v>35000</v>
      </c>
      <c r="I72">
        <v>65435</v>
      </c>
      <c r="J72" t="str">
        <f>HYPERLINK("https://www.eneba.com/latam/steam-hogwarts-legacy-deluxe-edition-pc-steam-key-latam","Abrir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52</v>
      </c>
      <c r="M72" t="s">
        <v>31</v>
      </c>
      <c r="N72" t="s">
        <v>32</v>
      </c>
      <c r="O72" t="s">
        <v>603</v>
      </c>
      <c r="P72" t="s">
        <v>604</v>
      </c>
      <c r="Q72" t="s">
        <v>32</v>
      </c>
      <c r="R72" t="s">
        <v>605</v>
      </c>
      <c r="S72" t="s">
        <v>36</v>
      </c>
      <c r="T72" t="s">
        <v>606</v>
      </c>
      <c r="U72" t="s">
        <v>607</v>
      </c>
      <c r="V72" t="s">
        <v>608</v>
      </c>
      <c r="W72" t="s">
        <v>609</v>
      </c>
      <c r="X72" t="s">
        <v>610</v>
      </c>
      <c r="Y72" t="s">
        <v>611</v>
      </c>
      <c r="Z72" t="s">
        <v>612</v>
      </c>
    </row>
    <row r="73">
      <c r="A73" t="s">
        <v>602</v>
      </c>
      <c r="B73" t="s">
        <v>27</v>
      </c>
      <c r="C73" t="s">
        <v>28</v>
      </c>
      <c r="D73" t="s">
        <v>29</v>
      </c>
      <c r="E73">
        <v>10633</v>
      </c>
      <c r="F73">
        <v>74033</v>
      </c>
      <c r="G73">
        <v>37633</v>
      </c>
      <c r="H73">
        <v>27000</v>
      </c>
      <c r="I73">
        <v>54192</v>
      </c>
      <c r="J73" t="str">
        <f>HYPERLINK("https://driffle.com/es/hogwarts-legacy-deluxe-edition-pc-steam-digital-code-p9962290","Abrir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30</v>
      </c>
      <c r="M73" t="s">
        <v>42</v>
      </c>
      <c r="N73" t="s">
        <v>32</v>
      </c>
      <c r="O73" t="s">
        <v>613</v>
      </c>
      <c r="P73" t="s">
        <v>614</v>
      </c>
      <c r="Q73" t="s">
        <v>32</v>
      </c>
      <c r="R73" t="s">
        <v>615</v>
      </c>
      <c r="S73" t="s">
        <v>36</v>
      </c>
      <c r="T73" t="s">
        <v>36</v>
      </c>
      <c r="U73" t="s">
        <v>616</v>
      </c>
      <c r="V73" t="s">
        <v>36</v>
      </c>
      <c r="W73" t="s">
        <v>617</v>
      </c>
      <c r="X73" t="s">
        <v>36</v>
      </c>
      <c r="Y73" t="s">
        <v>618</v>
      </c>
      <c r="Z73" t="s">
        <v>36</v>
      </c>
    </row>
    <row r="74">
      <c r="A74" t="s">
        <v>602</v>
      </c>
      <c r="B74" t="s">
        <v>63</v>
      </c>
      <c r="C74" t="s">
        <v>32</v>
      </c>
      <c r="D74" t="s">
        <v>51</v>
      </c>
      <c r="E74">
        <v>7643</v>
      </c>
      <c r="F74">
        <v>55539</v>
      </c>
      <c r="G74">
        <v>38026</v>
      </c>
      <c r="H74">
        <v>30383</v>
      </c>
      <c r="I74">
        <v>54757</v>
      </c>
      <c r="J74" t="str">
        <f>HYPERLINK("https://www.eneba.com/latam/steam-hogwarts-legacy-pc-steam-key-latam","Abrir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52</v>
      </c>
      <c r="M74" t="s">
        <v>31</v>
      </c>
      <c r="N74" t="s">
        <v>32</v>
      </c>
      <c r="O74" t="s">
        <v>619</v>
      </c>
      <c r="P74" t="s">
        <v>620</v>
      </c>
      <c r="Q74" t="s">
        <v>32</v>
      </c>
      <c r="R74" t="s">
        <v>621</v>
      </c>
      <c r="S74" t="s">
        <v>622</v>
      </c>
      <c r="T74" t="s">
        <v>623</v>
      </c>
      <c r="U74" t="s">
        <v>624</v>
      </c>
      <c r="V74" t="s">
        <v>36</v>
      </c>
      <c r="W74" t="s">
        <v>625</v>
      </c>
      <c r="X74" t="s">
        <v>626</v>
      </c>
      <c r="Y74" t="s">
        <v>627</v>
      </c>
      <c r="Z74" t="s">
        <v>628</v>
      </c>
    </row>
    <row r="75">
      <c r="A75" t="s">
        <v>602</v>
      </c>
      <c r="B75" t="s">
        <v>41</v>
      </c>
      <c r="C75" t="s">
        <v>28</v>
      </c>
      <c r="D75" t="s">
        <v>29</v>
      </c>
      <c r="E75">
        <v>5916</v>
      </c>
      <c r="F75">
        <v>55539</v>
      </c>
      <c r="G75">
        <v>30026</v>
      </c>
      <c r="H75">
        <v>24110</v>
      </c>
      <c r="I75">
        <v>43237</v>
      </c>
      <c r="J75" t="str">
        <f>HYPERLINK("https://driffle.com/es/hogwarts-legacy-global-pc-steam-account-p9971523","Abrir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30</v>
      </c>
      <c r="M75" t="s">
        <v>42</v>
      </c>
      <c r="N75" t="s">
        <v>32</v>
      </c>
      <c r="O75" t="s">
        <v>629</v>
      </c>
      <c r="P75" t="s">
        <v>630</v>
      </c>
      <c r="Q75" t="s">
        <v>32</v>
      </c>
      <c r="R75" t="s">
        <v>631</v>
      </c>
      <c r="S75" t="s">
        <v>36</v>
      </c>
      <c r="T75" t="s">
        <v>36</v>
      </c>
      <c r="U75" t="s">
        <v>632</v>
      </c>
      <c r="V75" t="s">
        <v>36</v>
      </c>
      <c r="W75" t="s">
        <v>633</v>
      </c>
      <c r="X75" t="s">
        <v>36</v>
      </c>
      <c r="Y75" t="s">
        <v>634</v>
      </c>
      <c r="Z75" t="s">
        <v>36</v>
      </c>
    </row>
    <row r="76">
      <c r="A76" t="s">
        <v>635</v>
      </c>
      <c r="B76" t="s">
        <v>27</v>
      </c>
      <c r="C76" t="s">
        <v>28</v>
      </c>
      <c r="D76" t="s">
        <v>29</v>
      </c>
      <c r="E76">
        <v>40263</v>
      </c>
      <c r="F76">
        <v>104598</v>
      </c>
      <c r="G76">
        <v>62899</v>
      </c>
      <c r="H76">
        <v>22636</v>
      </c>
      <c r="I76">
        <v>90575</v>
      </c>
      <c r="J76" t="str">
        <f>HYPERLINK("https://driffle.com/es/invincible-vs-deluxe-edition-global-pc-steam-account-p9994203","Abrir compra")</f>
        <v>Abrir compra</v>
      </c>
      <c r="K76" t="str">
        <f>HYPERLINK("https://store.steampowered.com/app/2353060/Invincible_VS/","Abrir Steam")</f>
        <v>Abrir Steam</v>
      </c>
      <c r="L76" t="s">
        <v>30</v>
      </c>
      <c r="M76" t="s">
        <v>42</v>
      </c>
      <c r="N76" t="s">
        <v>32</v>
      </c>
      <c r="O76" t="s">
        <v>636</v>
      </c>
      <c r="P76" t="s">
        <v>637</v>
      </c>
      <c r="Q76" t="s">
        <v>32</v>
      </c>
      <c r="R76" t="s">
        <v>638</v>
      </c>
      <c r="S76" t="s">
        <v>36</v>
      </c>
      <c r="T76" t="s">
        <v>36</v>
      </c>
      <c r="U76" t="s">
        <v>639</v>
      </c>
      <c r="V76" t="s">
        <v>36</v>
      </c>
      <c r="W76" t="s">
        <v>640</v>
      </c>
      <c r="X76" t="s">
        <v>36</v>
      </c>
      <c r="Y76" t="s">
        <v>641</v>
      </c>
      <c r="Z76" t="s">
        <v>36</v>
      </c>
    </row>
    <row r="77">
      <c r="A77" t="s">
        <v>635</v>
      </c>
      <c r="B77" t="s">
        <v>41</v>
      </c>
      <c r="C77" t="s">
        <v>28</v>
      </c>
      <c r="D77" t="s">
        <v>29</v>
      </c>
      <c r="E77">
        <v>22098</v>
      </c>
      <c r="F77">
        <v>69424</v>
      </c>
      <c r="G77">
        <v>41915</v>
      </c>
      <c r="H77">
        <v>19817</v>
      </c>
      <c r="I77">
        <v>60358</v>
      </c>
      <c r="J77" t="str">
        <f>HYPERLINK("https://driffle.com/es/invincible-vs-global-pc-steam-account-p9994202","Abrir compra")</f>
        <v>Abrir compra</v>
      </c>
      <c r="K77" t="str">
        <f>HYPERLINK("https://store.steampowered.com/app/2353060/Invincible_VS/","Abrir Steam")</f>
        <v>Abrir Steam</v>
      </c>
      <c r="L77" t="s">
        <v>30</v>
      </c>
      <c r="M77" t="s">
        <v>42</v>
      </c>
      <c r="N77" t="s">
        <v>32</v>
      </c>
      <c r="O77" t="s">
        <v>642</v>
      </c>
      <c r="P77" t="s">
        <v>643</v>
      </c>
      <c r="Q77" t="s">
        <v>32</v>
      </c>
      <c r="R77" t="s">
        <v>644</v>
      </c>
      <c r="S77" t="s">
        <v>36</v>
      </c>
      <c r="T77" t="s">
        <v>36</v>
      </c>
      <c r="U77" t="s">
        <v>645</v>
      </c>
      <c r="V77" t="s">
        <v>36</v>
      </c>
      <c r="W77" t="s">
        <v>646</v>
      </c>
      <c r="X77" t="s">
        <v>36</v>
      </c>
      <c r="Y77" t="s">
        <v>647</v>
      </c>
      <c r="Z77" t="s">
        <v>36</v>
      </c>
    </row>
    <row r="78">
      <c r="A78" t="s">
        <v>648</v>
      </c>
      <c r="B78" t="s">
        <v>63</v>
      </c>
      <c r="C78" t="s">
        <v>32</v>
      </c>
      <c r="D78" t="s">
        <v>51</v>
      </c>
      <c r="E78">
        <v>70132</v>
      </c>
      <c r="F78">
        <v>74033</v>
      </c>
      <c r="G78">
        <v>85423</v>
      </c>
      <c r="H78">
        <v>15291</v>
      </c>
      <c r="I78">
        <v>123009</v>
      </c>
      <c r="J78" t="str">
        <f>HYPERLINK("https://driffle.com/es/it-takes-two-steam-altergift-p53426","Abrir compra")</f>
        <v>Abrir compra</v>
      </c>
      <c r="K78" t="str">
        <f>HYPERLINK("https://store.steampowered.com/app/1426210/It_Takes_Two/?curator_clanid=4777282","Abrir Steam")</f>
        <v>Abrir Steam</v>
      </c>
      <c r="L78" t="s">
        <v>30</v>
      </c>
      <c r="M78" t="s">
        <v>42</v>
      </c>
      <c r="N78" t="s">
        <v>32</v>
      </c>
      <c r="O78" t="s">
        <v>649</v>
      </c>
      <c r="P78" t="s">
        <v>650</v>
      </c>
      <c r="Q78" t="s">
        <v>32</v>
      </c>
      <c r="R78" t="s">
        <v>651</v>
      </c>
      <c r="S78" t="s">
        <v>36</v>
      </c>
      <c r="T78" t="s">
        <v>652</v>
      </c>
      <c r="U78" t="s">
        <v>653</v>
      </c>
      <c r="V78" t="s">
        <v>36</v>
      </c>
      <c r="W78" t="s">
        <v>654</v>
      </c>
      <c r="X78" t="s">
        <v>655</v>
      </c>
      <c r="Y78" t="s">
        <v>656</v>
      </c>
      <c r="Z78" t="s">
        <v>36</v>
      </c>
    </row>
    <row r="79">
      <c r="A79" t="s">
        <v>648</v>
      </c>
      <c r="B79" t="s">
        <v>41</v>
      </c>
      <c r="C79" t="s">
        <v>28</v>
      </c>
      <c r="D79" t="s">
        <v>29</v>
      </c>
      <c r="E79">
        <v>9034</v>
      </c>
      <c r="F79">
        <v>74033</v>
      </c>
      <c r="G79">
        <v>36034</v>
      </c>
      <c r="H79">
        <v>27000</v>
      </c>
      <c r="I79">
        <v>51889</v>
      </c>
      <c r="J79" t="str">
        <f>HYPERLINK("https://driffle.com/es/it-takes-two-global-pc-steam-account-p9945671","Abrir compra")</f>
        <v>Abrir compra</v>
      </c>
      <c r="K79" t="str">
        <f>HYPERLINK("https://store.steampowered.com/app/1426210/It_Takes_Two/?curator_clanid=4777282","Abrir Steam")</f>
        <v>Abrir Steam</v>
      </c>
      <c r="L79" t="s">
        <v>30</v>
      </c>
      <c r="M79" t="s">
        <v>42</v>
      </c>
      <c r="N79" t="s">
        <v>32</v>
      </c>
      <c r="O79" t="s">
        <v>657</v>
      </c>
      <c r="P79" t="s">
        <v>658</v>
      </c>
      <c r="Q79" t="s">
        <v>32</v>
      </c>
      <c r="R79" t="s">
        <v>659</v>
      </c>
      <c r="S79" t="s">
        <v>660</v>
      </c>
      <c r="T79" t="s">
        <v>36</v>
      </c>
      <c r="U79" t="s">
        <v>661</v>
      </c>
      <c r="V79" t="s">
        <v>36</v>
      </c>
      <c r="W79" t="s">
        <v>662</v>
      </c>
      <c r="X79" t="s">
        <v>36</v>
      </c>
      <c r="Y79" t="s">
        <v>663</v>
      </c>
      <c r="Z79" t="s">
        <v>36</v>
      </c>
    </row>
    <row r="80">
      <c r="A80" t="s">
        <v>664</v>
      </c>
      <c r="B80" t="s">
        <v>294</v>
      </c>
      <c r="C80" t="s">
        <v>32</v>
      </c>
      <c r="D80" t="s">
        <v>51</v>
      </c>
      <c r="E80">
        <v>80414</v>
      </c>
      <c r="F80">
        <v>148085</v>
      </c>
      <c r="G80">
        <v>104804</v>
      </c>
      <c r="H80">
        <v>24390</v>
      </c>
      <c r="I80">
        <v>150918</v>
      </c>
      <c r="J80" t="str">
        <f>HYPERLINK("https://www.loaded.com/es_es/lego-batman-legacy-of-the-dark-knight-deluxe-edition-pc-latam-steam","Abrir compra")</f>
        <v>Abrir compra</v>
      </c>
      <c r="K80" t="str">
        <f>HYPERLINK("https://store.steampowered.com/app/2215200/LEGO_Batman_El_Legado_del_Caballero_Oscuro/","Abrir Steam")</f>
        <v>Abrir Steam</v>
      </c>
      <c r="L80" t="s">
        <v>64</v>
      </c>
      <c r="M80" t="s">
        <v>31</v>
      </c>
      <c r="N80" t="s">
        <v>32</v>
      </c>
      <c r="O80" t="s">
        <v>665</v>
      </c>
      <c r="P80" t="s">
        <v>666</v>
      </c>
      <c r="Q80" t="s">
        <v>32</v>
      </c>
      <c r="R80" t="s">
        <v>667</v>
      </c>
      <c r="S80" t="s">
        <v>36</v>
      </c>
      <c r="T80" t="s">
        <v>668</v>
      </c>
      <c r="U80" t="s">
        <v>669</v>
      </c>
      <c r="V80" t="s">
        <v>670</v>
      </c>
      <c r="W80" t="s">
        <v>671</v>
      </c>
      <c r="X80" t="s">
        <v>672</v>
      </c>
      <c r="Y80" t="s">
        <v>673</v>
      </c>
      <c r="Z80" t="s">
        <v>674</v>
      </c>
    </row>
    <row r="81">
      <c r="A81" t="s">
        <v>664</v>
      </c>
      <c r="B81" t="s">
        <v>63</v>
      </c>
      <c r="C81" t="s">
        <v>32</v>
      </c>
      <c r="D81" t="s">
        <v>51</v>
      </c>
      <c r="E81">
        <v>66950</v>
      </c>
      <c r="F81">
        <v>111059</v>
      </c>
      <c r="G81">
        <v>82756</v>
      </c>
      <c r="H81">
        <v>15806</v>
      </c>
      <c r="I81">
        <v>119169</v>
      </c>
      <c r="J81" t="str">
        <f>HYPERLINK("https://www.eneba.com/latam/steam-lego-r-batmantm-legacy-of-the-dark-knight-steam-key-pc-latam","Abrir compra")</f>
        <v>Abrir compra</v>
      </c>
      <c r="K81" t="str">
        <f>HYPERLINK("https://store.steampowered.com/app/2215200/LEGO_Batman_El_Legado_del_Caballero_Oscuro/","Abrir Steam")</f>
        <v>Abrir Steam</v>
      </c>
      <c r="L81" t="s">
        <v>52</v>
      </c>
      <c r="M81" t="s">
        <v>31</v>
      </c>
      <c r="N81" t="s">
        <v>32</v>
      </c>
      <c r="O81" t="s">
        <v>675</v>
      </c>
      <c r="P81" t="s">
        <v>676</v>
      </c>
      <c r="Q81" t="s">
        <v>32</v>
      </c>
      <c r="R81" t="s">
        <v>677</v>
      </c>
      <c r="S81" t="s">
        <v>36</v>
      </c>
      <c r="T81" t="s">
        <v>678</v>
      </c>
      <c r="U81" t="s">
        <v>679</v>
      </c>
      <c r="V81" t="s">
        <v>36</v>
      </c>
      <c r="W81" t="s">
        <v>680</v>
      </c>
      <c r="X81" t="s">
        <v>681</v>
      </c>
      <c r="Y81" t="s">
        <v>682</v>
      </c>
      <c r="Z81" t="s">
        <v>683</v>
      </c>
    </row>
    <row r="82">
      <c r="A82" t="s">
        <v>684</v>
      </c>
      <c r="B82" t="s">
        <v>294</v>
      </c>
      <c r="C82" t="s">
        <v>32</v>
      </c>
      <c r="D82" t="s">
        <v>51</v>
      </c>
      <c r="E82">
        <v>11721</v>
      </c>
      <c r="F82">
        <v>83309</v>
      </c>
      <c r="G82">
        <v>38721</v>
      </c>
      <c r="H82">
        <v>27000</v>
      </c>
      <c r="I82">
        <v>55758</v>
      </c>
      <c r="J82" t="str">
        <f>HYPERLINK("https://www.eneba.com/latam/steam-marvel-vs-capcom-infinite-deluxe-edition-pc-steam-key-latam","Abrir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52</v>
      </c>
      <c r="M82" t="s">
        <v>31</v>
      </c>
      <c r="N82" t="s">
        <v>32</v>
      </c>
      <c r="O82" t="s">
        <v>685</v>
      </c>
      <c r="P82" t="s">
        <v>686</v>
      </c>
      <c r="Q82" t="s">
        <v>32</v>
      </c>
      <c r="R82" t="s">
        <v>687</v>
      </c>
      <c r="S82" t="s">
        <v>36</v>
      </c>
      <c r="T82" t="s">
        <v>688</v>
      </c>
      <c r="U82" t="s">
        <v>689</v>
      </c>
      <c r="V82" t="s">
        <v>36</v>
      </c>
      <c r="W82" t="s">
        <v>690</v>
      </c>
      <c r="X82" t="s">
        <v>691</v>
      </c>
      <c r="Y82" t="s">
        <v>692</v>
      </c>
      <c r="Z82" t="s">
        <v>693</v>
      </c>
    </row>
    <row r="83">
      <c r="A83" t="s">
        <v>684</v>
      </c>
      <c r="B83" t="s">
        <v>63</v>
      </c>
      <c r="C83" t="s">
        <v>32</v>
      </c>
      <c r="D83" t="s">
        <v>51</v>
      </c>
      <c r="E83">
        <v>7036</v>
      </c>
      <c r="F83">
        <v>53688</v>
      </c>
      <c r="G83">
        <v>34938</v>
      </c>
      <c r="H83">
        <v>27902</v>
      </c>
      <c r="I83">
        <v>50311</v>
      </c>
      <c r="J83" t="str">
        <f>HYPERLINK("https://www.eneba.com/latam/steam-marvel-vs-capcom-infinite-steam-key-latam","Abrir compra")</f>
        <v>Abrir compra</v>
      </c>
      <c r="K83" t="str">
        <f>HYPERLINK("https://store.steampowered.com/app/493840/Marvel_vs_Capcom_Infinite/","Abrir Steam")</f>
        <v>Abrir Steam</v>
      </c>
      <c r="L83" t="s">
        <v>52</v>
      </c>
      <c r="M83" t="s">
        <v>31</v>
      </c>
      <c r="N83" t="s">
        <v>32</v>
      </c>
      <c r="O83" t="s">
        <v>694</v>
      </c>
      <c r="P83" t="s">
        <v>695</v>
      </c>
      <c r="Q83" t="s">
        <v>32</v>
      </c>
      <c r="R83" t="s">
        <v>696</v>
      </c>
      <c r="S83" t="s">
        <v>36</v>
      </c>
      <c r="T83" t="s">
        <v>697</v>
      </c>
      <c r="U83" t="s">
        <v>698</v>
      </c>
      <c r="V83" t="s">
        <v>36</v>
      </c>
      <c r="W83" t="s">
        <v>699</v>
      </c>
      <c r="X83" t="s">
        <v>700</v>
      </c>
      <c r="Y83" t="s">
        <v>701</v>
      </c>
      <c r="Z83" t="s">
        <v>36</v>
      </c>
    </row>
    <row r="84">
      <c r="A84" t="s">
        <v>702</v>
      </c>
      <c r="B84" t="s">
        <v>294</v>
      </c>
      <c r="C84" t="s">
        <v>32</v>
      </c>
      <c r="D84" t="s">
        <v>51</v>
      </c>
      <c r="E84">
        <v>55389</v>
      </c>
      <c r="F84">
        <v>92546</v>
      </c>
      <c r="G84">
        <v>70389</v>
      </c>
      <c r="H84">
        <v>15000</v>
      </c>
      <c r="I84">
        <v>101360</v>
      </c>
      <c r="J84" t="str">
        <f>HYPERLINK("https://driffle.com/es/marvels-spider-man-2-deluxe-edition-latam-pc-steam-digital-key-p9930164","Abrir compra")</f>
        <v>Abrir compra</v>
      </c>
      <c r="K84" t="str">
        <f>HYPERLINK("https://store.steampowered.com/app/2651280/Marvels_SpiderMan_2/","Abrir Steam")</f>
        <v>Abrir Steam</v>
      </c>
      <c r="L84" t="s">
        <v>30</v>
      </c>
      <c r="M84" t="s">
        <v>31</v>
      </c>
      <c r="N84" t="s">
        <v>32</v>
      </c>
      <c r="O84" t="s">
        <v>703</v>
      </c>
      <c r="P84" t="s">
        <v>704</v>
      </c>
      <c r="Q84" t="s">
        <v>32</v>
      </c>
      <c r="R84" t="s">
        <v>705</v>
      </c>
      <c r="S84" t="s">
        <v>36</v>
      </c>
      <c r="T84" t="s">
        <v>36</v>
      </c>
      <c r="U84" t="s">
        <v>706</v>
      </c>
      <c r="V84" t="s">
        <v>36</v>
      </c>
      <c r="W84" t="s">
        <v>707</v>
      </c>
      <c r="X84" t="s">
        <v>708</v>
      </c>
      <c r="Y84" t="s">
        <v>709</v>
      </c>
      <c r="Z84" t="s">
        <v>36</v>
      </c>
    </row>
    <row r="85">
      <c r="A85" t="s">
        <v>702</v>
      </c>
      <c r="B85" t="s">
        <v>63</v>
      </c>
      <c r="C85" t="s">
        <v>32</v>
      </c>
      <c r="D85" t="s">
        <v>51</v>
      </c>
      <c r="E85">
        <v>51472</v>
      </c>
      <c r="F85">
        <v>92546</v>
      </c>
      <c r="G85">
        <v>69410</v>
      </c>
      <c r="H85">
        <v>17938</v>
      </c>
      <c r="I85">
        <v>99950</v>
      </c>
      <c r="J85" t="str">
        <f>HYPERLINK("https://driffle.com/es/marvels-spider-man-2-latam-pc-steam-digital-key-p9930167","Abrir compra")</f>
        <v>Abrir compra</v>
      </c>
      <c r="K85" t="str">
        <f>HYPERLINK("https://store.steampowered.com/app/2651280/Marvels_SpiderMan_2/","Abrir Steam")</f>
        <v>Abrir Steam</v>
      </c>
      <c r="L85" t="s">
        <v>30</v>
      </c>
      <c r="M85" t="s">
        <v>31</v>
      </c>
      <c r="N85" t="s">
        <v>32</v>
      </c>
      <c r="O85" t="s">
        <v>710</v>
      </c>
      <c r="P85" t="s">
        <v>711</v>
      </c>
      <c r="Q85" t="s">
        <v>32</v>
      </c>
      <c r="R85" t="s">
        <v>712</v>
      </c>
      <c r="S85" t="s">
        <v>36</v>
      </c>
      <c r="T85" t="s">
        <v>713</v>
      </c>
      <c r="U85" t="s">
        <v>714</v>
      </c>
      <c r="V85" t="s">
        <v>36</v>
      </c>
      <c r="W85" t="s">
        <v>715</v>
      </c>
      <c r="X85" t="s">
        <v>716</v>
      </c>
      <c r="Y85" t="s">
        <v>717</v>
      </c>
      <c r="Z85" t="s">
        <v>36</v>
      </c>
    </row>
    <row r="86">
      <c r="A86" t="s">
        <v>718</v>
      </c>
      <c r="B86" t="s">
        <v>63</v>
      </c>
      <c r="C86" t="s">
        <v>32</v>
      </c>
      <c r="D86" t="s">
        <v>51</v>
      </c>
      <c r="E86">
        <v>37113</v>
      </c>
      <c r="F86">
        <v>111059</v>
      </c>
      <c r="G86">
        <v>64113</v>
      </c>
      <c r="H86">
        <v>27000</v>
      </c>
      <c r="I86">
        <v>92323</v>
      </c>
      <c r="J86" t="str">
        <f>HYPERLINK("https://www.eneba.com/latam/steam-marvels-spider-man-remastered-pc-steam-key-latam","Abrir compra")</f>
        <v>Abrir compra</v>
      </c>
      <c r="K86" t="str">
        <f>HYPERLINK("https://store.steampowered.com/app/1817070/Marvels_SpiderMan_Remastered/","Abrir Steam")</f>
        <v>Abrir Steam</v>
      </c>
      <c r="L86" t="s">
        <v>52</v>
      </c>
      <c r="M86" t="s">
        <v>31</v>
      </c>
      <c r="N86" t="s">
        <v>32</v>
      </c>
      <c r="O86" t="s">
        <v>719</v>
      </c>
      <c r="P86" t="s">
        <v>720</v>
      </c>
      <c r="Q86" t="s">
        <v>32</v>
      </c>
      <c r="R86" t="s">
        <v>721</v>
      </c>
      <c r="S86" t="s">
        <v>36</v>
      </c>
      <c r="T86" t="s">
        <v>722</v>
      </c>
      <c r="U86" t="s">
        <v>36</v>
      </c>
      <c r="V86" t="s">
        <v>36</v>
      </c>
      <c r="W86" t="s">
        <v>723</v>
      </c>
      <c r="X86" t="s">
        <v>724</v>
      </c>
      <c r="Y86" t="s">
        <v>725</v>
      </c>
      <c r="Z86" t="s">
        <v>726</v>
      </c>
    </row>
    <row r="87">
      <c r="A87" t="s">
        <v>727</v>
      </c>
      <c r="B87" t="s">
        <v>63</v>
      </c>
      <c r="C87" t="s">
        <v>32</v>
      </c>
      <c r="D87" t="s">
        <v>51</v>
      </c>
      <c r="E87">
        <v>24241</v>
      </c>
      <c r="F87">
        <v>92546</v>
      </c>
      <c r="G87">
        <v>51241</v>
      </c>
      <c r="H87">
        <v>27000</v>
      </c>
      <c r="I87">
        <v>73787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52</v>
      </c>
      <c r="M87" t="s">
        <v>31</v>
      </c>
      <c r="N87" t="s">
        <v>32</v>
      </c>
      <c r="O87" t="s">
        <v>728</v>
      </c>
      <c r="P87" t="s">
        <v>729</v>
      </c>
      <c r="Q87" t="s">
        <v>32</v>
      </c>
      <c r="R87" t="s">
        <v>730</v>
      </c>
      <c r="S87" t="s">
        <v>36</v>
      </c>
      <c r="T87" t="s">
        <v>731</v>
      </c>
      <c r="U87" t="s">
        <v>732</v>
      </c>
      <c r="V87" t="s">
        <v>36</v>
      </c>
      <c r="W87" t="s">
        <v>733</v>
      </c>
      <c r="X87" t="s">
        <v>734</v>
      </c>
      <c r="Y87" t="s">
        <v>735</v>
      </c>
      <c r="Z87" t="s">
        <v>736</v>
      </c>
    </row>
    <row r="88">
      <c r="A88" t="s">
        <v>737</v>
      </c>
      <c r="B88" t="s">
        <v>738</v>
      </c>
      <c r="C88" t="s">
        <v>32</v>
      </c>
      <c r="D88" t="s">
        <v>51</v>
      </c>
      <c r="E88">
        <v>203057</v>
      </c>
      <c r="F88">
        <v>370241</v>
      </c>
      <c r="G88">
        <v>230057</v>
      </c>
      <c r="H88">
        <v>27000</v>
      </c>
      <c r="I88">
        <v>331282</v>
      </c>
      <c r="J88" t="str">
        <f>HYPERLINK("https://www.loaded.com/es_es/microsoft-flight-simulator-2024-aviator-edition-pc-steam","Abrir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64</v>
      </c>
      <c r="M88" t="s">
        <v>42</v>
      </c>
      <c r="N88" t="s">
        <v>32</v>
      </c>
      <c r="O88" t="s">
        <v>739</v>
      </c>
      <c r="P88" t="s">
        <v>740</v>
      </c>
      <c r="Q88" t="s">
        <v>32</v>
      </c>
      <c r="R88" t="s">
        <v>741</v>
      </c>
      <c r="S88" t="s">
        <v>36</v>
      </c>
      <c r="T88" t="s">
        <v>36</v>
      </c>
      <c r="U88" t="s">
        <v>36</v>
      </c>
      <c r="V88" t="s">
        <v>742</v>
      </c>
      <c r="W88" t="s">
        <v>36</v>
      </c>
      <c r="X88" t="s">
        <v>36</v>
      </c>
      <c r="Y88" t="s">
        <v>36</v>
      </c>
      <c r="Z88" t="s">
        <v>743</v>
      </c>
    </row>
    <row r="89">
      <c r="A89" t="s">
        <v>737</v>
      </c>
      <c r="B89" t="s">
        <v>744</v>
      </c>
      <c r="C89" t="s">
        <v>32</v>
      </c>
      <c r="D89" t="s">
        <v>51</v>
      </c>
      <c r="E89">
        <v>102320</v>
      </c>
      <c r="F89">
        <v>185111</v>
      </c>
      <c r="G89">
        <v>137320</v>
      </c>
      <c r="H89">
        <v>35000</v>
      </c>
      <c r="I89">
        <v>197741</v>
      </c>
      <c r="J89" t="str">
        <f>HYPERLINK("https://www.loaded.com/es_es/microsoft-flight-simulator-2024-deluxe-edition-pc-steam","Abrir compra")</f>
        <v>Abrir compra</v>
      </c>
      <c r="K89" t="str">
        <f>HYPERLINK("https://store.steampowered.com/app/2537590/Microsoft_Flight_Simulator_2024/","Abrir Steam")</f>
        <v>Abrir Steam</v>
      </c>
      <c r="L89" t="s">
        <v>64</v>
      </c>
      <c r="M89" t="s">
        <v>42</v>
      </c>
      <c r="N89" t="s">
        <v>32</v>
      </c>
      <c r="O89" t="s">
        <v>745</v>
      </c>
      <c r="P89" t="s">
        <v>746</v>
      </c>
      <c r="Q89" t="s">
        <v>32</v>
      </c>
      <c r="R89" t="s">
        <v>747</v>
      </c>
      <c r="S89" t="s">
        <v>36</v>
      </c>
      <c r="T89" t="s">
        <v>36</v>
      </c>
      <c r="U89" t="s">
        <v>36</v>
      </c>
      <c r="V89" t="s">
        <v>748</v>
      </c>
      <c r="W89" t="s">
        <v>36</v>
      </c>
      <c r="X89" t="s">
        <v>36</v>
      </c>
      <c r="Y89" t="s">
        <v>36</v>
      </c>
      <c r="Z89" t="s">
        <v>749</v>
      </c>
    </row>
    <row r="90">
      <c r="A90" t="s">
        <v>737</v>
      </c>
      <c r="B90" t="s">
        <v>590</v>
      </c>
      <c r="C90" t="s">
        <v>32</v>
      </c>
      <c r="D90" t="s">
        <v>51</v>
      </c>
      <c r="E90">
        <v>73538</v>
      </c>
      <c r="F90">
        <v>129572</v>
      </c>
      <c r="G90">
        <v>95398</v>
      </c>
      <c r="H90">
        <v>21860</v>
      </c>
      <c r="I90">
        <v>137373</v>
      </c>
      <c r="J90" t="str">
        <f>HYPERLINK("https://www.loaded.com/es_es/microsoft-flight-simulator-2024-pc-steam","Abrir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64</v>
      </c>
      <c r="M90" t="s">
        <v>42</v>
      </c>
      <c r="N90" t="s">
        <v>32</v>
      </c>
      <c r="O90" t="s">
        <v>750</v>
      </c>
      <c r="P90" t="s">
        <v>751</v>
      </c>
      <c r="Q90" t="s">
        <v>32</v>
      </c>
      <c r="R90" t="s">
        <v>752</v>
      </c>
      <c r="S90" t="s">
        <v>36</v>
      </c>
      <c r="T90" t="s">
        <v>36</v>
      </c>
      <c r="U90" t="s">
        <v>36</v>
      </c>
      <c r="V90" t="s">
        <v>753</v>
      </c>
      <c r="W90" t="s">
        <v>36</v>
      </c>
      <c r="X90" t="s">
        <v>36</v>
      </c>
      <c r="Y90" t="s">
        <v>36</v>
      </c>
      <c r="Z90" t="s">
        <v>754</v>
      </c>
    </row>
    <row r="91">
      <c r="A91" t="s">
        <v>737</v>
      </c>
      <c r="B91" t="s">
        <v>41</v>
      </c>
      <c r="C91" t="s">
        <v>28</v>
      </c>
      <c r="D91" t="s">
        <v>29</v>
      </c>
      <c r="E91">
        <v>66055</v>
      </c>
      <c r="F91">
        <v>129572</v>
      </c>
      <c r="G91">
        <v>82955</v>
      </c>
      <c r="H91">
        <v>16900</v>
      </c>
      <c r="I91">
        <v>119455</v>
      </c>
      <c r="J91" t="str">
        <f>HYPERLINK("https://driffle.com/es/microsoft-flight-simulator-2024-global-pc-steam-account-p9971540","Abrir compra")</f>
        <v>Abrir compra</v>
      </c>
      <c r="K91" t="str">
        <f>HYPERLINK("https://store.steampowered.com/app/2537590/Microsoft_Flight_Simulator_2024/","Abrir Steam")</f>
        <v>Abrir Steam</v>
      </c>
      <c r="L91" t="s">
        <v>30</v>
      </c>
      <c r="M91" t="s">
        <v>31</v>
      </c>
      <c r="N91" t="s">
        <v>32</v>
      </c>
      <c r="O91" t="s">
        <v>755</v>
      </c>
      <c r="P91" t="s">
        <v>756</v>
      </c>
      <c r="Q91" t="s">
        <v>32</v>
      </c>
      <c r="R91" t="s">
        <v>757</v>
      </c>
      <c r="S91" t="s">
        <v>36</v>
      </c>
      <c r="T91" t="s">
        <v>36</v>
      </c>
      <c r="U91" t="s">
        <v>758</v>
      </c>
      <c r="V91" t="s">
        <v>36</v>
      </c>
      <c r="W91" t="s">
        <v>759</v>
      </c>
      <c r="X91" t="s">
        <v>36</v>
      </c>
      <c r="Y91" t="s">
        <v>760</v>
      </c>
      <c r="Z91" t="s">
        <v>36</v>
      </c>
    </row>
    <row r="92">
      <c r="A92" t="s">
        <v>737</v>
      </c>
      <c r="B92" t="s">
        <v>761</v>
      </c>
      <c r="C92" t="s">
        <v>32</v>
      </c>
      <c r="D92" t="s">
        <v>51</v>
      </c>
      <c r="E92">
        <v>132701</v>
      </c>
      <c r="F92">
        <v>240650</v>
      </c>
      <c r="G92">
        <v>159701</v>
      </c>
      <c r="H92">
        <v>27000</v>
      </c>
      <c r="I92">
        <v>229969</v>
      </c>
      <c r="J92" t="str">
        <f>HYPERLINK("https://www.loaded.com/es_es/microsoft-flight-simulator-2024-premium-deluxe-edition-pc-steam","Abrir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64</v>
      </c>
      <c r="M92" t="s">
        <v>42</v>
      </c>
      <c r="N92" t="s">
        <v>32</v>
      </c>
      <c r="O92" t="s">
        <v>762</v>
      </c>
      <c r="P92" t="s">
        <v>763</v>
      </c>
      <c r="Q92" t="s">
        <v>32</v>
      </c>
      <c r="R92" t="s">
        <v>764</v>
      </c>
      <c r="S92" t="s">
        <v>36</v>
      </c>
      <c r="T92" t="s">
        <v>36</v>
      </c>
      <c r="U92" t="s">
        <v>36</v>
      </c>
      <c r="V92" t="s">
        <v>765</v>
      </c>
      <c r="W92" t="s">
        <v>36</v>
      </c>
      <c r="X92" t="s">
        <v>36</v>
      </c>
      <c r="Y92" t="s">
        <v>36</v>
      </c>
      <c r="Z92" t="s">
        <v>766</v>
      </c>
    </row>
    <row r="93">
      <c r="A93" t="s">
        <v>767</v>
      </c>
      <c r="B93" t="s">
        <v>63</v>
      </c>
      <c r="C93" t="s">
        <v>32</v>
      </c>
      <c r="D93" t="s">
        <v>51</v>
      </c>
      <c r="E93">
        <v>38408</v>
      </c>
      <c r="F93">
        <v>53688</v>
      </c>
      <c r="G93">
        <v>56595</v>
      </c>
      <c r="H93">
        <v>18187</v>
      </c>
      <c r="I93">
        <v>81497</v>
      </c>
      <c r="J93" t="str">
        <f>HYPERLINK("https://www.eneba.com/latam/steam-monster-hunter-wilds-pc-steam-key-latam","Abrir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52</v>
      </c>
      <c r="M93" t="s">
        <v>31</v>
      </c>
      <c r="N93" t="s">
        <v>32</v>
      </c>
      <c r="O93" t="s">
        <v>768</v>
      </c>
      <c r="P93" t="s">
        <v>769</v>
      </c>
      <c r="Q93" t="s">
        <v>32</v>
      </c>
      <c r="R93" t="s">
        <v>770</v>
      </c>
      <c r="S93" t="s">
        <v>771</v>
      </c>
      <c r="T93" t="s">
        <v>772</v>
      </c>
      <c r="U93" t="s">
        <v>36</v>
      </c>
      <c r="V93" t="s">
        <v>36</v>
      </c>
      <c r="W93" t="s">
        <v>773</v>
      </c>
      <c r="X93" t="s">
        <v>774</v>
      </c>
      <c r="Y93" t="s">
        <v>775</v>
      </c>
      <c r="Z93" t="s">
        <v>36</v>
      </c>
    </row>
    <row r="94">
      <c r="A94" t="s">
        <v>776</v>
      </c>
      <c r="B94" t="s">
        <v>777</v>
      </c>
      <c r="C94" t="s">
        <v>32</v>
      </c>
      <c r="D94" t="s">
        <v>51</v>
      </c>
      <c r="E94">
        <v>22482</v>
      </c>
      <c r="F94">
        <v>111059</v>
      </c>
      <c r="G94">
        <v>57482</v>
      </c>
      <c r="H94">
        <v>35000</v>
      </c>
      <c r="I94">
        <v>82774</v>
      </c>
      <c r="J94" t="str">
        <f>HYPERLINK("https://www.eneba.com/latam/steam-mortal-kombat-1-definitive-edition-steam-key-pc-latam","Abrir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52</v>
      </c>
      <c r="M94" t="s">
        <v>31</v>
      </c>
      <c r="N94" t="s">
        <v>32</v>
      </c>
      <c r="O94" t="s">
        <v>778</v>
      </c>
      <c r="P94" t="s">
        <v>779</v>
      </c>
      <c r="Q94" t="s">
        <v>32</v>
      </c>
      <c r="R94" t="s">
        <v>780</v>
      </c>
      <c r="S94" t="s">
        <v>36</v>
      </c>
      <c r="T94" t="s">
        <v>781</v>
      </c>
      <c r="U94" t="s">
        <v>782</v>
      </c>
      <c r="V94" t="s">
        <v>783</v>
      </c>
      <c r="W94" t="s">
        <v>784</v>
      </c>
      <c r="X94" t="s">
        <v>785</v>
      </c>
      <c r="Y94" t="s">
        <v>786</v>
      </c>
      <c r="Z94" t="s">
        <v>787</v>
      </c>
    </row>
    <row r="95">
      <c r="A95" t="s">
        <v>776</v>
      </c>
      <c r="B95" t="s">
        <v>788</v>
      </c>
      <c r="C95" t="s">
        <v>28</v>
      </c>
      <c r="D95" t="s">
        <v>29</v>
      </c>
      <c r="E95">
        <v>41526</v>
      </c>
      <c r="F95">
        <v>111059</v>
      </c>
      <c r="G95">
        <v>65923</v>
      </c>
      <c r="H95">
        <v>24397</v>
      </c>
      <c r="I95">
        <v>94929</v>
      </c>
      <c r="J95" t="str">
        <f>HYPERLINK("https://www.kinguin.net/es/category/405683/mortal-kombat-1-definitive-edition-pc-steam-account","Abrir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153</v>
      </c>
      <c r="M95" t="s">
        <v>65</v>
      </c>
      <c r="N95" t="s">
        <v>32</v>
      </c>
      <c r="O95" t="s">
        <v>789</v>
      </c>
      <c r="P95" t="s">
        <v>790</v>
      </c>
      <c r="Q95" t="s">
        <v>32</v>
      </c>
      <c r="R95" t="s">
        <v>791</v>
      </c>
      <c r="S95" t="s">
        <v>792</v>
      </c>
      <c r="T95" t="s">
        <v>36</v>
      </c>
      <c r="U95" t="s">
        <v>36</v>
      </c>
      <c r="V95" t="s">
        <v>36</v>
      </c>
      <c r="W95" t="s">
        <v>793</v>
      </c>
      <c r="X95" t="s">
        <v>36</v>
      </c>
      <c r="Y95" t="s">
        <v>36</v>
      </c>
      <c r="Z95" t="s">
        <v>36</v>
      </c>
    </row>
    <row r="96">
      <c r="A96" t="s">
        <v>776</v>
      </c>
      <c r="B96" t="s">
        <v>63</v>
      </c>
      <c r="C96" t="s">
        <v>32</v>
      </c>
      <c r="D96" t="s">
        <v>51</v>
      </c>
      <c r="E96">
        <v>12744</v>
      </c>
      <c r="F96">
        <v>74033</v>
      </c>
      <c r="G96">
        <v>47744</v>
      </c>
      <c r="H96">
        <v>35000</v>
      </c>
      <c r="I96">
        <v>68751</v>
      </c>
      <c r="J96" t="str">
        <f>HYPERLINK("https://www.eneba.com/latam/steam-mortal-kombat-1-pc-steam-key-latam","Abrir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52</v>
      </c>
      <c r="M96" t="s">
        <v>31</v>
      </c>
      <c r="N96" t="s">
        <v>32</v>
      </c>
      <c r="O96" t="s">
        <v>794</v>
      </c>
      <c r="P96" t="s">
        <v>795</v>
      </c>
      <c r="Q96" t="s">
        <v>32</v>
      </c>
      <c r="R96" t="s">
        <v>796</v>
      </c>
      <c r="S96" t="s">
        <v>797</v>
      </c>
      <c r="T96" t="s">
        <v>798</v>
      </c>
      <c r="U96" t="s">
        <v>799</v>
      </c>
      <c r="V96" t="s">
        <v>36</v>
      </c>
      <c r="W96" t="s">
        <v>800</v>
      </c>
      <c r="X96" t="s">
        <v>801</v>
      </c>
      <c r="Y96" t="s">
        <v>802</v>
      </c>
      <c r="Z96" t="s">
        <v>803</v>
      </c>
    </row>
    <row r="97">
      <c r="A97" t="s">
        <v>776</v>
      </c>
      <c r="B97" t="s">
        <v>41</v>
      </c>
      <c r="C97" t="s">
        <v>28</v>
      </c>
      <c r="D97" t="s">
        <v>29</v>
      </c>
      <c r="E97">
        <v>15127</v>
      </c>
      <c r="F97">
        <v>74033</v>
      </c>
      <c r="G97">
        <v>40923</v>
      </c>
      <c r="H97">
        <v>25796</v>
      </c>
      <c r="I97">
        <v>58929</v>
      </c>
      <c r="J97" t="str">
        <f>HYPERLINK("https://www.kinguin.net/es/category/185707/mortal-kombat-1-steam-account","Abrir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153</v>
      </c>
      <c r="M97" t="s">
        <v>65</v>
      </c>
      <c r="N97" t="s">
        <v>32</v>
      </c>
      <c r="O97" t="s">
        <v>804</v>
      </c>
      <c r="P97" t="s">
        <v>805</v>
      </c>
      <c r="Q97" t="s">
        <v>32</v>
      </c>
      <c r="R97" t="s">
        <v>806</v>
      </c>
      <c r="S97" t="s">
        <v>807</v>
      </c>
      <c r="T97" t="s">
        <v>36</v>
      </c>
      <c r="U97" t="s">
        <v>36</v>
      </c>
      <c r="V97" t="s">
        <v>36</v>
      </c>
      <c r="W97" t="s">
        <v>808</v>
      </c>
      <c r="X97" t="s">
        <v>36</v>
      </c>
      <c r="Y97" t="s">
        <v>36</v>
      </c>
      <c r="Z97" t="s">
        <v>36</v>
      </c>
    </row>
    <row r="98">
      <c r="A98" t="s">
        <v>809</v>
      </c>
      <c r="B98" t="s">
        <v>63</v>
      </c>
      <c r="C98" t="s">
        <v>32</v>
      </c>
      <c r="D98" t="s">
        <v>51</v>
      </c>
      <c r="E98">
        <v>15558</v>
      </c>
      <c r="F98">
        <v>129572</v>
      </c>
      <c r="G98">
        <v>45953</v>
      </c>
      <c r="H98">
        <v>30395</v>
      </c>
      <c r="I98">
        <v>66172</v>
      </c>
      <c r="J98" t="str">
        <f>HYPERLINK("https://www.eneba.com/latam/steam-nba-2k26-steam-key-pc-global","Abrir compra")</f>
        <v>Abrir compra</v>
      </c>
      <c r="K98" t="str">
        <f>HYPERLINK("https://store.steampowered.com/app/3472040/NBA_2K26/","Abrir Steam")</f>
        <v>Abrir Steam</v>
      </c>
      <c r="L98" t="s">
        <v>52</v>
      </c>
      <c r="M98" t="s">
        <v>42</v>
      </c>
      <c r="N98" t="s">
        <v>32</v>
      </c>
      <c r="O98" t="s">
        <v>810</v>
      </c>
      <c r="P98" t="s">
        <v>811</v>
      </c>
      <c r="Q98" t="s">
        <v>32</v>
      </c>
      <c r="R98" t="s">
        <v>812</v>
      </c>
      <c r="S98" t="s">
        <v>36</v>
      </c>
      <c r="T98" t="s">
        <v>813</v>
      </c>
      <c r="U98" t="s">
        <v>814</v>
      </c>
      <c r="V98" t="s">
        <v>815</v>
      </c>
      <c r="W98" t="s">
        <v>816</v>
      </c>
      <c r="X98" t="s">
        <v>817</v>
      </c>
      <c r="Y98" t="s">
        <v>818</v>
      </c>
      <c r="Z98" t="s">
        <v>819</v>
      </c>
    </row>
    <row r="99">
      <c r="A99" t="s">
        <v>809</v>
      </c>
      <c r="B99" t="s">
        <v>41</v>
      </c>
      <c r="C99" t="s">
        <v>28</v>
      </c>
      <c r="D99" t="s">
        <v>29</v>
      </c>
      <c r="E99">
        <v>10953</v>
      </c>
      <c r="F99">
        <v>129572</v>
      </c>
      <c r="G99">
        <v>37953</v>
      </c>
      <c r="H99">
        <v>27000</v>
      </c>
      <c r="I99">
        <v>54652</v>
      </c>
      <c r="J99" t="str">
        <f>HYPERLINK("https://driffle.com/es/nba-2k26-global-pc-steam-account-p9979521","Abrir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42</v>
      </c>
      <c r="N99" t="s">
        <v>32</v>
      </c>
      <c r="O99" t="s">
        <v>820</v>
      </c>
      <c r="P99" t="s">
        <v>821</v>
      </c>
      <c r="Q99" t="s">
        <v>32</v>
      </c>
      <c r="R99" t="s">
        <v>822</v>
      </c>
      <c r="S99" t="s">
        <v>36</v>
      </c>
      <c r="T99" t="s">
        <v>36</v>
      </c>
      <c r="U99" t="s">
        <v>823</v>
      </c>
      <c r="V99" t="s">
        <v>36</v>
      </c>
      <c r="W99" t="s">
        <v>824</v>
      </c>
      <c r="X99" t="s">
        <v>36</v>
      </c>
      <c r="Y99" t="s">
        <v>825</v>
      </c>
      <c r="Z99" t="s">
        <v>36</v>
      </c>
    </row>
    <row r="100">
      <c r="A100" t="s">
        <v>809</v>
      </c>
      <c r="B100" t="s">
        <v>826</v>
      </c>
      <c r="C100" t="s">
        <v>32</v>
      </c>
      <c r="D100" t="s">
        <v>51</v>
      </c>
      <c r="E100">
        <v>17413</v>
      </c>
      <c r="F100">
        <v>148085</v>
      </c>
      <c r="G100">
        <v>52413</v>
      </c>
      <c r="H100">
        <v>35000</v>
      </c>
      <c r="I100">
        <v>75475</v>
      </c>
      <c r="J100" t="str">
        <f>HYPERLINK("https://www.loaded.com/es_es/nba-2k26-slam-edition-pc-steam","Abrir compra")</f>
        <v>Abrir compra</v>
      </c>
      <c r="K100" t="str">
        <f>HYPERLINK("https://store.steampowered.com/app/3472040/NBA_2K26/","Abrir Steam")</f>
        <v>Abrir Steam</v>
      </c>
      <c r="L100" t="s">
        <v>64</v>
      </c>
      <c r="M100" t="s">
        <v>65</v>
      </c>
      <c r="N100" t="s">
        <v>32</v>
      </c>
      <c r="O100" t="s">
        <v>827</v>
      </c>
      <c r="P100" t="s">
        <v>828</v>
      </c>
      <c r="Q100" t="s">
        <v>32</v>
      </c>
      <c r="R100" t="s">
        <v>829</v>
      </c>
      <c r="S100" t="s">
        <v>36</v>
      </c>
      <c r="T100" t="s">
        <v>830</v>
      </c>
      <c r="U100" t="s">
        <v>831</v>
      </c>
      <c r="V100" t="s">
        <v>815</v>
      </c>
      <c r="W100" t="s">
        <v>832</v>
      </c>
      <c r="X100" t="s">
        <v>833</v>
      </c>
      <c r="Y100" t="s">
        <v>834</v>
      </c>
      <c r="Z100" t="s">
        <v>835</v>
      </c>
    </row>
    <row r="101">
      <c r="A101" t="s">
        <v>809</v>
      </c>
      <c r="B101" t="s">
        <v>836</v>
      </c>
      <c r="C101" t="s">
        <v>28</v>
      </c>
      <c r="D101" t="s">
        <v>29</v>
      </c>
      <c r="E101">
        <v>23649</v>
      </c>
      <c r="F101">
        <v>148085</v>
      </c>
      <c r="G101">
        <v>50649</v>
      </c>
      <c r="H101">
        <v>27000</v>
      </c>
      <c r="I101">
        <v>72935</v>
      </c>
      <c r="J101" t="str">
        <f>HYPERLINK("https://www.kinguin.net/es/category/426616/nba-2k26-slam-edition-pc-steam-account","Abrir compra")</f>
        <v>Abrir compra</v>
      </c>
      <c r="K101" t="str">
        <f>HYPERLINK("https://store.steampowered.com/app/3472040/NBA_2K26/","Abrir Steam")</f>
        <v>Abrir Steam</v>
      </c>
      <c r="L101" t="s">
        <v>153</v>
      </c>
      <c r="M101" t="s">
        <v>65</v>
      </c>
      <c r="N101" t="s">
        <v>32</v>
      </c>
      <c r="O101" t="s">
        <v>837</v>
      </c>
      <c r="P101" t="s">
        <v>838</v>
      </c>
      <c r="Q101" t="s">
        <v>32</v>
      </c>
      <c r="R101" t="s">
        <v>839</v>
      </c>
      <c r="S101" t="s">
        <v>840</v>
      </c>
      <c r="T101" t="s">
        <v>36</v>
      </c>
      <c r="U101" t="s">
        <v>841</v>
      </c>
      <c r="V101" t="s">
        <v>36</v>
      </c>
      <c r="W101" t="s">
        <v>842</v>
      </c>
      <c r="X101" t="s">
        <v>36</v>
      </c>
      <c r="Y101" t="s">
        <v>843</v>
      </c>
      <c r="Z101" t="s">
        <v>36</v>
      </c>
    </row>
    <row r="102">
      <c r="A102" t="s">
        <v>809</v>
      </c>
      <c r="B102" t="s">
        <v>844</v>
      </c>
      <c r="C102" t="s">
        <v>32</v>
      </c>
      <c r="D102" t="s">
        <v>51</v>
      </c>
      <c r="E102">
        <v>28286</v>
      </c>
      <c r="F102">
        <v>185111</v>
      </c>
      <c r="G102">
        <v>55286</v>
      </c>
      <c r="H102">
        <v>27000</v>
      </c>
      <c r="I102">
        <v>79612</v>
      </c>
      <c r="J102" t="str">
        <f>HYPERLINK("https://www.loaded.com/es_es/nba-2k26-superstar-edition-pc-steam","Abrir compra")</f>
        <v>Abrir compra</v>
      </c>
      <c r="K102" t="str">
        <f>HYPERLINK("https://store.steampowered.com/app/3472040/NBA_2K26/","Abrir Steam")</f>
        <v>Abrir Steam</v>
      </c>
      <c r="L102" t="s">
        <v>64</v>
      </c>
      <c r="M102" t="s">
        <v>65</v>
      </c>
      <c r="N102" t="s">
        <v>32</v>
      </c>
      <c r="O102" t="s">
        <v>845</v>
      </c>
      <c r="P102" t="s">
        <v>846</v>
      </c>
      <c r="Q102" t="s">
        <v>32</v>
      </c>
      <c r="R102" t="s">
        <v>847</v>
      </c>
      <c r="S102" t="s">
        <v>36</v>
      </c>
      <c r="T102" t="s">
        <v>848</v>
      </c>
      <c r="U102" t="s">
        <v>849</v>
      </c>
      <c r="V102" t="s">
        <v>850</v>
      </c>
      <c r="W102" t="s">
        <v>851</v>
      </c>
      <c r="X102" t="s">
        <v>852</v>
      </c>
      <c r="Y102" t="s">
        <v>853</v>
      </c>
      <c r="Z102" t="s">
        <v>854</v>
      </c>
    </row>
    <row r="103">
      <c r="A103" t="s">
        <v>855</v>
      </c>
      <c r="B103" t="s">
        <v>856</v>
      </c>
      <c r="C103" t="s">
        <v>32</v>
      </c>
      <c r="D103" t="s">
        <v>51</v>
      </c>
      <c r="E103">
        <v>18165</v>
      </c>
      <c r="F103">
        <v>59223</v>
      </c>
      <c r="G103">
        <v>41939</v>
      </c>
      <c r="H103">
        <v>23774</v>
      </c>
      <c r="I103">
        <v>60392</v>
      </c>
      <c r="J103" t="str">
        <f>HYPERLINK("https://www.eneba.com/latam/steam-nier-automata-game-of-the-yorha-edition-steam-key-pc-latam","Abrir compra")</f>
        <v>Abrir compra</v>
      </c>
      <c r="K103" t="str">
        <f>HYPERLINK("https://store.steampowered.com/app/524220/NieRAutomata/?curator_clanid=4777282","Abrir Steam")</f>
        <v>Abrir Steam</v>
      </c>
      <c r="L103" t="s">
        <v>52</v>
      </c>
      <c r="M103" t="s">
        <v>31</v>
      </c>
      <c r="N103" t="s">
        <v>32</v>
      </c>
      <c r="O103" t="s">
        <v>857</v>
      </c>
      <c r="P103" t="s">
        <v>858</v>
      </c>
      <c r="Q103" t="s">
        <v>32</v>
      </c>
      <c r="R103" t="s">
        <v>859</v>
      </c>
      <c r="S103" t="s">
        <v>36</v>
      </c>
      <c r="T103" t="s">
        <v>860</v>
      </c>
      <c r="U103" t="s">
        <v>861</v>
      </c>
      <c r="V103" t="s">
        <v>36</v>
      </c>
      <c r="W103" t="s">
        <v>862</v>
      </c>
      <c r="X103" t="s">
        <v>863</v>
      </c>
      <c r="Y103" t="s">
        <v>864</v>
      </c>
      <c r="Z103" t="s">
        <v>865</v>
      </c>
    </row>
    <row r="104">
      <c r="A104" t="s">
        <v>855</v>
      </c>
      <c r="B104" t="s">
        <v>866</v>
      </c>
      <c r="C104" t="s">
        <v>28</v>
      </c>
      <c r="D104" t="s">
        <v>29</v>
      </c>
      <c r="E104">
        <v>7579</v>
      </c>
      <c r="F104">
        <v>59223</v>
      </c>
      <c r="G104">
        <v>32129</v>
      </c>
      <c r="H104">
        <v>24550</v>
      </c>
      <c r="I104">
        <v>46266</v>
      </c>
      <c r="J104" t="str">
        <f>HYPERLINK("https://driffle.com/es/nier-automata-game-of-the-yorha-edition-global-pc-steam-account-p9979549","Abrir compra")</f>
        <v>Abrir compra</v>
      </c>
      <c r="K104" t="str">
        <f>HYPERLINK("https://store.steampowered.com/app/524220/NieRAutomata/?curator_clanid=4777282","Abrir Steam")</f>
        <v>Abrir Steam</v>
      </c>
      <c r="L104" t="s">
        <v>30</v>
      </c>
      <c r="M104" t="s">
        <v>42</v>
      </c>
      <c r="N104" t="s">
        <v>32</v>
      </c>
      <c r="O104" t="s">
        <v>867</v>
      </c>
      <c r="P104" t="s">
        <v>868</v>
      </c>
      <c r="Q104" t="s">
        <v>32</v>
      </c>
      <c r="R104" t="s">
        <v>869</v>
      </c>
      <c r="S104" t="s">
        <v>870</v>
      </c>
      <c r="T104" t="s">
        <v>36</v>
      </c>
      <c r="U104" t="s">
        <v>871</v>
      </c>
      <c r="V104" t="s">
        <v>36</v>
      </c>
      <c r="W104" t="s">
        <v>872</v>
      </c>
      <c r="X104" t="s">
        <v>36</v>
      </c>
      <c r="Y104" t="s">
        <v>873</v>
      </c>
      <c r="Z104" t="s">
        <v>36</v>
      </c>
    </row>
    <row r="105">
      <c r="A105" t="s">
        <v>874</v>
      </c>
      <c r="B105" t="s">
        <v>294</v>
      </c>
      <c r="C105" t="s">
        <v>32</v>
      </c>
      <c r="D105" t="s">
        <v>51</v>
      </c>
      <c r="E105">
        <v>47522</v>
      </c>
      <c r="F105">
        <v>103654</v>
      </c>
      <c r="G105">
        <v>71653</v>
      </c>
      <c r="H105">
        <v>24131</v>
      </c>
      <c r="I105">
        <v>103180</v>
      </c>
      <c r="J105" t="str">
        <f>HYPERLINK("https://driffle.com/es/persona-3-reload-deluxe-edition-pc-steam-digital-code-p9889103","Abrir compra")</f>
        <v>Abrir compra</v>
      </c>
      <c r="K105" t="str">
        <f>HYPERLINK("https://store.steampowered.com/app/2161700/Persona_3_Reload/","Abrir Steam")</f>
        <v>Abrir Steam</v>
      </c>
      <c r="L105" t="s">
        <v>30</v>
      </c>
      <c r="M105" t="s">
        <v>42</v>
      </c>
      <c r="N105" t="s">
        <v>32</v>
      </c>
      <c r="O105" t="s">
        <v>875</v>
      </c>
      <c r="P105" t="s">
        <v>876</v>
      </c>
      <c r="Q105" t="s">
        <v>32</v>
      </c>
      <c r="R105" t="s">
        <v>877</v>
      </c>
      <c r="S105" t="s">
        <v>36</v>
      </c>
      <c r="T105" t="s">
        <v>36</v>
      </c>
      <c r="U105" t="s">
        <v>878</v>
      </c>
      <c r="V105" t="s">
        <v>36</v>
      </c>
      <c r="W105" t="s">
        <v>879</v>
      </c>
      <c r="X105" t="s">
        <v>880</v>
      </c>
      <c r="Y105" t="s">
        <v>881</v>
      </c>
      <c r="Z105" t="s">
        <v>882</v>
      </c>
    </row>
    <row r="106">
      <c r="A106" t="s">
        <v>874</v>
      </c>
      <c r="B106" t="s">
        <v>63</v>
      </c>
      <c r="C106" t="s">
        <v>32</v>
      </c>
      <c r="D106" t="s">
        <v>51</v>
      </c>
      <c r="E106">
        <v>28430</v>
      </c>
      <c r="F106">
        <v>88844</v>
      </c>
      <c r="G106">
        <v>55430</v>
      </c>
      <c r="H106">
        <v>27000</v>
      </c>
      <c r="I106">
        <v>79819</v>
      </c>
      <c r="J106" t="str">
        <f>HYPERLINK("https://www.eneba.com/latam/steam-persona-3-reload-pc-steam-key-global","Abrir compra")</f>
        <v>Abrir compra</v>
      </c>
      <c r="K106" t="str">
        <f>HYPERLINK("https://store.steampowered.com/app/2161700/Persona_3_Reload/","Abrir Steam")</f>
        <v>Abrir Steam</v>
      </c>
      <c r="L106" t="s">
        <v>52</v>
      </c>
      <c r="M106" t="s">
        <v>42</v>
      </c>
      <c r="N106" t="s">
        <v>32</v>
      </c>
      <c r="O106" t="s">
        <v>883</v>
      </c>
      <c r="P106" t="s">
        <v>884</v>
      </c>
      <c r="Q106" t="s">
        <v>32</v>
      </c>
      <c r="R106" t="s">
        <v>885</v>
      </c>
      <c r="S106" t="s">
        <v>36</v>
      </c>
      <c r="T106" t="s">
        <v>886</v>
      </c>
      <c r="U106" t="s">
        <v>887</v>
      </c>
      <c r="V106" t="s">
        <v>36</v>
      </c>
      <c r="W106" t="s">
        <v>888</v>
      </c>
      <c r="X106" t="s">
        <v>889</v>
      </c>
      <c r="Y106" t="s">
        <v>890</v>
      </c>
      <c r="Z106" t="s">
        <v>891</v>
      </c>
    </row>
    <row r="107">
      <c r="A107" t="s">
        <v>892</v>
      </c>
      <c r="B107" t="s">
        <v>294</v>
      </c>
      <c r="C107" t="s">
        <v>32</v>
      </c>
      <c r="D107" t="s">
        <v>51</v>
      </c>
      <c r="E107">
        <v>76096</v>
      </c>
      <c r="F107">
        <v>98119</v>
      </c>
      <c r="G107">
        <v>91096</v>
      </c>
      <c r="H107">
        <v>15000</v>
      </c>
      <c r="I107">
        <v>131178</v>
      </c>
      <c r="J107" t="str">
        <f>HYPERLINK("https://www.loaded.com/es_es/pragmata-deluxe-edition-pc-steam-latam","Abrir compra")</f>
        <v>Abrir compra</v>
      </c>
      <c r="K107" t="str">
        <f>HYPERLINK("https://store.steampowered.com/app/3357650/PRAGMATA/","Abrir Steam")</f>
        <v>Abrir Steam</v>
      </c>
      <c r="L107" t="s">
        <v>64</v>
      </c>
      <c r="M107" t="s">
        <v>31</v>
      </c>
      <c r="N107" t="s">
        <v>32</v>
      </c>
      <c r="O107" t="s">
        <v>893</v>
      </c>
      <c r="P107" t="s">
        <v>894</v>
      </c>
      <c r="Q107" t="s">
        <v>32</v>
      </c>
      <c r="R107" t="s">
        <v>895</v>
      </c>
      <c r="S107" t="s">
        <v>36</v>
      </c>
      <c r="T107" t="s">
        <v>896</v>
      </c>
      <c r="U107" t="s">
        <v>897</v>
      </c>
      <c r="V107" t="s">
        <v>898</v>
      </c>
      <c r="W107" t="s">
        <v>899</v>
      </c>
      <c r="X107" t="s">
        <v>900</v>
      </c>
      <c r="Y107" t="s">
        <v>901</v>
      </c>
      <c r="Z107" t="s">
        <v>902</v>
      </c>
    </row>
    <row r="108">
      <c r="A108" t="s">
        <v>892</v>
      </c>
      <c r="B108" t="s">
        <v>63</v>
      </c>
      <c r="C108" t="s">
        <v>32</v>
      </c>
      <c r="D108" t="s">
        <v>51</v>
      </c>
      <c r="E108">
        <v>62073</v>
      </c>
      <c r="F108">
        <v>83309</v>
      </c>
      <c r="G108">
        <v>77073</v>
      </c>
      <c r="H108">
        <v>15000</v>
      </c>
      <c r="I108">
        <v>110985</v>
      </c>
      <c r="J108" t="str">
        <f>HYPERLINK("https://www.eneba.com/latam/steam-pragmata-steam-key-pc-latam","Abrir compra")</f>
        <v>Abrir compra</v>
      </c>
      <c r="K108" t="str">
        <f>HYPERLINK("https://store.steampowered.com/app/3357650/PRAGMATA/","Abrir Steam")</f>
        <v>Abrir Steam</v>
      </c>
      <c r="L108" t="s">
        <v>52</v>
      </c>
      <c r="M108" t="s">
        <v>31</v>
      </c>
      <c r="N108" t="s">
        <v>32</v>
      </c>
      <c r="O108" t="s">
        <v>903</v>
      </c>
      <c r="P108" t="s">
        <v>904</v>
      </c>
      <c r="Q108" t="s">
        <v>32</v>
      </c>
      <c r="R108" t="s">
        <v>905</v>
      </c>
      <c r="S108" t="s">
        <v>906</v>
      </c>
      <c r="T108" t="s">
        <v>907</v>
      </c>
      <c r="U108" t="s">
        <v>908</v>
      </c>
      <c r="V108" t="s">
        <v>909</v>
      </c>
      <c r="W108" t="s">
        <v>910</v>
      </c>
      <c r="X108" t="s">
        <v>911</v>
      </c>
      <c r="Y108" t="s">
        <v>912</v>
      </c>
      <c r="Z108" t="s">
        <v>913</v>
      </c>
    </row>
    <row r="109">
      <c r="A109" t="s">
        <v>914</v>
      </c>
      <c r="B109" t="s">
        <v>27</v>
      </c>
      <c r="C109" t="s">
        <v>28</v>
      </c>
      <c r="D109" t="s">
        <v>29</v>
      </c>
      <c r="E109">
        <v>24417</v>
      </c>
      <c r="F109">
        <v>74033</v>
      </c>
      <c r="G109">
        <v>44639</v>
      </c>
      <c r="H109">
        <v>20222</v>
      </c>
      <c r="I109">
        <v>64280</v>
      </c>
      <c r="J109" t="str">
        <f>HYPERLINK("https://www.kinguin.net/es/category/505409/ready-or-not-deluxe-edition-pc-steam-account","Abrir compra")</f>
        <v>Abrir compra</v>
      </c>
      <c r="K109" t="str">
        <f>HYPERLINK("https://store.steampowered.com/app/1144200/Ready_or_Not/","Abrir Steam")</f>
        <v>Abrir Steam</v>
      </c>
      <c r="L109" t="s">
        <v>153</v>
      </c>
      <c r="M109" t="s">
        <v>65</v>
      </c>
      <c r="N109" t="s">
        <v>32</v>
      </c>
      <c r="O109" t="s">
        <v>915</v>
      </c>
      <c r="P109" t="s">
        <v>916</v>
      </c>
      <c r="Q109" t="s">
        <v>32</v>
      </c>
      <c r="R109" t="s">
        <v>917</v>
      </c>
      <c r="S109" t="s">
        <v>918</v>
      </c>
      <c r="T109" t="s">
        <v>36</v>
      </c>
      <c r="U109" t="s">
        <v>36</v>
      </c>
      <c r="V109" t="s">
        <v>36</v>
      </c>
      <c r="W109" t="s">
        <v>919</v>
      </c>
      <c r="X109" t="s">
        <v>36</v>
      </c>
      <c r="Y109" t="s">
        <v>36</v>
      </c>
      <c r="Z109" t="s">
        <v>36</v>
      </c>
    </row>
    <row r="110">
      <c r="A110" t="s">
        <v>914</v>
      </c>
      <c r="B110" t="s">
        <v>63</v>
      </c>
      <c r="C110" t="s">
        <v>32</v>
      </c>
      <c r="D110" t="s">
        <v>51</v>
      </c>
      <c r="E110">
        <v>18341</v>
      </c>
      <c r="F110">
        <v>61074</v>
      </c>
      <c r="G110">
        <v>42341</v>
      </c>
      <c r="H110">
        <v>24000</v>
      </c>
      <c r="I110">
        <v>60971</v>
      </c>
      <c r="J110" t="str">
        <f>HYPERLINK("https://www.eneba.com/latam/steam-ready-or-not-pc-steam-key-latam","Abrir compra")</f>
        <v>Abrir compra</v>
      </c>
      <c r="K110" t="str">
        <f>HYPERLINK("https://store.steampowered.com/app/1144200/Ready_or_Not/","Abrir Steam")</f>
        <v>Abrir Steam</v>
      </c>
      <c r="L110" t="s">
        <v>52</v>
      </c>
      <c r="M110" t="s">
        <v>31</v>
      </c>
      <c r="N110" t="s">
        <v>32</v>
      </c>
      <c r="O110" t="s">
        <v>920</v>
      </c>
      <c r="P110" t="s">
        <v>921</v>
      </c>
      <c r="Q110" t="s">
        <v>32</v>
      </c>
      <c r="R110" t="s">
        <v>922</v>
      </c>
      <c r="S110" t="s">
        <v>923</v>
      </c>
      <c r="T110" t="s">
        <v>924</v>
      </c>
      <c r="U110" t="s">
        <v>925</v>
      </c>
      <c r="V110" t="s">
        <v>608</v>
      </c>
      <c r="W110" t="s">
        <v>926</v>
      </c>
      <c r="X110" t="s">
        <v>927</v>
      </c>
      <c r="Y110" t="s">
        <v>928</v>
      </c>
      <c r="Z110" t="s">
        <v>929</v>
      </c>
    </row>
    <row r="111">
      <c r="A111" t="s">
        <v>914</v>
      </c>
      <c r="B111" t="s">
        <v>41</v>
      </c>
      <c r="C111" t="s">
        <v>28</v>
      </c>
      <c r="D111" t="s">
        <v>29</v>
      </c>
      <c r="E111">
        <v>11305</v>
      </c>
      <c r="F111">
        <v>61074</v>
      </c>
      <c r="G111">
        <v>34341</v>
      </c>
      <c r="H111">
        <v>23036</v>
      </c>
      <c r="I111">
        <v>49451</v>
      </c>
      <c r="J111" t="str">
        <f>HYPERLINK("https://driffle.com/es/ready-or-not-global-pc-steam-account-p9943438","Abrir compra")</f>
        <v>Abrir compra</v>
      </c>
      <c r="K111" t="str">
        <f>HYPERLINK("https://store.steampowered.com/app/1144200/Ready_or_Not/","Abrir Steam")</f>
        <v>Abrir Steam</v>
      </c>
      <c r="L111" t="s">
        <v>30</v>
      </c>
      <c r="M111" t="s">
        <v>42</v>
      </c>
      <c r="N111" t="s">
        <v>32</v>
      </c>
      <c r="O111" t="s">
        <v>930</v>
      </c>
      <c r="P111" t="s">
        <v>931</v>
      </c>
      <c r="Q111" t="s">
        <v>32</v>
      </c>
      <c r="R111" t="s">
        <v>932</v>
      </c>
      <c r="S111" t="s">
        <v>933</v>
      </c>
      <c r="T111" t="s">
        <v>36</v>
      </c>
      <c r="U111" t="s">
        <v>934</v>
      </c>
      <c r="V111" t="s">
        <v>36</v>
      </c>
      <c r="W111" t="s">
        <v>935</v>
      </c>
      <c r="X111" t="s">
        <v>36</v>
      </c>
      <c r="Y111" t="s">
        <v>936</v>
      </c>
      <c r="Z111" t="s">
        <v>36</v>
      </c>
    </row>
    <row r="112">
      <c r="A112" t="s">
        <v>937</v>
      </c>
      <c r="B112" t="s">
        <v>294</v>
      </c>
      <c r="C112" t="s">
        <v>32</v>
      </c>
      <c r="D112" t="s">
        <v>51</v>
      </c>
      <c r="E112">
        <v>12296</v>
      </c>
      <c r="F112">
        <v>72201</v>
      </c>
      <c r="G112">
        <v>39296</v>
      </c>
      <c r="H112">
        <v>27000</v>
      </c>
      <c r="I112">
        <v>56586</v>
      </c>
      <c r="J112" t="str">
        <f>HYPERLINK("https://www.eneba.com/latam/steam-resident-evil-2-biohazard-re-2-deluxe-edition-steam-key-latam","Abrir compra")</f>
        <v>Abrir compra</v>
      </c>
      <c r="K112" t="str">
        <f>HYPERLINK("https://store.steampowered.com/app/883710/Resident_Evil_2/?curator_clanid=4777282","Abrir Steam")</f>
        <v>Abrir Steam</v>
      </c>
      <c r="L112" t="s">
        <v>52</v>
      </c>
      <c r="M112" t="s">
        <v>31</v>
      </c>
      <c r="N112" t="s">
        <v>32</v>
      </c>
      <c r="O112" t="s">
        <v>938</v>
      </c>
      <c r="P112" t="s">
        <v>939</v>
      </c>
      <c r="Q112" t="s">
        <v>32</v>
      </c>
      <c r="R112" t="s">
        <v>940</v>
      </c>
      <c r="S112" t="s">
        <v>36</v>
      </c>
      <c r="T112" t="s">
        <v>941</v>
      </c>
      <c r="U112" t="s">
        <v>942</v>
      </c>
      <c r="V112" t="s">
        <v>36</v>
      </c>
      <c r="W112" t="s">
        <v>943</v>
      </c>
      <c r="X112" t="s">
        <v>944</v>
      </c>
      <c r="Y112" t="s">
        <v>945</v>
      </c>
      <c r="Z112" t="s">
        <v>36</v>
      </c>
    </row>
    <row r="113">
      <c r="A113" t="s">
        <v>937</v>
      </c>
      <c r="B113" t="s">
        <v>63</v>
      </c>
      <c r="C113" t="s">
        <v>32</v>
      </c>
      <c r="D113" t="s">
        <v>51</v>
      </c>
      <c r="E113">
        <v>9610</v>
      </c>
      <c r="F113">
        <v>53688</v>
      </c>
      <c r="G113">
        <v>39102</v>
      </c>
      <c r="H113">
        <v>29492</v>
      </c>
      <c r="I113">
        <v>56307</v>
      </c>
      <c r="J113" t="str">
        <f>HYPERLINK("https://www.eneba.com/latam/steam-resident-evil-2-biohazard-re-2-steam-key-latam","Abrir compra")</f>
        <v>Abrir compra</v>
      </c>
      <c r="K113" t="str">
        <f>HYPERLINK("https://store.steampowered.com/app/883710/Resident_Evil_2/?curator_clanid=4777282","Abrir Steam")</f>
        <v>Abrir Steam</v>
      </c>
      <c r="L113" t="s">
        <v>52</v>
      </c>
      <c r="M113" t="s">
        <v>31</v>
      </c>
      <c r="N113" t="s">
        <v>32</v>
      </c>
      <c r="O113" t="s">
        <v>946</v>
      </c>
      <c r="P113" t="s">
        <v>947</v>
      </c>
      <c r="Q113" t="s">
        <v>32</v>
      </c>
      <c r="R113" t="s">
        <v>948</v>
      </c>
      <c r="S113" t="s">
        <v>36</v>
      </c>
      <c r="T113" t="s">
        <v>949</v>
      </c>
      <c r="U113" t="s">
        <v>950</v>
      </c>
      <c r="V113" t="s">
        <v>36</v>
      </c>
      <c r="W113" t="s">
        <v>951</v>
      </c>
      <c r="X113" t="s">
        <v>952</v>
      </c>
      <c r="Y113" t="s">
        <v>953</v>
      </c>
      <c r="Z113" t="s">
        <v>36</v>
      </c>
    </row>
    <row r="114">
      <c r="A114" t="s">
        <v>937</v>
      </c>
      <c r="B114" t="s">
        <v>41</v>
      </c>
      <c r="C114" t="s">
        <v>28</v>
      </c>
      <c r="D114" t="s">
        <v>29</v>
      </c>
      <c r="E114">
        <v>10409</v>
      </c>
      <c r="F114">
        <v>53688</v>
      </c>
      <c r="G114">
        <v>31102</v>
      </c>
      <c r="H114">
        <v>20693</v>
      </c>
      <c r="I114">
        <v>44787</v>
      </c>
      <c r="J114" t="str">
        <f>HYPERLINK("https://www.kinguin.net/es/category/199156/resident-evil-2-steam-account","Abrir compra")</f>
        <v>Abrir compra</v>
      </c>
      <c r="K114" t="str">
        <f>HYPERLINK("https://store.steampowered.com/app/883710/Resident_Evil_2/?curator_clanid=4777282","Abrir Steam")</f>
        <v>Abrir Steam</v>
      </c>
      <c r="L114" t="s">
        <v>153</v>
      </c>
      <c r="M114" t="s">
        <v>65</v>
      </c>
      <c r="N114" t="s">
        <v>32</v>
      </c>
      <c r="O114" t="s">
        <v>954</v>
      </c>
      <c r="P114" t="s">
        <v>955</v>
      </c>
      <c r="Q114" t="s">
        <v>32</v>
      </c>
      <c r="R114" t="s">
        <v>956</v>
      </c>
      <c r="S114" t="s">
        <v>957</v>
      </c>
      <c r="T114" t="s">
        <v>36</v>
      </c>
      <c r="U114" t="s">
        <v>36</v>
      </c>
      <c r="V114" t="s">
        <v>36</v>
      </c>
      <c r="W114" t="s">
        <v>958</v>
      </c>
      <c r="X114" t="s">
        <v>36</v>
      </c>
      <c r="Y114" t="s">
        <v>36</v>
      </c>
      <c r="Z114" t="s">
        <v>36</v>
      </c>
    </row>
    <row r="115">
      <c r="A115" t="s">
        <v>959</v>
      </c>
      <c r="B115" t="s">
        <v>63</v>
      </c>
      <c r="C115" t="s">
        <v>32</v>
      </c>
      <c r="D115" t="s">
        <v>51</v>
      </c>
      <c r="E115">
        <v>8523</v>
      </c>
      <c r="F115">
        <v>53688</v>
      </c>
      <c r="G115">
        <v>36378</v>
      </c>
      <c r="H115">
        <v>27855</v>
      </c>
      <c r="I115">
        <v>52384</v>
      </c>
      <c r="J115" t="str">
        <f>HYPERLINK("https://www.eneba.com/latam/steam-resident-evil-3-steam-key-latam","Abrir compra")</f>
        <v>Abrir compra</v>
      </c>
      <c r="K115" t="str">
        <f>HYPERLINK("https://store.steampowered.com/app/952060/Resident_Evil_3/?curator_clanid=4777282","Abrir Steam")</f>
        <v>Abrir Steam</v>
      </c>
      <c r="L115" t="s">
        <v>52</v>
      </c>
      <c r="M115" t="s">
        <v>31</v>
      </c>
      <c r="N115" t="s">
        <v>32</v>
      </c>
      <c r="O115" t="s">
        <v>960</v>
      </c>
      <c r="P115" t="s">
        <v>961</v>
      </c>
      <c r="Q115" t="s">
        <v>32</v>
      </c>
      <c r="R115" t="s">
        <v>962</v>
      </c>
      <c r="S115" t="s">
        <v>36</v>
      </c>
      <c r="T115" t="s">
        <v>963</v>
      </c>
      <c r="U115" t="s">
        <v>964</v>
      </c>
      <c r="V115" t="s">
        <v>36</v>
      </c>
      <c r="W115" t="s">
        <v>965</v>
      </c>
      <c r="X115" t="s">
        <v>966</v>
      </c>
      <c r="Y115" t="s">
        <v>967</v>
      </c>
      <c r="Z115" t="s">
        <v>36</v>
      </c>
    </row>
    <row r="116">
      <c r="A116" t="s">
        <v>959</v>
      </c>
      <c r="B116" t="s">
        <v>41</v>
      </c>
      <c r="C116" t="s">
        <v>28</v>
      </c>
      <c r="D116" t="s">
        <v>29</v>
      </c>
      <c r="E116">
        <v>3214</v>
      </c>
      <c r="F116">
        <v>53688</v>
      </c>
      <c r="G116">
        <v>28224</v>
      </c>
      <c r="H116">
        <v>25010</v>
      </c>
      <c r="I116">
        <v>40643</v>
      </c>
      <c r="J116" t="str">
        <f>HYPERLINK("https://www.kinguin.net/es/category/165389/resident-evil-3-steam-account","Abrir compra")</f>
        <v>Abrir compra</v>
      </c>
      <c r="K116" t="str">
        <f>HYPERLINK("https://store.steampowered.com/app/952060/Resident_Evil_3/?curator_clanid=4777282","Abrir Steam")</f>
        <v>Abrir Steam</v>
      </c>
      <c r="L116" t="s">
        <v>153</v>
      </c>
      <c r="M116" t="s">
        <v>65</v>
      </c>
      <c r="N116" t="s">
        <v>32</v>
      </c>
      <c r="O116" t="s">
        <v>968</v>
      </c>
      <c r="P116" t="s">
        <v>969</v>
      </c>
      <c r="Q116" t="s">
        <v>32</v>
      </c>
      <c r="R116" t="s">
        <v>970</v>
      </c>
      <c r="S116" t="s">
        <v>971</v>
      </c>
      <c r="T116" t="s">
        <v>36</v>
      </c>
      <c r="U116" t="s">
        <v>972</v>
      </c>
      <c r="V116" t="s">
        <v>36</v>
      </c>
      <c r="W116" t="s">
        <v>973</v>
      </c>
      <c r="X116" t="s">
        <v>36</v>
      </c>
      <c r="Y116" t="s">
        <v>974</v>
      </c>
      <c r="Z116" t="s">
        <v>36</v>
      </c>
    </row>
    <row r="117">
      <c r="A117" t="s">
        <v>975</v>
      </c>
      <c r="B117" t="s">
        <v>63</v>
      </c>
      <c r="C117" t="s">
        <v>32</v>
      </c>
      <c r="D117" t="s">
        <v>51</v>
      </c>
      <c r="E117">
        <v>11641</v>
      </c>
      <c r="F117">
        <v>53688</v>
      </c>
      <c r="G117">
        <v>34938</v>
      </c>
      <c r="H117">
        <v>23297</v>
      </c>
      <c r="I117">
        <v>50311</v>
      </c>
      <c r="J117" t="str">
        <f>HYPERLINK("https://www.eneba.com/latam/steam-resident-evil-4-pc-steam-key-latam","Abrir compra")</f>
        <v>Abrir compra</v>
      </c>
      <c r="K117" t="str">
        <f>HYPERLINK("https://store.steampowered.com/app/2050650/Resident_Evil_4/","Abrir Steam")</f>
        <v>Abrir Steam</v>
      </c>
      <c r="L117" t="s">
        <v>52</v>
      </c>
      <c r="M117" t="s">
        <v>31</v>
      </c>
      <c r="N117" t="s">
        <v>32</v>
      </c>
      <c r="O117" t="s">
        <v>976</v>
      </c>
      <c r="P117" t="s">
        <v>977</v>
      </c>
      <c r="Q117" t="s">
        <v>32</v>
      </c>
      <c r="R117" t="s">
        <v>978</v>
      </c>
      <c r="S117" t="s">
        <v>979</v>
      </c>
      <c r="T117" t="s">
        <v>980</v>
      </c>
      <c r="U117" t="s">
        <v>981</v>
      </c>
      <c r="V117" t="s">
        <v>36</v>
      </c>
      <c r="W117" t="s">
        <v>982</v>
      </c>
      <c r="X117" t="s">
        <v>983</v>
      </c>
      <c r="Y117" t="s">
        <v>984</v>
      </c>
      <c r="Z117" t="s">
        <v>36</v>
      </c>
    </row>
    <row r="118">
      <c r="A118" t="s">
        <v>975</v>
      </c>
      <c r="B118" t="s">
        <v>985</v>
      </c>
      <c r="C118" t="s">
        <v>32</v>
      </c>
      <c r="D118" t="s">
        <v>51</v>
      </c>
      <c r="E118">
        <v>18532</v>
      </c>
      <c r="F118">
        <v>72201</v>
      </c>
      <c r="G118">
        <v>45532</v>
      </c>
      <c r="H118">
        <v>27000</v>
      </c>
      <c r="I118">
        <v>65566</v>
      </c>
      <c r="J118" t="str">
        <f>HYPERLINK("https://www.eneba.com/latam/steam-resident-evil-4-gold-edition-pc-steam-key-latam","Abrir compra")</f>
        <v>Abrir compra</v>
      </c>
      <c r="K118" t="str">
        <f>HYPERLINK("https://store.steampowered.com/app/2050650/Resident_Evil_4/","Abrir Steam")</f>
        <v>Abrir Steam</v>
      </c>
      <c r="L118" t="s">
        <v>52</v>
      </c>
      <c r="M118" t="s">
        <v>31</v>
      </c>
      <c r="N118" t="s">
        <v>32</v>
      </c>
      <c r="O118" t="s">
        <v>986</v>
      </c>
      <c r="P118" t="s">
        <v>987</v>
      </c>
      <c r="Q118" t="s">
        <v>32</v>
      </c>
      <c r="R118" t="s">
        <v>988</v>
      </c>
      <c r="S118" t="s">
        <v>36</v>
      </c>
      <c r="T118" t="s">
        <v>608</v>
      </c>
      <c r="U118" t="s">
        <v>36</v>
      </c>
      <c r="V118" t="s">
        <v>36</v>
      </c>
      <c r="W118" t="s">
        <v>989</v>
      </c>
      <c r="X118" t="s">
        <v>990</v>
      </c>
      <c r="Y118" t="s">
        <v>36</v>
      </c>
      <c r="Z118" t="s">
        <v>36</v>
      </c>
    </row>
    <row r="119">
      <c r="A119" t="s">
        <v>991</v>
      </c>
      <c r="B119" t="s">
        <v>992</v>
      </c>
      <c r="C119" t="s">
        <v>32</v>
      </c>
      <c r="D119" t="s">
        <v>51</v>
      </c>
      <c r="E119">
        <v>29566</v>
      </c>
      <c r="F119">
        <v>72201</v>
      </c>
      <c r="G119">
        <v>54151</v>
      </c>
      <c r="H119">
        <v>24585</v>
      </c>
      <c r="I119">
        <v>77977</v>
      </c>
      <c r="J119" t="str">
        <f>HYPERLINK("https://www.eneba.com/latam/steam-resident-evil-7-gold-edition-village-gold-edition-pc-steam-key-latam","Abrir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52</v>
      </c>
      <c r="M119" t="s">
        <v>31</v>
      </c>
      <c r="N119" t="s">
        <v>32</v>
      </c>
      <c r="O119" t="s">
        <v>993</v>
      </c>
      <c r="P119" t="s">
        <v>994</v>
      </c>
      <c r="Q119" t="s">
        <v>32</v>
      </c>
      <c r="R119" t="s">
        <v>995</v>
      </c>
      <c r="S119" t="s">
        <v>36</v>
      </c>
      <c r="T119" t="s">
        <v>996</v>
      </c>
      <c r="U119" t="s">
        <v>36</v>
      </c>
      <c r="V119" t="s">
        <v>36</v>
      </c>
      <c r="W119" t="s">
        <v>997</v>
      </c>
      <c r="X119" t="s">
        <v>998</v>
      </c>
      <c r="Y119" t="s">
        <v>999</v>
      </c>
      <c r="Z119" t="s">
        <v>36</v>
      </c>
    </row>
    <row r="120">
      <c r="A120" t="s">
        <v>991</v>
      </c>
      <c r="B120" t="s">
        <v>1000</v>
      </c>
      <c r="C120" t="s">
        <v>28</v>
      </c>
      <c r="D120" t="s">
        <v>29</v>
      </c>
      <c r="E120">
        <v>92982</v>
      </c>
      <c r="F120">
        <v>72201</v>
      </c>
      <c r="G120">
        <v>107982</v>
      </c>
      <c r="H120">
        <v>15000</v>
      </c>
      <c r="I120">
        <v>155494</v>
      </c>
      <c r="J120" t="str">
        <f>HYPERLINK("https://www.kinguin.net/es/category/159039/resident-evil-7-gold-edition-village-gold-edition-bundle-steam-account","Abrir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153</v>
      </c>
      <c r="M120" t="s">
        <v>42</v>
      </c>
      <c r="N120" t="s">
        <v>32</v>
      </c>
      <c r="O120" t="s">
        <v>1001</v>
      </c>
      <c r="P120" t="s">
        <v>1002</v>
      </c>
      <c r="Q120" t="s">
        <v>32</v>
      </c>
      <c r="R120" t="s">
        <v>1003</v>
      </c>
      <c r="S120" t="s">
        <v>1004</v>
      </c>
      <c r="T120" t="s">
        <v>36</v>
      </c>
      <c r="U120" t="s">
        <v>36</v>
      </c>
      <c r="V120" t="s">
        <v>36</v>
      </c>
      <c r="W120" t="s">
        <v>1005</v>
      </c>
      <c r="X120" t="s">
        <v>36</v>
      </c>
      <c r="Y120" t="s">
        <v>36</v>
      </c>
      <c r="Z120" t="s">
        <v>36</v>
      </c>
    </row>
    <row r="121">
      <c r="A121" t="s">
        <v>1006</v>
      </c>
      <c r="B121" t="s">
        <v>63</v>
      </c>
      <c r="C121" t="s">
        <v>32</v>
      </c>
      <c r="D121" t="s">
        <v>51</v>
      </c>
      <c r="E121">
        <v>9930</v>
      </c>
      <c r="F121">
        <v>27770</v>
      </c>
      <c r="G121">
        <v>24930</v>
      </c>
      <c r="H121">
        <v>15000</v>
      </c>
      <c r="I121">
        <v>35899</v>
      </c>
      <c r="J121" t="str">
        <f>HYPERLINK("https://www.eneba.com/latam/steam-resident-evil-7-biohazard-steam-key-latam","Abrir compra")</f>
        <v>Abrir compra</v>
      </c>
      <c r="K121" t="str">
        <f>HYPERLINK("https://store.steampowered.com/app/418370/Resident_Evil_7_Biohazard/","Abrir Steam")</f>
        <v>Abrir Steam</v>
      </c>
      <c r="L121" t="s">
        <v>52</v>
      </c>
      <c r="M121" t="s">
        <v>31</v>
      </c>
      <c r="N121" t="s">
        <v>32</v>
      </c>
      <c r="O121" t="s">
        <v>1007</v>
      </c>
      <c r="P121" t="s">
        <v>1008</v>
      </c>
      <c r="Q121" t="s">
        <v>32</v>
      </c>
      <c r="R121" t="s">
        <v>1009</v>
      </c>
      <c r="S121" t="s">
        <v>36</v>
      </c>
      <c r="T121" t="s">
        <v>1010</v>
      </c>
      <c r="U121" t="s">
        <v>1011</v>
      </c>
      <c r="V121" t="s">
        <v>36</v>
      </c>
      <c r="W121" t="s">
        <v>1012</v>
      </c>
      <c r="X121" t="s">
        <v>1013</v>
      </c>
      <c r="Y121" t="s">
        <v>1014</v>
      </c>
      <c r="Z121" t="s">
        <v>36</v>
      </c>
    </row>
    <row r="122">
      <c r="A122" t="s">
        <v>1006</v>
      </c>
      <c r="B122" t="s">
        <v>985</v>
      </c>
      <c r="C122" t="s">
        <v>32</v>
      </c>
      <c r="D122" t="s">
        <v>51</v>
      </c>
      <c r="E122">
        <v>12040</v>
      </c>
      <c r="F122">
        <v>83309</v>
      </c>
      <c r="G122">
        <v>39040</v>
      </c>
      <c r="H122">
        <v>27000</v>
      </c>
      <c r="I122">
        <v>56218</v>
      </c>
      <c r="J122" t="str">
        <f>HYPERLINK("https://www.eneba.com/latam/steam-resident-evil-7-biohazard-gold-edition-steam-key-latam","Abrir compra")</f>
        <v>Abrir compra</v>
      </c>
      <c r="K122" t="str">
        <f>HYPERLINK("https://store.steampowered.com/app/418370/Resident_Evil_7_Biohazard/","Abrir Steam")</f>
        <v>Abrir Steam</v>
      </c>
      <c r="L122" t="s">
        <v>52</v>
      </c>
      <c r="M122" t="s">
        <v>31</v>
      </c>
      <c r="N122" t="s">
        <v>32</v>
      </c>
      <c r="O122" t="s">
        <v>1015</v>
      </c>
      <c r="P122" t="s">
        <v>1016</v>
      </c>
      <c r="Q122" t="s">
        <v>32</v>
      </c>
      <c r="R122" t="s">
        <v>1017</v>
      </c>
      <c r="S122" t="s">
        <v>1018</v>
      </c>
      <c r="T122" t="s">
        <v>1019</v>
      </c>
      <c r="U122" t="s">
        <v>1020</v>
      </c>
      <c r="V122" t="s">
        <v>36</v>
      </c>
      <c r="W122" t="s">
        <v>1021</v>
      </c>
      <c r="X122" t="s">
        <v>1022</v>
      </c>
      <c r="Y122" t="s">
        <v>1023</v>
      </c>
      <c r="Z122" t="s">
        <v>36</v>
      </c>
    </row>
    <row r="123">
      <c r="A123" t="s">
        <v>1024</v>
      </c>
      <c r="B123" t="s">
        <v>294</v>
      </c>
      <c r="C123" t="s">
        <v>32</v>
      </c>
      <c r="D123" t="s">
        <v>51</v>
      </c>
      <c r="E123">
        <v>72659</v>
      </c>
      <c r="F123">
        <v>111059</v>
      </c>
      <c r="G123">
        <v>87659</v>
      </c>
      <c r="H123">
        <v>15000</v>
      </c>
      <c r="I123">
        <v>126229</v>
      </c>
      <c r="J123" t="str">
        <f>HYPERLINK("https://www.eneba.com/latam/steam-resident-evil-requiem-deluxe-edition-steam-key-pc-latam","Abrir compra")</f>
        <v>Abrir compra</v>
      </c>
      <c r="K123" t="str">
        <f>HYPERLINK("https://store.steampowered.com/app/3764200/Resident_Evil_Requiem/","Abrir Steam")</f>
        <v>Abrir Steam</v>
      </c>
      <c r="L123" t="s">
        <v>52</v>
      </c>
      <c r="M123" t="s">
        <v>31</v>
      </c>
      <c r="N123" t="s">
        <v>32</v>
      </c>
      <c r="O123" t="s">
        <v>1025</v>
      </c>
      <c r="P123" t="s">
        <v>1026</v>
      </c>
      <c r="Q123" t="s">
        <v>32</v>
      </c>
      <c r="R123" t="s">
        <v>1027</v>
      </c>
      <c r="S123" t="s">
        <v>36</v>
      </c>
      <c r="T123" t="s">
        <v>1028</v>
      </c>
      <c r="U123" t="s">
        <v>188</v>
      </c>
      <c r="V123" t="s">
        <v>36</v>
      </c>
      <c r="W123" t="s">
        <v>1029</v>
      </c>
      <c r="X123" t="s">
        <v>1030</v>
      </c>
      <c r="Y123" t="s">
        <v>1031</v>
      </c>
      <c r="Z123" t="s">
        <v>1032</v>
      </c>
    </row>
    <row r="124">
      <c r="A124" t="s">
        <v>1024</v>
      </c>
      <c r="B124" t="s">
        <v>63</v>
      </c>
      <c r="C124" t="s">
        <v>32</v>
      </c>
      <c r="D124" t="s">
        <v>51</v>
      </c>
      <c r="E124">
        <v>63800</v>
      </c>
      <c r="F124">
        <v>98119</v>
      </c>
      <c r="G124">
        <v>78800</v>
      </c>
      <c r="H124">
        <v>15000</v>
      </c>
      <c r="I124">
        <v>113472</v>
      </c>
      <c r="J124" t="str">
        <f>HYPERLINK("https://www.eneba.com/latam/steam-resident-evil-requiem-steam-key-pc-latam","Abrir compra")</f>
        <v>Abrir compra</v>
      </c>
      <c r="K124" t="str">
        <f>HYPERLINK("https://store.steampowered.com/app/3764200/Resident_Evil_Requiem/","Abrir Steam")</f>
        <v>Abrir Steam</v>
      </c>
      <c r="L124" t="s">
        <v>52</v>
      </c>
      <c r="M124" t="s">
        <v>31</v>
      </c>
      <c r="N124" t="s">
        <v>32</v>
      </c>
      <c r="O124" t="s">
        <v>1033</v>
      </c>
      <c r="P124" t="s">
        <v>1034</v>
      </c>
      <c r="Q124" t="s">
        <v>32</v>
      </c>
      <c r="R124" t="s">
        <v>1035</v>
      </c>
      <c r="S124" t="s">
        <v>1036</v>
      </c>
      <c r="T124" t="s">
        <v>1037</v>
      </c>
      <c r="U124" t="s">
        <v>1038</v>
      </c>
      <c r="V124" t="s">
        <v>36</v>
      </c>
      <c r="W124" t="s">
        <v>1039</v>
      </c>
      <c r="X124" t="s">
        <v>1040</v>
      </c>
      <c r="Y124" t="s">
        <v>1041</v>
      </c>
      <c r="Z124" t="s">
        <v>1042</v>
      </c>
    </row>
    <row r="125">
      <c r="A125" t="s">
        <v>1024</v>
      </c>
      <c r="B125" t="s">
        <v>41</v>
      </c>
      <c r="C125" t="s">
        <v>28</v>
      </c>
      <c r="D125" t="s">
        <v>29</v>
      </c>
      <c r="E125">
        <v>44532</v>
      </c>
      <c r="F125">
        <v>98119</v>
      </c>
      <c r="G125">
        <v>62079</v>
      </c>
      <c r="H125">
        <v>17547</v>
      </c>
      <c r="I125">
        <v>89394</v>
      </c>
      <c r="J125" t="str">
        <f>HYPERLINK("https://www.kinguin.net/es/category/405998/resident-evil-requiem-pc-steam-account","Abrir compra")</f>
        <v>Abrir compra</v>
      </c>
      <c r="K125" t="str">
        <f>HYPERLINK("https://store.steampowered.com/app/3764200/Resident_Evil_Requiem/","Abrir Steam")</f>
        <v>Abrir Steam</v>
      </c>
      <c r="L125" t="s">
        <v>153</v>
      </c>
      <c r="M125" t="s">
        <v>42</v>
      </c>
      <c r="N125" t="s">
        <v>32</v>
      </c>
      <c r="O125" t="s">
        <v>1043</v>
      </c>
      <c r="P125" t="s">
        <v>1044</v>
      </c>
      <c r="Q125" t="s">
        <v>32</v>
      </c>
      <c r="R125" t="s">
        <v>1045</v>
      </c>
      <c r="S125" t="s">
        <v>1046</v>
      </c>
      <c r="T125" t="s">
        <v>36</v>
      </c>
      <c r="U125" t="s">
        <v>36</v>
      </c>
      <c r="V125" t="s">
        <v>36</v>
      </c>
      <c r="W125" t="s">
        <v>1047</v>
      </c>
      <c r="X125" t="s">
        <v>36</v>
      </c>
      <c r="Y125" t="s">
        <v>36</v>
      </c>
      <c r="Z125" t="s">
        <v>36</v>
      </c>
    </row>
    <row r="126">
      <c r="A126" t="s">
        <v>1048</v>
      </c>
      <c r="B126" t="s">
        <v>63</v>
      </c>
      <c r="C126" t="s">
        <v>32</v>
      </c>
      <c r="D126" t="s">
        <v>51</v>
      </c>
      <c r="E126">
        <v>11737</v>
      </c>
      <c r="F126">
        <v>53688</v>
      </c>
      <c r="G126">
        <v>34938</v>
      </c>
      <c r="H126">
        <v>23201</v>
      </c>
      <c r="I126">
        <v>50311</v>
      </c>
      <c r="J126" t="str">
        <f>HYPERLINK("https://www.eneba.com/latam/steam-resident-evil-village-resident-evil-8-steam-key-latam","Abrir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52</v>
      </c>
      <c r="M126" t="s">
        <v>31</v>
      </c>
      <c r="N126" t="s">
        <v>32</v>
      </c>
      <c r="O126" t="s">
        <v>1049</v>
      </c>
      <c r="P126" t="s">
        <v>1050</v>
      </c>
      <c r="Q126" t="s">
        <v>32</v>
      </c>
      <c r="R126" t="s">
        <v>1051</v>
      </c>
      <c r="S126" t="s">
        <v>36</v>
      </c>
      <c r="T126" t="s">
        <v>1052</v>
      </c>
      <c r="U126" t="s">
        <v>1053</v>
      </c>
      <c r="V126" t="s">
        <v>36</v>
      </c>
      <c r="W126" t="s">
        <v>1054</v>
      </c>
      <c r="X126" t="s">
        <v>1055</v>
      </c>
      <c r="Y126" t="s">
        <v>1056</v>
      </c>
      <c r="Z126" t="s">
        <v>1057</v>
      </c>
    </row>
    <row r="127">
      <c r="A127" t="s">
        <v>1048</v>
      </c>
      <c r="B127" t="s">
        <v>985</v>
      </c>
      <c r="C127" t="s">
        <v>32</v>
      </c>
      <c r="D127" t="s">
        <v>51</v>
      </c>
      <c r="E127">
        <v>18165</v>
      </c>
      <c r="F127">
        <v>72201</v>
      </c>
      <c r="G127">
        <v>45165</v>
      </c>
      <c r="H127">
        <v>27000</v>
      </c>
      <c r="I127">
        <v>65038</v>
      </c>
      <c r="J127" t="str">
        <f>HYPERLINK("https://www.eneba.com/latam/steam-resident-evil-village-resident-evil-8-gold-edition-pc-steam-key-latam","Abrir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52</v>
      </c>
      <c r="M127" t="s">
        <v>31</v>
      </c>
      <c r="N127" t="s">
        <v>32</v>
      </c>
      <c r="O127" t="s">
        <v>1058</v>
      </c>
      <c r="P127" t="s">
        <v>1059</v>
      </c>
      <c r="Q127" t="s">
        <v>32</v>
      </c>
      <c r="R127" t="s">
        <v>1060</v>
      </c>
      <c r="S127" t="s">
        <v>36</v>
      </c>
      <c r="T127" t="s">
        <v>860</v>
      </c>
      <c r="U127" t="s">
        <v>850</v>
      </c>
      <c r="V127" t="s">
        <v>36</v>
      </c>
      <c r="W127" t="s">
        <v>1061</v>
      </c>
      <c r="X127" t="s">
        <v>1062</v>
      </c>
      <c r="Y127" t="s">
        <v>1063</v>
      </c>
      <c r="Z127" t="s">
        <v>1064</v>
      </c>
    </row>
    <row r="128">
      <c r="A128" t="s">
        <v>1065</v>
      </c>
      <c r="B128" t="s">
        <v>63</v>
      </c>
      <c r="C128" t="s">
        <v>32</v>
      </c>
      <c r="D128" t="s">
        <v>51</v>
      </c>
      <c r="E128">
        <v>12120</v>
      </c>
      <c r="F128">
        <v>53688</v>
      </c>
      <c r="G128">
        <v>35008</v>
      </c>
      <c r="H128">
        <v>22888</v>
      </c>
      <c r="I128">
        <v>50412</v>
      </c>
      <c r="J128" t="str">
        <f>HYPERLINK("https://driffle.com/es/resident-evil-raccoon-city-edition-global-pc-steam-digital-key-p9960425","Abrir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30</v>
      </c>
      <c r="M128" t="s">
        <v>42</v>
      </c>
      <c r="N128" t="s">
        <v>32</v>
      </c>
      <c r="O128" t="s">
        <v>1066</v>
      </c>
      <c r="P128" t="s">
        <v>1067</v>
      </c>
      <c r="Q128" t="s">
        <v>32</v>
      </c>
      <c r="R128" t="s">
        <v>1068</v>
      </c>
      <c r="S128" t="s">
        <v>36</v>
      </c>
      <c r="T128" t="s">
        <v>1069</v>
      </c>
      <c r="U128" t="s">
        <v>1070</v>
      </c>
      <c r="V128" t="s">
        <v>36</v>
      </c>
      <c r="W128" t="s">
        <v>1071</v>
      </c>
      <c r="X128" t="s">
        <v>1072</v>
      </c>
      <c r="Y128" t="s">
        <v>1073</v>
      </c>
      <c r="Z128" t="s">
        <v>36</v>
      </c>
    </row>
    <row r="129">
      <c r="A129" t="s">
        <v>1074</v>
      </c>
      <c r="B129" t="s">
        <v>1075</v>
      </c>
      <c r="C129" t="s">
        <v>28</v>
      </c>
      <c r="D129" t="s">
        <v>29</v>
      </c>
      <c r="E129">
        <v>17861</v>
      </c>
      <c r="F129">
        <v>51818</v>
      </c>
      <c r="G129">
        <v>33354</v>
      </c>
      <c r="H129">
        <v>15493</v>
      </c>
      <c r="I129">
        <v>48030</v>
      </c>
      <c r="J129" t="str">
        <f>HYPERLINK("https://driffle.com/es/sea-of-thieves-2026-edition-global-pc-steam-account-p9992474","Abrir compra")</f>
        <v>Abrir compra</v>
      </c>
      <c r="K129" t="str">
        <f>HYPERLINK("https://store.steampowered.com/app/1172620/Sea_of_Thieves_2026_Edition/","Abrir Steam")</f>
        <v>Abrir Steam</v>
      </c>
      <c r="L129" t="s">
        <v>30</v>
      </c>
      <c r="M129" t="s">
        <v>31</v>
      </c>
      <c r="N129" t="s">
        <v>32</v>
      </c>
      <c r="O129" t="s">
        <v>1076</v>
      </c>
      <c r="P129" t="s">
        <v>1077</v>
      </c>
      <c r="Q129" t="s">
        <v>32</v>
      </c>
      <c r="R129" t="s">
        <v>1078</v>
      </c>
      <c r="S129" t="s">
        <v>36</v>
      </c>
      <c r="T129" t="s">
        <v>36</v>
      </c>
      <c r="U129" t="s">
        <v>1079</v>
      </c>
      <c r="V129" t="s">
        <v>36</v>
      </c>
      <c r="W129" t="s">
        <v>1080</v>
      </c>
      <c r="X129" t="s">
        <v>36</v>
      </c>
      <c r="Y129" t="s">
        <v>1081</v>
      </c>
      <c r="Z129" t="s">
        <v>36</v>
      </c>
    </row>
    <row r="130">
      <c r="A130" t="s">
        <v>1082</v>
      </c>
      <c r="B130" t="s">
        <v>63</v>
      </c>
      <c r="C130" t="s">
        <v>32</v>
      </c>
      <c r="D130" t="s">
        <v>51</v>
      </c>
      <c r="E130">
        <v>41238</v>
      </c>
      <c r="F130">
        <v>61074</v>
      </c>
      <c r="G130">
        <v>57794</v>
      </c>
      <c r="H130">
        <v>16556</v>
      </c>
      <c r="I130">
        <v>83223</v>
      </c>
      <c r="J130" t="str">
        <f>HYPERLINK("https://www.loaded.com/es_es/silent-hill-2-pc-steam","Abrir compra")</f>
        <v>Abrir compra</v>
      </c>
      <c r="K130" t="str">
        <f>HYPERLINK("https://store.steampowered.com/app/2124490/SILENT_HILL_2/","Abrir Steam")</f>
        <v>Abrir Steam</v>
      </c>
      <c r="L130" t="s">
        <v>64</v>
      </c>
      <c r="M130" t="s">
        <v>65</v>
      </c>
      <c r="N130" t="s">
        <v>32</v>
      </c>
      <c r="O130" t="s">
        <v>1083</v>
      </c>
      <c r="P130" t="s">
        <v>1084</v>
      </c>
      <c r="Q130" t="s">
        <v>32</v>
      </c>
      <c r="R130" t="s">
        <v>1085</v>
      </c>
      <c r="S130" t="s">
        <v>36</v>
      </c>
      <c r="T130" t="s">
        <v>1086</v>
      </c>
      <c r="U130" t="s">
        <v>1087</v>
      </c>
      <c r="V130" t="s">
        <v>1088</v>
      </c>
      <c r="W130" t="s">
        <v>1089</v>
      </c>
      <c r="X130" t="s">
        <v>1090</v>
      </c>
      <c r="Y130" t="s">
        <v>1091</v>
      </c>
      <c r="Z130" t="s">
        <v>1092</v>
      </c>
    </row>
    <row r="131">
      <c r="A131" t="s">
        <v>1082</v>
      </c>
      <c r="B131" t="s">
        <v>41</v>
      </c>
      <c r="C131" t="s">
        <v>28</v>
      </c>
      <c r="D131" t="s">
        <v>29</v>
      </c>
      <c r="E131">
        <v>34794</v>
      </c>
      <c r="F131">
        <v>61074</v>
      </c>
      <c r="G131">
        <v>49794</v>
      </c>
      <c r="H131">
        <v>15000</v>
      </c>
      <c r="I131">
        <v>71703</v>
      </c>
      <c r="J131" t="str">
        <f>HYPERLINK("https://driffle.com/es/silent-hill-2-global-pc-steam-account-p9962323","Abrir compra")</f>
        <v>Abrir compra</v>
      </c>
      <c r="K131" t="str">
        <f>HYPERLINK("https://store.steampowered.com/app/2124490/SILENT_HILL_2/","Abrir Steam")</f>
        <v>Abrir Steam</v>
      </c>
      <c r="L131" t="s">
        <v>30</v>
      </c>
      <c r="M131" t="s">
        <v>31</v>
      </c>
      <c r="N131" t="s">
        <v>32</v>
      </c>
      <c r="O131" t="s">
        <v>1093</v>
      </c>
      <c r="P131" t="s">
        <v>1094</v>
      </c>
      <c r="Q131" t="s">
        <v>32</v>
      </c>
      <c r="R131" t="s">
        <v>1095</v>
      </c>
      <c r="S131" t="s">
        <v>36</v>
      </c>
      <c r="T131" t="s">
        <v>36</v>
      </c>
      <c r="U131" t="s">
        <v>1096</v>
      </c>
      <c r="V131" t="s">
        <v>36</v>
      </c>
      <c r="W131" t="s">
        <v>1097</v>
      </c>
      <c r="X131" t="s">
        <v>36</v>
      </c>
      <c r="Y131" t="s">
        <v>1098</v>
      </c>
      <c r="Z131" t="s">
        <v>36</v>
      </c>
    </row>
    <row r="132">
      <c r="A132" t="s">
        <v>1099</v>
      </c>
      <c r="B132" t="s">
        <v>294</v>
      </c>
      <c r="C132" t="s">
        <v>32</v>
      </c>
      <c r="D132" t="s">
        <v>51</v>
      </c>
      <c r="E132">
        <v>74977</v>
      </c>
      <c r="F132">
        <v>94398</v>
      </c>
      <c r="G132">
        <v>89977</v>
      </c>
      <c r="H132">
        <v>15000</v>
      </c>
      <c r="I132">
        <v>129567</v>
      </c>
      <c r="J132" t="str">
        <f>HYPERLINK("https://www.loaded.com/es_es/silent-hill-townfall-deluxe-edition-pc-steam","Abrir compra")</f>
        <v>Abrir compra</v>
      </c>
      <c r="K132" t="str">
        <f>HYPERLINK("https://store.steampowered.com/app/1636440/SILENT_HILL_Townfall/","Abrir Steam")</f>
        <v>Abrir Steam</v>
      </c>
      <c r="L132" t="s">
        <v>64</v>
      </c>
      <c r="M132" t="s">
        <v>65</v>
      </c>
      <c r="N132" t="s">
        <v>32</v>
      </c>
      <c r="O132" t="s">
        <v>1100</v>
      </c>
      <c r="P132" t="s">
        <v>1101</v>
      </c>
      <c r="Q132" t="s">
        <v>32</v>
      </c>
      <c r="R132" t="s">
        <v>1102</v>
      </c>
      <c r="S132" t="s">
        <v>36</v>
      </c>
      <c r="T132" t="s">
        <v>1103</v>
      </c>
      <c r="U132" t="s">
        <v>36</v>
      </c>
      <c r="V132" t="s">
        <v>1104</v>
      </c>
      <c r="W132" t="s">
        <v>36</v>
      </c>
      <c r="X132" t="s">
        <v>1105</v>
      </c>
      <c r="Y132" t="s">
        <v>36</v>
      </c>
      <c r="Z132" t="s">
        <v>1106</v>
      </c>
    </row>
    <row r="133">
      <c r="A133" t="s">
        <v>1099</v>
      </c>
      <c r="B133" t="s">
        <v>63</v>
      </c>
      <c r="C133" t="s">
        <v>32</v>
      </c>
      <c r="D133" t="s">
        <v>51</v>
      </c>
      <c r="E133">
        <v>62985</v>
      </c>
      <c r="F133">
        <v>78662</v>
      </c>
      <c r="G133">
        <v>77985</v>
      </c>
      <c r="H133">
        <v>15000</v>
      </c>
      <c r="I133">
        <v>112298</v>
      </c>
      <c r="J133" t="str">
        <f>HYPERLINK("https://www.loaded.com/es_es/silent-hill-townfall-pc-steam","Abrir compra")</f>
        <v>Abrir compra</v>
      </c>
      <c r="K133" t="str">
        <f>HYPERLINK("https://store.steampowered.com/app/1636440/SILENT_HILL_Townfall/","Abrir Steam")</f>
        <v>Abrir Steam</v>
      </c>
      <c r="L133" t="s">
        <v>64</v>
      </c>
      <c r="M133" t="s">
        <v>65</v>
      </c>
      <c r="N133" t="s">
        <v>32</v>
      </c>
      <c r="O133" t="s">
        <v>1107</v>
      </c>
      <c r="P133" t="s">
        <v>1108</v>
      </c>
      <c r="Q133" t="s">
        <v>32</v>
      </c>
      <c r="R133" t="s">
        <v>1109</v>
      </c>
      <c r="S133" t="s">
        <v>36</v>
      </c>
      <c r="T133" t="s">
        <v>1110</v>
      </c>
      <c r="U133" t="s">
        <v>36</v>
      </c>
      <c r="V133" t="s">
        <v>363</v>
      </c>
      <c r="W133" t="s">
        <v>1111</v>
      </c>
      <c r="X133" t="s">
        <v>1112</v>
      </c>
      <c r="Y133" t="s">
        <v>36</v>
      </c>
      <c r="Z133" t="s">
        <v>1113</v>
      </c>
    </row>
    <row r="134">
      <c r="A134" t="s">
        <v>1114</v>
      </c>
      <c r="B134" t="s">
        <v>63</v>
      </c>
      <c r="C134" t="s">
        <v>32</v>
      </c>
      <c r="D134" t="s">
        <v>51</v>
      </c>
      <c r="E134">
        <v>72067</v>
      </c>
      <c r="F134">
        <v>92546</v>
      </c>
      <c r="G134">
        <v>88490</v>
      </c>
      <c r="H134">
        <v>16423</v>
      </c>
      <c r="I134">
        <v>127426</v>
      </c>
      <c r="J134" t="str">
        <f>HYPERLINK("https://driffle.com/es/split-fiction-global-pc-steam-digital-key-p9929426","Abrir compra")</f>
        <v>Abrir compra</v>
      </c>
      <c r="K134" t="str">
        <f>HYPERLINK("https://store.steampowered.com/app/2001120/Split_Fiction/?curator_clanid=4777282","Abrir Steam")</f>
        <v>Abrir Steam</v>
      </c>
      <c r="L134" t="s">
        <v>30</v>
      </c>
      <c r="M134" t="s">
        <v>42</v>
      </c>
      <c r="N134" t="s">
        <v>32</v>
      </c>
      <c r="O134" t="s">
        <v>1115</v>
      </c>
      <c r="P134" t="s">
        <v>1116</v>
      </c>
      <c r="Q134" t="s">
        <v>32</v>
      </c>
      <c r="R134" t="s">
        <v>1117</v>
      </c>
      <c r="S134" t="s">
        <v>36</v>
      </c>
      <c r="T134" t="s">
        <v>1118</v>
      </c>
      <c r="U134" t="s">
        <v>1119</v>
      </c>
      <c r="V134" t="s">
        <v>36</v>
      </c>
      <c r="W134" t="s">
        <v>1120</v>
      </c>
      <c r="X134" t="s">
        <v>1121</v>
      </c>
      <c r="Y134" t="s">
        <v>1122</v>
      </c>
      <c r="Z134" t="s">
        <v>36</v>
      </c>
    </row>
    <row r="135">
      <c r="A135" t="s">
        <v>1114</v>
      </c>
      <c r="B135" t="s">
        <v>41</v>
      </c>
      <c r="C135" t="s">
        <v>28</v>
      </c>
      <c r="D135" t="s">
        <v>29</v>
      </c>
      <c r="E135">
        <v>33819</v>
      </c>
      <c r="F135">
        <v>92546</v>
      </c>
      <c r="G135">
        <v>55621</v>
      </c>
      <c r="H135">
        <v>21802</v>
      </c>
      <c r="I135">
        <v>80094</v>
      </c>
      <c r="J135" t="str">
        <f>HYPERLINK("https://driffle.com/es/split-fiction-global-pc-steam-account-p9945656","Abrir compra")</f>
        <v>Abrir compra</v>
      </c>
      <c r="K135" t="str">
        <f>HYPERLINK("https://store.steampowered.com/app/2001120/Split_Fiction/?curator_clanid=4777282","Abrir Steam")</f>
        <v>Abrir Steam</v>
      </c>
      <c r="L135" t="s">
        <v>30</v>
      </c>
      <c r="M135" t="s">
        <v>42</v>
      </c>
      <c r="N135" t="s">
        <v>32</v>
      </c>
      <c r="O135" t="s">
        <v>1123</v>
      </c>
      <c r="P135" t="s">
        <v>1124</v>
      </c>
      <c r="Q135" t="s">
        <v>32</v>
      </c>
      <c r="R135" t="s">
        <v>1125</v>
      </c>
      <c r="S135" t="s">
        <v>36</v>
      </c>
      <c r="T135" t="s">
        <v>36</v>
      </c>
      <c r="U135" t="s">
        <v>1126</v>
      </c>
      <c r="V135" t="s">
        <v>36</v>
      </c>
      <c r="W135" t="s">
        <v>1127</v>
      </c>
      <c r="X135" t="s">
        <v>36</v>
      </c>
      <c r="Y135" t="s">
        <v>1128</v>
      </c>
      <c r="Z135" t="s">
        <v>36</v>
      </c>
    </row>
    <row r="136">
      <c r="A136" t="s">
        <v>1129</v>
      </c>
      <c r="B136" t="s">
        <v>27</v>
      </c>
      <c r="C136" t="s">
        <v>28</v>
      </c>
      <c r="D136" t="s">
        <v>29</v>
      </c>
      <c r="E136">
        <v>105086</v>
      </c>
      <c r="F136">
        <v>166598</v>
      </c>
      <c r="G136">
        <v>120086</v>
      </c>
      <c r="H136">
        <v>15000</v>
      </c>
      <c r="I136">
        <v>172924</v>
      </c>
      <c r="J136" t="str">
        <f>HYPERLINK("https://www.kinguin.net/es/category/160069/star-wars-jedi-survivor-deluxe-edition-steam-account","Abrir compra")</f>
        <v>Abrir compra</v>
      </c>
      <c r="K136" t="str">
        <f>HYPERLINK("https://store.steampowered.com/app/1774580/STAR_WARS_Jedi_Survivor/?curator_clanid=4777282","Abrir Steam")</f>
        <v>Abrir Steam</v>
      </c>
      <c r="L136" t="s">
        <v>153</v>
      </c>
      <c r="M136" t="s">
        <v>42</v>
      </c>
      <c r="N136" t="s">
        <v>32</v>
      </c>
      <c r="O136" t="s">
        <v>1130</v>
      </c>
      <c r="P136" t="s">
        <v>1131</v>
      </c>
      <c r="Q136" t="s">
        <v>32</v>
      </c>
      <c r="R136" t="s">
        <v>1132</v>
      </c>
      <c r="S136" t="s">
        <v>1133</v>
      </c>
      <c r="T136" t="s">
        <v>36</v>
      </c>
      <c r="U136" t="s">
        <v>36</v>
      </c>
      <c r="V136" t="s">
        <v>36</v>
      </c>
      <c r="W136" t="s">
        <v>1134</v>
      </c>
      <c r="X136" t="s">
        <v>36</v>
      </c>
      <c r="Y136" t="s">
        <v>36</v>
      </c>
      <c r="Z136" t="s">
        <v>36</v>
      </c>
    </row>
    <row r="137">
      <c r="A137" t="s">
        <v>1129</v>
      </c>
      <c r="B137" t="s">
        <v>41</v>
      </c>
      <c r="C137" t="s">
        <v>28</v>
      </c>
      <c r="D137" t="s">
        <v>29</v>
      </c>
      <c r="E137">
        <v>12136</v>
      </c>
      <c r="F137">
        <v>129572</v>
      </c>
      <c r="G137">
        <v>39136</v>
      </c>
      <c r="H137">
        <v>27000</v>
      </c>
      <c r="I137">
        <v>56356</v>
      </c>
      <c r="J137" t="str">
        <f>HYPERLINK("https://driffle.com/es/star-wars-jedi-survivor-global-pc-steam-account-p9971599","Abrir compra")</f>
        <v>Abrir compra</v>
      </c>
      <c r="K137" t="str">
        <f>HYPERLINK("https://store.steampowered.com/app/1774580/STAR_WARS_Jedi_Survivor/?curator_clanid=4777282","Abrir Steam")</f>
        <v>Abrir Steam</v>
      </c>
      <c r="L137" t="s">
        <v>30</v>
      </c>
      <c r="M137" t="s">
        <v>42</v>
      </c>
      <c r="N137" t="s">
        <v>32</v>
      </c>
      <c r="O137" t="s">
        <v>1135</v>
      </c>
      <c r="P137" t="s">
        <v>1136</v>
      </c>
      <c r="Q137" t="s">
        <v>32</v>
      </c>
      <c r="R137" t="s">
        <v>1137</v>
      </c>
      <c r="S137" t="s">
        <v>36</v>
      </c>
      <c r="T137" t="s">
        <v>36</v>
      </c>
      <c r="U137" t="s">
        <v>1138</v>
      </c>
      <c r="V137" t="s">
        <v>36</v>
      </c>
      <c r="W137" t="s">
        <v>1139</v>
      </c>
      <c r="X137" t="s">
        <v>36</v>
      </c>
      <c r="Y137" t="s">
        <v>1140</v>
      </c>
      <c r="Z137" t="s">
        <v>36</v>
      </c>
    </row>
    <row r="138">
      <c r="A138" t="s">
        <v>1141</v>
      </c>
      <c r="B138" t="s">
        <v>1142</v>
      </c>
      <c r="C138" t="s">
        <v>32</v>
      </c>
      <c r="D138" t="s">
        <v>51</v>
      </c>
      <c r="E138">
        <v>69956</v>
      </c>
      <c r="F138">
        <v>129572</v>
      </c>
      <c r="G138">
        <v>97179</v>
      </c>
      <c r="H138">
        <v>27223</v>
      </c>
      <c r="I138">
        <v>139938</v>
      </c>
      <c r="J138" t="str">
        <f>HYPERLINK("https://www.eneba.com/latam/steam-stellar-blade-complete-edition-steam-key-pc-latam","Abrir compra")</f>
        <v>Abrir compra</v>
      </c>
      <c r="K138" t="str">
        <f>HYPERLINK("https://store.steampowered.com/app/3489700/Stellar_Blade/","Abrir Steam")</f>
        <v>Abrir Steam</v>
      </c>
      <c r="L138" t="s">
        <v>52</v>
      </c>
      <c r="M138" t="s">
        <v>31</v>
      </c>
      <c r="N138" t="s">
        <v>32</v>
      </c>
      <c r="O138" t="s">
        <v>1143</v>
      </c>
      <c r="P138" t="s">
        <v>1144</v>
      </c>
      <c r="Q138" t="s">
        <v>32</v>
      </c>
      <c r="R138" t="s">
        <v>1145</v>
      </c>
      <c r="S138" t="s">
        <v>1146</v>
      </c>
      <c r="T138" t="s">
        <v>1147</v>
      </c>
      <c r="U138" t="s">
        <v>1148</v>
      </c>
      <c r="V138" t="s">
        <v>1149</v>
      </c>
      <c r="W138" t="s">
        <v>1150</v>
      </c>
      <c r="X138" t="s">
        <v>1151</v>
      </c>
      <c r="Y138" t="s">
        <v>1152</v>
      </c>
      <c r="Z138" t="s">
        <v>1153</v>
      </c>
    </row>
    <row r="139">
      <c r="A139" t="s">
        <v>1141</v>
      </c>
      <c r="B139" t="s">
        <v>1154</v>
      </c>
      <c r="C139" t="s">
        <v>28</v>
      </c>
      <c r="D139" t="s">
        <v>29</v>
      </c>
      <c r="E139">
        <v>79502</v>
      </c>
      <c r="F139">
        <v>129572</v>
      </c>
      <c r="G139">
        <v>94502</v>
      </c>
      <c r="H139">
        <v>15000</v>
      </c>
      <c r="I139">
        <v>136083</v>
      </c>
      <c r="J139" t="str">
        <f>HYPERLINK("https://www.kinguin.net/es/category/340981/stellar-blade-complete-edition-pc-steam-account","Abrir compra")</f>
        <v>Abrir compra</v>
      </c>
      <c r="K139" t="str">
        <f>HYPERLINK("https://store.steampowered.com/app/3489700/Stellar_Blade/","Abrir Steam")</f>
        <v>Abrir Steam</v>
      </c>
      <c r="L139" t="s">
        <v>153</v>
      </c>
      <c r="M139" t="s">
        <v>65</v>
      </c>
      <c r="N139" t="s">
        <v>32</v>
      </c>
      <c r="O139" t="s">
        <v>1155</v>
      </c>
      <c r="P139" t="s">
        <v>1156</v>
      </c>
      <c r="Q139" t="s">
        <v>32</v>
      </c>
      <c r="R139" t="s">
        <v>1157</v>
      </c>
      <c r="S139" t="s">
        <v>1158</v>
      </c>
      <c r="T139" t="s">
        <v>36</v>
      </c>
      <c r="U139" t="s">
        <v>1159</v>
      </c>
      <c r="V139" t="s">
        <v>36</v>
      </c>
      <c r="W139" t="s">
        <v>1160</v>
      </c>
      <c r="X139" t="s">
        <v>36</v>
      </c>
      <c r="Y139" t="s">
        <v>1161</v>
      </c>
      <c r="Z139" t="s">
        <v>36</v>
      </c>
    </row>
    <row r="140">
      <c r="A140" t="s">
        <v>1141</v>
      </c>
      <c r="B140" t="s">
        <v>63</v>
      </c>
      <c r="C140" t="s">
        <v>32</v>
      </c>
      <c r="D140" t="s">
        <v>51</v>
      </c>
      <c r="E140">
        <v>52783</v>
      </c>
      <c r="F140">
        <v>111059</v>
      </c>
      <c r="G140">
        <v>80167</v>
      </c>
      <c r="H140">
        <v>27384</v>
      </c>
      <c r="I140">
        <v>115440</v>
      </c>
      <c r="J140" t="str">
        <f>HYPERLINK("https://www.eneba.com/latam/steam-stellar-blade-steam-key-pc-latam","Abrir compra")</f>
        <v>Abrir compra</v>
      </c>
      <c r="K140" t="str">
        <f>HYPERLINK("https://store.steampowered.com/app/3489700/Stellar_Blade/","Abrir Steam")</f>
        <v>Abrir Steam</v>
      </c>
      <c r="L140" t="s">
        <v>52</v>
      </c>
      <c r="M140" t="s">
        <v>31</v>
      </c>
      <c r="N140" t="s">
        <v>32</v>
      </c>
      <c r="O140" t="s">
        <v>1162</v>
      </c>
      <c r="P140" t="s">
        <v>1163</v>
      </c>
      <c r="Q140" t="s">
        <v>32</v>
      </c>
      <c r="R140" t="s">
        <v>1164</v>
      </c>
      <c r="S140" t="s">
        <v>1165</v>
      </c>
      <c r="T140" t="s">
        <v>1166</v>
      </c>
      <c r="U140" t="s">
        <v>1167</v>
      </c>
      <c r="V140" t="s">
        <v>909</v>
      </c>
      <c r="W140" t="s">
        <v>1168</v>
      </c>
      <c r="X140" t="s">
        <v>1169</v>
      </c>
      <c r="Y140" t="s">
        <v>1170</v>
      </c>
      <c r="Z140" t="s">
        <v>1171</v>
      </c>
    </row>
    <row r="141">
      <c r="A141" t="s">
        <v>1141</v>
      </c>
      <c r="B141" t="s">
        <v>41</v>
      </c>
      <c r="C141" t="s">
        <v>28</v>
      </c>
      <c r="D141" t="s">
        <v>29</v>
      </c>
      <c r="E141">
        <v>50992</v>
      </c>
      <c r="F141">
        <v>111059</v>
      </c>
      <c r="G141">
        <v>69710</v>
      </c>
      <c r="H141">
        <v>18718</v>
      </c>
      <c r="I141">
        <v>100382</v>
      </c>
      <c r="J141" t="str">
        <f>HYPERLINK("https://driffle.com/es/stellar-blade-global-pc-steam-account-p9979470","Abrir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32</v>
      </c>
      <c r="O141" t="s">
        <v>1172</v>
      </c>
      <c r="P141" t="s">
        <v>1173</v>
      </c>
      <c r="Q141" t="s">
        <v>32</v>
      </c>
      <c r="R141" t="s">
        <v>1174</v>
      </c>
      <c r="S141" t="s">
        <v>36</v>
      </c>
      <c r="T141" t="s">
        <v>36</v>
      </c>
      <c r="U141" t="s">
        <v>1175</v>
      </c>
      <c r="V141" t="s">
        <v>36</v>
      </c>
      <c r="W141" t="s">
        <v>36</v>
      </c>
      <c r="X141" t="s">
        <v>36</v>
      </c>
      <c r="Y141" t="s">
        <v>1176</v>
      </c>
      <c r="Z141" t="s">
        <v>36</v>
      </c>
    </row>
    <row r="142">
      <c r="A142" t="s">
        <v>1177</v>
      </c>
      <c r="B142" t="s">
        <v>63</v>
      </c>
      <c r="C142" t="s">
        <v>32</v>
      </c>
      <c r="D142" t="s">
        <v>51</v>
      </c>
      <c r="E142">
        <v>24433</v>
      </c>
      <c r="F142">
        <v>55520</v>
      </c>
      <c r="G142">
        <v>41640</v>
      </c>
      <c r="H142">
        <v>17207</v>
      </c>
      <c r="I142">
        <v>59962</v>
      </c>
      <c r="J142" t="str">
        <f>HYPERLINK("https://www.eneba.com/latam/steam-street-fighter-6-pc-steam-key-latam","Abrir compra")</f>
        <v>Abrir compra</v>
      </c>
      <c r="K142" t="str">
        <f>HYPERLINK("https://store.steampowered.com/app/1364780/Street_Fighter_6/","Abrir Steam")</f>
        <v>Abrir Steam</v>
      </c>
      <c r="L142" t="s">
        <v>52</v>
      </c>
      <c r="M142" t="s">
        <v>31</v>
      </c>
      <c r="N142" t="s">
        <v>32</v>
      </c>
      <c r="O142" t="s">
        <v>1178</v>
      </c>
      <c r="P142" t="s">
        <v>1179</v>
      </c>
      <c r="Q142" t="s">
        <v>32</v>
      </c>
      <c r="R142" t="s">
        <v>1180</v>
      </c>
      <c r="S142" t="s">
        <v>36</v>
      </c>
      <c r="T142" t="s">
        <v>1181</v>
      </c>
      <c r="U142" t="s">
        <v>36</v>
      </c>
      <c r="V142" t="s">
        <v>36</v>
      </c>
      <c r="W142" t="s">
        <v>1182</v>
      </c>
      <c r="X142" t="s">
        <v>1183</v>
      </c>
      <c r="Y142" t="s">
        <v>36</v>
      </c>
      <c r="Z142" t="s">
        <v>36</v>
      </c>
    </row>
    <row r="143">
      <c r="A143" t="s">
        <v>1177</v>
      </c>
      <c r="B143" t="s">
        <v>41</v>
      </c>
      <c r="C143" t="s">
        <v>28</v>
      </c>
      <c r="D143" t="s">
        <v>29</v>
      </c>
      <c r="E143">
        <v>23777</v>
      </c>
      <c r="F143">
        <v>55520</v>
      </c>
      <c r="G143">
        <v>38777</v>
      </c>
      <c r="H143">
        <v>15000</v>
      </c>
      <c r="I143">
        <v>55839</v>
      </c>
      <c r="J143" t="str">
        <f>HYPERLINK("https://www.kinguin.net/es/category/153297/street-fighter-6-steam-account","Abrir compra")</f>
        <v>Abrir compra</v>
      </c>
      <c r="K143" t="str">
        <f>HYPERLINK("https://store.steampowered.com/app/1364780/Street_Fighter_6/","Abrir Steam")</f>
        <v>Abrir Steam</v>
      </c>
      <c r="L143" t="s">
        <v>153</v>
      </c>
      <c r="M143" t="s">
        <v>65</v>
      </c>
      <c r="N143" t="s">
        <v>32</v>
      </c>
      <c r="O143" t="s">
        <v>1184</v>
      </c>
      <c r="P143" t="s">
        <v>1185</v>
      </c>
      <c r="Q143" t="s">
        <v>32</v>
      </c>
      <c r="R143" t="s">
        <v>1186</v>
      </c>
      <c r="S143" t="s">
        <v>1187</v>
      </c>
      <c r="T143" t="s">
        <v>36</v>
      </c>
      <c r="U143" t="s">
        <v>36</v>
      </c>
      <c r="V143" t="s">
        <v>36</v>
      </c>
      <c r="W143" t="s">
        <v>1188</v>
      </c>
      <c r="X143" t="s">
        <v>36</v>
      </c>
      <c r="Y143" t="s">
        <v>36</v>
      </c>
      <c r="Z143" t="s">
        <v>36</v>
      </c>
    </row>
    <row r="144">
      <c r="A144" t="s">
        <v>1189</v>
      </c>
      <c r="B144" t="s">
        <v>63</v>
      </c>
      <c r="C144" t="s">
        <v>32</v>
      </c>
      <c r="D144" t="s">
        <v>51</v>
      </c>
      <c r="E144">
        <v>32604</v>
      </c>
      <c r="F144">
        <v>59223</v>
      </c>
      <c r="G144">
        <v>50092</v>
      </c>
      <c r="H144">
        <v>17488</v>
      </c>
      <c r="I144">
        <v>72132</v>
      </c>
      <c r="J144" t="str">
        <f>HYPERLINK("https://www.loaded.com/es_es/tekken-8-pc-steam","Abrir compra")</f>
        <v>Abrir compra</v>
      </c>
      <c r="K144" t="str">
        <f>HYPERLINK("https://store.steampowered.com/app/1778820/TEKKEN_8/?curator_clanid=4777282","Abrir Steam")</f>
        <v>Abrir Steam</v>
      </c>
      <c r="L144" t="s">
        <v>64</v>
      </c>
      <c r="M144" t="s">
        <v>65</v>
      </c>
      <c r="N144" t="s">
        <v>32</v>
      </c>
      <c r="O144" t="s">
        <v>1190</v>
      </c>
      <c r="P144" t="s">
        <v>1191</v>
      </c>
      <c r="Q144" t="s">
        <v>32</v>
      </c>
      <c r="R144" t="s">
        <v>1192</v>
      </c>
      <c r="S144" t="s">
        <v>36</v>
      </c>
      <c r="T144" t="s">
        <v>1193</v>
      </c>
      <c r="U144" t="s">
        <v>1194</v>
      </c>
      <c r="V144" t="s">
        <v>1195</v>
      </c>
      <c r="W144" t="s">
        <v>1196</v>
      </c>
      <c r="X144" t="s">
        <v>1197</v>
      </c>
      <c r="Y144" t="s">
        <v>1198</v>
      </c>
      <c r="Z144" t="s">
        <v>1199</v>
      </c>
    </row>
    <row r="145">
      <c r="A145" t="s">
        <v>1189</v>
      </c>
      <c r="B145" t="s">
        <v>41</v>
      </c>
      <c r="C145" t="s">
        <v>28</v>
      </c>
      <c r="D145" t="s">
        <v>29</v>
      </c>
      <c r="E145">
        <v>26847</v>
      </c>
      <c r="F145">
        <v>59223</v>
      </c>
      <c r="G145">
        <v>41847</v>
      </c>
      <c r="H145">
        <v>15000</v>
      </c>
      <c r="I145">
        <v>60260</v>
      </c>
      <c r="J145" t="str">
        <f>HYPERLINK("https://www.kinguin.net/es/category/180122/tekken-8-steam-account","Abrir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153</v>
      </c>
      <c r="M145" t="s">
        <v>65</v>
      </c>
      <c r="N145" t="s">
        <v>32</v>
      </c>
      <c r="O145" t="s">
        <v>1200</v>
      </c>
      <c r="P145" t="s">
        <v>1201</v>
      </c>
      <c r="Q145" t="s">
        <v>32</v>
      </c>
      <c r="R145" t="s">
        <v>1202</v>
      </c>
      <c r="S145" t="s">
        <v>1203</v>
      </c>
      <c r="T145" t="s">
        <v>36</v>
      </c>
      <c r="U145" t="s">
        <v>70</v>
      </c>
      <c r="V145" t="s">
        <v>36</v>
      </c>
      <c r="W145" t="s">
        <v>1204</v>
      </c>
      <c r="X145" t="s">
        <v>36</v>
      </c>
      <c r="Y145" t="s">
        <v>1205</v>
      </c>
      <c r="Z145" t="s">
        <v>36</v>
      </c>
    </row>
    <row r="146">
      <c r="A146" t="s">
        <v>1206</v>
      </c>
      <c r="B146" t="s">
        <v>63</v>
      </c>
      <c r="C146" t="s">
        <v>32</v>
      </c>
      <c r="D146" t="s">
        <v>51</v>
      </c>
      <c r="E146">
        <v>11161</v>
      </c>
      <c r="F146">
        <v>44413</v>
      </c>
      <c r="G146">
        <v>31321</v>
      </c>
      <c r="H146">
        <v>20160</v>
      </c>
      <c r="I146">
        <v>45102</v>
      </c>
      <c r="J146" t="str">
        <f>HYPERLINK("https://www.eneba.com/latam/steam-the-elder-scrolls-v-skyrim-special-edition-steam-key-latam","Abrir compra")</f>
        <v>Abrir compra</v>
      </c>
      <c r="K146" t="str">
        <f>HYPERLINK("https://store.steampowered.com/app/489830/The_Elder_Scrolls_V_Skyrim_Special_Edition/","Abrir Steam")</f>
        <v>Abrir Steam</v>
      </c>
      <c r="L146" t="s">
        <v>52</v>
      </c>
      <c r="M146" t="s">
        <v>31</v>
      </c>
      <c r="N146" t="s">
        <v>32</v>
      </c>
      <c r="O146" t="s">
        <v>1207</v>
      </c>
      <c r="P146" t="s">
        <v>1208</v>
      </c>
      <c r="Q146" t="s">
        <v>32</v>
      </c>
      <c r="R146" t="s">
        <v>1209</v>
      </c>
      <c r="S146" t="s">
        <v>36</v>
      </c>
      <c r="T146" t="s">
        <v>1210</v>
      </c>
      <c r="U146" t="s">
        <v>1211</v>
      </c>
      <c r="V146" t="s">
        <v>1212</v>
      </c>
      <c r="W146" t="s">
        <v>1213</v>
      </c>
      <c r="X146" t="s">
        <v>1214</v>
      </c>
      <c r="Y146" t="s">
        <v>1215</v>
      </c>
      <c r="Z146" t="s">
        <v>1216</v>
      </c>
    </row>
    <row r="147">
      <c r="A147" t="s">
        <v>1217</v>
      </c>
      <c r="B147" t="s">
        <v>63</v>
      </c>
      <c r="C147" t="s">
        <v>32</v>
      </c>
      <c r="D147" t="s">
        <v>51</v>
      </c>
      <c r="E147">
        <v>45092</v>
      </c>
      <c r="F147">
        <v>111059</v>
      </c>
      <c r="G147">
        <v>80092</v>
      </c>
      <c r="H147">
        <v>35000</v>
      </c>
      <c r="I147">
        <v>115332</v>
      </c>
      <c r="J147" t="str">
        <f>HYPERLINK("https://www.kinguin.net/es/category/160275/the-last-of-us-part-1-latam-steam-cd-key","Abrir compra")</f>
        <v>Abrir compra</v>
      </c>
      <c r="K147" t="str">
        <f>HYPERLINK("https://store.steampowered.com/app/1888930/The_Last_of_Us_Parte_I/","Abrir Steam")</f>
        <v>Abrir Steam</v>
      </c>
      <c r="L147" t="s">
        <v>153</v>
      </c>
      <c r="M147" t="s">
        <v>31</v>
      </c>
      <c r="N147" t="s">
        <v>32</v>
      </c>
      <c r="O147" t="s">
        <v>1218</v>
      </c>
      <c r="P147" t="s">
        <v>1219</v>
      </c>
      <c r="Q147" t="s">
        <v>32</v>
      </c>
      <c r="R147" t="s">
        <v>1220</v>
      </c>
      <c r="S147" t="s">
        <v>1221</v>
      </c>
      <c r="T147" t="s">
        <v>36</v>
      </c>
      <c r="U147" t="s">
        <v>36</v>
      </c>
      <c r="V147" t="s">
        <v>36</v>
      </c>
      <c r="W147" t="s">
        <v>1222</v>
      </c>
      <c r="X147" t="s">
        <v>1223</v>
      </c>
      <c r="Y147" t="s">
        <v>1224</v>
      </c>
      <c r="Z147" t="s">
        <v>1225</v>
      </c>
    </row>
    <row r="148">
      <c r="A148" t="s">
        <v>1226</v>
      </c>
      <c r="B148" t="s">
        <v>41</v>
      </c>
      <c r="C148" t="s">
        <v>28</v>
      </c>
      <c r="D148" t="s">
        <v>29</v>
      </c>
      <c r="E148">
        <v>64552</v>
      </c>
      <c r="F148">
        <v>74033</v>
      </c>
      <c r="G148">
        <v>79552</v>
      </c>
      <c r="H148">
        <v>15000</v>
      </c>
      <c r="I148">
        <v>114555</v>
      </c>
      <c r="J148" t="str">
        <f>HYPERLINK("https://www.kinguin.net/es/category/321634/the-last-of-us-part-2-remastered-pc-steam-account","Abrir compra")</f>
        <v>Abrir compra</v>
      </c>
      <c r="K148" t="str">
        <f>HYPERLINK("https://store.steampowered.com/app/2531310/The_Last_of_Us_Parte_II_Remastered/","Abrir Steam")</f>
        <v>Abrir Steam</v>
      </c>
      <c r="L148" t="s">
        <v>153</v>
      </c>
      <c r="M148" t="s">
        <v>42</v>
      </c>
      <c r="N148" t="s">
        <v>32</v>
      </c>
      <c r="O148" t="s">
        <v>1227</v>
      </c>
      <c r="P148" t="s">
        <v>1228</v>
      </c>
      <c r="Q148" t="s">
        <v>32</v>
      </c>
      <c r="R148" t="s">
        <v>1229</v>
      </c>
      <c r="S148" t="s">
        <v>1230</v>
      </c>
      <c r="T148" t="s">
        <v>36</v>
      </c>
      <c r="U148" t="s">
        <v>36</v>
      </c>
      <c r="V148" t="s">
        <v>36</v>
      </c>
      <c r="W148" t="s">
        <v>1231</v>
      </c>
      <c r="X148" t="s">
        <v>36</v>
      </c>
      <c r="Y148" t="s">
        <v>36</v>
      </c>
      <c r="Z148" t="s">
        <v>36</v>
      </c>
    </row>
    <row r="149">
      <c r="A149" t="s">
        <v>1232</v>
      </c>
      <c r="B149" t="s">
        <v>41</v>
      </c>
      <c r="C149" t="s">
        <v>28</v>
      </c>
      <c r="D149" t="s">
        <v>29</v>
      </c>
      <c r="E149">
        <v>4573</v>
      </c>
      <c r="F149">
        <v>64777</v>
      </c>
      <c r="G149">
        <v>31573</v>
      </c>
      <c r="H149">
        <v>27000</v>
      </c>
      <c r="I149">
        <v>45465</v>
      </c>
      <c r="J149" t="str">
        <f>HYPERLINK("https://www.kinguin.net/es/category/150064/the-witcher-3-wild-hunt-steam-account","Abrir compra")</f>
        <v>Abrir compra</v>
      </c>
      <c r="K149" t="str">
        <f>HYPERLINK("https://store.steampowered.com/app/292030/The_Witcher_3_Wild_Hunt/","Abrir Steam")</f>
        <v>Abrir Steam</v>
      </c>
      <c r="L149" t="s">
        <v>153</v>
      </c>
      <c r="M149" t="s">
        <v>65</v>
      </c>
      <c r="N149" t="s">
        <v>32</v>
      </c>
      <c r="O149" t="s">
        <v>1233</v>
      </c>
      <c r="P149" t="s">
        <v>1234</v>
      </c>
      <c r="Q149" t="s">
        <v>32</v>
      </c>
      <c r="R149" t="s">
        <v>1235</v>
      </c>
      <c r="S149" t="s">
        <v>1236</v>
      </c>
      <c r="T149" t="s">
        <v>36</v>
      </c>
      <c r="U149" t="s">
        <v>36</v>
      </c>
      <c r="V149" t="s">
        <v>36</v>
      </c>
      <c r="W149" t="s">
        <v>1237</v>
      </c>
      <c r="X149" t="s">
        <v>36</v>
      </c>
      <c r="Y149" t="s">
        <v>36</v>
      </c>
      <c r="Z149" t="s">
        <v>36</v>
      </c>
    </row>
    <row r="150">
      <c r="A150" t="s">
        <v>1238</v>
      </c>
      <c r="B150" t="s">
        <v>63</v>
      </c>
      <c r="C150" t="s">
        <v>32</v>
      </c>
      <c r="D150" t="s">
        <v>51</v>
      </c>
      <c r="E150">
        <v>18420</v>
      </c>
      <c r="F150">
        <v>92546</v>
      </c>
      <c r="G150">
        <v>45420</v>
      </c>
      <c r="H150">
        <v>27000</v>
      </c>
      <c r="I150">
        <v>65405</v>
      </c>
      <c r="J150" t="str">
        <f>HYPERLINK("https://www.eneba.com/latam/steam-uncharted-legacy-of-thieves-collection-pc-steam-key-latam","Abrir compra")</f>
        <v>Abrir compra</v>
      </c>
      <c r="K150" t="str">
        <f>HYPERLINK("https://store.steampowered.com/app/1659420/UNCHARTED_Coleccin_Legado_de_los_Ladrones/?curator_clanid=4777282","Abrir Steam")</f>
        <v>Abrir Steam</v>
      </c>
      <c r="L150" t="s">
        <v>52</v>
      </c>
      <c r="M150" t="s">
        <v>31</v>
      </c>
      <c r="N150" t="s">
        <v>32</v>
      </c>
      <c r="O150" t="s">
        <v>1239</v>
      </c>
      <c r="P150" t="s">
        <v>1240</v>
      </c>
      <c r="Q150" t="s">
        <v>32</v>
      </c>
      <c r="R150" t="s">
        <v>1241</v>
      </c>
      <c r="S150" t="s">
        <v>36</v>
      </c>
      <c r="T150" t="s">
        <v>1242</v>
      </c>
      <c r="U150" t="s">
        <v>1243</v>
      </c>
      <c r="V150" t="s">
        <v>1195</v>
      </c>
      <c r="W150" t="s">
        <v>1244</v>
      </c>
      <c r="X150" t="s">
        <v>1245</v>
      </c>
      <c r="Y150" t="s">
        <v>1246</v>
      </c>
      <c r="Z150" t="s">
        <v>1247</v>
      </c>
    </row>
    <row r="151">
      <c r="A151" t="s">
        <v>1248</v>
      </c>
      <c r="B151" t="s">
        <v>63</v>
      </c>
      <c r="C151" t="s">
        <v>32</v>
      </c>
      <c r="D151" t="s">
        <v>51</v>
      </c>
      <c r="E151">
        <v>39927</v>
      </c>
      <c r="F151">
        <v>111059</v>
      </c>
      <c r="G151">
        <v>66927</v>
      </c>
      <c r="H151">
        <v>27000</v>
      </c>
      <c r="I151">
        <v>96375</v>
      </c>
      <c r="J151" t="str">
        <f>HYPERLINK("https://www.eneba.com/latam/steam-until-dawn-pc-steam-key-latam","Abrir compra")</f>
        <v>Abrir compra</v>
      </c>
      <c r="K151" t="str">
        <f>HYPERLINK("https://store.steampowered.com/app/2172010/Until_Dawn/?curator_clanid=4777282","Abrir Steam")</f>
        <v>Abrir Steam</v>
      </c>
      <c r="L151" t="s">
        <v>52</v>
      </c>
      <c r="M151" t="s">
        <v>31</v>
      </c>
      <c r="N151" t="s">
        <v>32</v>
      </c>
      <c r="O151" t="s">
        <v>1249</v>
      </c>
      <c r="P151" t="s">
        <v>1250</v>
      </c>
      <c r="Q151" t="s">
        <v>32</v>
      </c>
      <c r="R151" t="s">
        <v>1251</v>
      </c>
      <c r="S151" t="s">
        <v>36</v>
      </c>
      <c r="T151" t="s">
        <v>1252</v>
      </c>
      <c r="U151" t="s">
        <v>1253</v>
      </c>
      <c r="V151" t="s">
        <v>36</v>
      </c>
      <c r="W151" t="s">
        <v>1254</v>
      </c>
      <c r="X151" t="s">
        <v>1255</v>
      </c>
      <c r="Y151" t="s">
        <v>1256</v>
      </c>
      <c r="Z151" t="s">
        <v>36</v>
      </c>
    </row>
    <row r="152">
      <c r="A152" t="s">
        <v>1257</v>
      </c>
      <c r="B152" t="s">
        <v>1258</v>
      </c>
      <c r="C152" t="s">
        <v>28</v>
      </c>
      <c r="D152" t="s">
        <v>29</v>
      </c>
      <c r="E152">
        <v>146293</v>
      </c>
      <c r="F152">
        <v>240650</v>
      </c>
      <c r="G152">
        <v>161293</v>
      </c>
      <c r="H152">
        <v>15000</v>
      </c>
      <c r="I152">
        <v>232262</v>
      </c>
      <c r="J152" t="str">
        <f>HYPERLINK("https://www.kinguin.net/es/category/319995/wwe-2k25-bloodline-edition-pc-steam-account","Abrir compra")</f>
        <v>Abrir compra</v>
      </c>
      <c r="K152" t="str">
        <f>HYPERLINK("https://store.steampowered.com/app/2878960/WWE_2K25/","Abrir Steam")</f>
        <v>Abrir Steam</v>
      </c>
      <c r="L152" t="s">
        <v>153</v>
      </c>
      <c r="M152" t="s">
        <v>42</v>
      </c>
      <c r="N152" t="s">
        <v>32</v>
      </c>
      <c r="O152" t="s">
        <v>1259</v>
      </c>
      <c r="P152" t="s">
        <v>1260</v>
      </c>
      <c r="Q152" t="s">
        <v>32</v>
      </c>
      <c r="R152" t="s">
        <v>1261</v>
      </c>
      <c r="S152" t="s">
        <v>1262</v>
      </c>
      <c r="T152" t="s">
        <v>36</v>
      </c>
      <c r="U152" t="s">
        <v>36</v>
      </c>
      <c r="V152" t="s">
        <v>36</v>
      </c>
      <c r="W152" t="s">
        <v>1263</v>
      </c>
      <c r="X152" t="s">
        <v>1264</v>
      </c>
      <c r="Y152" t="s">
        <v>36</v>
      </c>
      <c r="Z152" t="s">
        <v>36</v>
      </c>
    </row>
    <row r="153">
      <c r="A153" t="s">
        <v>1257</v>
      </c>
      <c r="B153" t="s">
        <v>63</v>
      </c>
      <c r="C153" t="s">
        <v>32</v>
      </c>
      <c r="D153" t="s">
        <v>51</v>
      </c>
      <c r="E153">
        <v>31308</v>
      </c>
      <c r="F153">
        <v>111059</v>
      </c>
      <c r="G153">
        <v>66308</v>
      </c>
      <c r="H153">
        <v>35000</v>
      </c>
      <c r="I153">
        <v>95484</v>
      </c>
      <c r="J153" t="str">
        <f>HYPERLINK("https://driffle.com/es/wwe-2k25-global-pc-steam-digital-key-p9930153","Abrir compra")</f>
        <v>Abrir compra</v>
      </c>
      <c r="K153" t="str">
        <f>HYPERLINK("https://store.steampowered.com/app/2878960/WWE_2K25/","Abrir Steam")</f>
        <v>Abrir Steam</v>
      </c>
      <c r="L153" t="s">
        <v>30</v>
      </c>
      <c r="M153" t="s">
        <v>42</v>
      </c>
      <c r="N153" t="s">
        <v>32</v>
      </c>
      <c r="O153" t="s">
        <v>1265</v>
      </c>
      <c r="P153" t="s">
        <v>1266</v>
      </c>
      <c r="Q153" t="s">
        <v>32</v>
      </c>
      <c r="R153" t="s">
        <v>1267</v>
      </c>
      <c r="S153" t="s">
        <v>36</v>
      </c>
      <c r="T153" t="s">
        <v>1268</v>
      </c>
      <c r="U153" t="s">
        <v>1269</v>
      </c>
      <c r="V153" t="s">
        <v>36</v>
      </c>
      <c r="W153" t="s">
        <v>1270</v>
      </c>
      <c r="X153" t="s">
        <v>1271</v>
      </c>
      <c r="Y153" t="s">
        <v>1272</v>
      </c>
      <c r="Z153" t="s">
        <v>36</v>
      </c>
    </row>
    <row r="154">
      <c r="A154" t="s">
        <v>1257</v>
      </c>
      <c r="B154" t="s">
        <v>41</v>
      </c>
      <c r="C154" t="s">
        <v>28</v>
      </c>
      <c r="D154" t="s">
        <v>29</v>
      </c>
      <c r="E154">
        <v>49873</v>
      </c>
      <c r="F154">
        <v>111059</v>
      </c>
      <c r="G154">
        <v>69262</v>
      </c>
      <c r="H154">
        <v>19389</v>
      </c>
      <c r="I154">
        <v>99737</v>
      </c>
      <c r="J154" t="str">
        <f>HYPERLINK("https://www.kinguin.net/es/category/314612/wwe-2k25-pc-steam-account","Abrir compra")</f>
        <v>Abrir compra</v>
      </c>
      <c r="K154" t="str">
        <f>HYPERLINK("https://store.steampowered.com/app/2878960/WWE_2K25/","Abrir Steam")</f>
        <v>Abrir Steam</v>
      </c>
      <c r="L154" t="s">
        <v>153</v>
      </c>
      <c r="M154" t="s">
        <v>42</v>
      </c>
      <c r="N154" t="s">
        <v>32</v>
      </c>
      <c r="O154" t="s">
        <v>1273</v>
      </c>
      <c r="P154" t="s">
        <v>1274</v>
      </c>
      <c r="Q154" t="s">
        <v>32</v>
      </c>
      <c r="R154" t="s">
        <v>1275</v>
      </c>
      <c r="S154" t="s">
        <v>1276</v>
      </c>
      <c r="T154" t="s">
        <v>36</v>
      </c>
      <c r="U154" t="s">
        <v>36</v>
      </c>
      <c r="V154" t="s">
        <v>36</v>
      </c>
      <c r="W154" t="s">
        <v>1277</v>
      </c>
      <c r="X154" t="s">
        <v>36</v>
      </c>
      <c r="Y154" t="s">
        <v>36</v>
      </c>
      <c r="Z154" t="s">
        <v>36</v>
      </c>
    </row>
    <row r="155">
      <c r="A155" t="s">
        <v>1278</v>
      </c>
      <c r="B155" t="s">
        <v>1279</v>
      </c>
      <c r="C155" t="s">
        <v>32</v>
      </c>
      <c r="D155" t="s">
        <v>51</v>
      </c>
      <c r="E155">
        <v>105246</v>
      </c>
      <c r="F155">
        <v>240650</v>
      </c>
      <c r="G155">
        <v>132246</v>
      </c>
      <c r="H155">
        <v>27000</v>
      </c>
      <c r="I155">
        <v>190434</v>
      </c>
      <c r="J155" t="str">
        <f>HYPERLINK("https://www.kinguin.net/es/category/476565/wwe-2k26-attitude-era-edition-pc-steam-cd-key","Abrir compra")</f>
        <v>Abrir compra</v>
      </c>
      <c r="K155" t="str">
        <f>HYPERLINK("https://store.steampowered.com/app/3717070/WWE_2K26/","Abrir Steam")</f>
        <v>Abrir Steam</v>
      </c>
      <c r="L155" t="s">
        <v>153</v>
      </c>
      <c r="M155" t="s">
        <v>65</v>
      </c>
      <c r="N155" t="s">
        <v>32</v>
      </c>
      <c r="O155" t="s">
        <v>1280</v>
      </c>
      <c r="P155" t="s">
        <v>1281</v>
      </c>
      <c r="Q155" t="s">
        <v>32</v>
      </c>
      <c r="R155" t="s">
        <v>1282</v>
      </c>
      <c r="S155" t="s">
        <v>1283</v>
      </c>
      <c r="T155" t="s">
        <v>36</v>
      </c>
      <c r="U155" t="s">
        <v>36</v>
      </c>
      <c r="V155" t="s">
        <v>36</v>
      </c>
      <c r="W155" t="s">
        <v>1284</v>
      </c>
      <c r="X155" t="s">
        <v>36</v>
      </c>
      <c r="Y155" t="s">
        <v>36</v>
      </c>
      <c r="Z155" t="s">
        <v>36</v>
      </c>
    </row>
    <row r="156">
      <c r="A156" t="s">
        <v>1278</v>
      </c>
      <c r="B156" t="s">
        <v>63</v>
      </c>
      <c r="C156" t="s">
        <v>32</v>
      </c>
      <c r="D156" t="s">
        <v>51</v>
      </c>
      <c r="E156">
        <v>45396</v>
      </c>
      <c r="F156">
        <v>129572</v>
      </c>
      <c r="G156">
        <v>72396</v>
      </c>
      <c r="H156">
        <v>27000</v>
      </c>
      <c r="I156">
        <v>104250</v>
      </c>
      <c r="J156" t="str">
        <f>HYPERLINK("https://www.eneba.com/latam/steam-wwe-2k26-steam-key-pc-global","Abrir compra")</f>
        <v>Abrir compra</v>
      </c>
      <c r="K156" t="str">
        <f>HYPERLINK("https://store.steampowered.com/app/3717070/WWE_2K26/","Abrir Steam")</f>
        <v>Abrir Steam</v>
      </c>
      <c r="L156" t="s">
        <v>52</v>
      </c>
      <c r="M156" t="s">
        <v>42</v>
      </c>
      <c r="N156" t="s">
        <v>32</v>
      </c>
      <c r="O156" t="s">
        <v>1285</v>
      </c>
      <c r="P156" t="s">
        <v>1286</v>
      </c>
      <c r="Q156" t="s">
        <v>32</v>
      </c>
      <c r="R156" t="s">
        <v>1287</v>
      </c>
      <c r="S156" t="s">
        <v>36</v>
      </c>
      <c r="T156" t="s">
        <v>177</v>
      </c>
      <c r="U156" t="s">
        <v>36</v>
      </c>
      <c r="V156" t="s">
        <v>36</v>
      </c>
      <c r="W156" t="s">
        <v>1288</v>
      </c>
      <c r="X156" t="s">
        <v>1289</v>
      </c>
      <c r="Y156" t="s">
        <v>36</v>
      </c>
      <c r="Z156" t="s">
        <v>36</v>
      </c>
    </row>
    <row r="157">
      <c r="A157" t="s">
        <v>1278</v>
      </c>
      <c r="B157" t="s">
        <v>1290</v>
      </c>
      <c r="C157" t="s">
        <v>28</v>
      </c>
      <c r="D157" t="s">
        <v>29</v>
      </c>
      <c r="E157">
        <v>111370</v>
      </c>
      <c r="F157">
        <v>185111</v>
      </c>
      <c r="G157">
        <v>126370</v>
      </c>
      <c r="H157">
        <v>15000</v>
      </c>
      <c r="I157">
        <v>181973</v>
      </c>
      <c r="J157" t="str">
        <f>HYPERLINK("https://www.kinguin.net/es/category/476574/wwe-2k26-king-of-kings-edition-pc-steam-account","Abrir compra")</f>
        <v>Abrir compra</v>
      </c>
      <c r="K157" t="str">
        <f>HYPERLINK("https://store.steampowered.com/app/3717070/WWE_2K26/","Abrir Steam")</f>
        <v>Abrir Steam</v>
      </c>
      <c r="L157" t="s">
        <v>153</v>
      </c>
      <c r="M157" t="s">
        <v>42</v>
      </c>
      <c r="N157" t="s">
        <v>32</v>
      </c>
      <c r="O157" t="s">
        <v>1291</v>
      </c>
      <c r="P157" t="s">
        <v>1292</v>
      </c>
      <c r="Q157" t="s">
        <v>32</v>
      </c>
      <c r="R157" t="s">
        <v>1293</v>
      </c>
      <c r="S157" t="s">
        <v>1294</v>
      </c>
      <c r="T157" t="s">
        <v>36</v>
      </c>
      <c r="U157" t="s">
        <v>36</v>
      </c>
      <c r="V157" t="s">
        <v>36</v>
      </c>
      <c r="W157" t="s">
        <v>1295</v>
      </c>
      <c r="X157" t="s">
        <v>36</v>
      </c>
      <c r="Y157" t="s">
        <v>36</v>
      </c>
      <c r="Z157" t="s">
        <v>36</v>
      </c>
    </row>
  </sheetData>
</worksheet>
</file>