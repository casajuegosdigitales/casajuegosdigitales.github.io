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<sst xmlns="http://schemas.openxmlformats.org/spreadsheetml/2006/main" count="1930" uniqueCount="1930">
  <si>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</si>
  <si>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</si>
  <si>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</si>
  <si>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</si>
  <si>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</si>
  <si>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</si>
  <si>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</si>
  <si>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</si>
  <si>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</si>
  <si>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</si>
  <si>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</si>
  <si>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</si>
  <si>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</si>
  <si>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</si>
  <si>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</si>
  <si>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</si>
  <si>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</si>
  <si>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</si>
  <si>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</si>
  <si>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</si>
  <si>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</si>
  <si>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</si>
  <si>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</si>
  <si>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</si>
  <si>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</si>
  <si>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</si>
  <si>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</si>
  <si>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</si>
  <si>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</si>
  <si>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</si>
  <si>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</si>
  <si>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</si>
  <si>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</si>
  <si>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</si>
  <si>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2026-08-02T02:09:25.904Z</t>
  </si>
  <si>
    <t>driffle:85715</t>
  </si>
  <si>
    <t/>
  </si>
  <si>
    <t>85715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</si>
  <si>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</si>
  <si>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</si>
  <si>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</si>
  <si>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</si>
  <si>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kinguin</t>
  </si>
  <si>
    <t>007 First Light Deluxe Edition LATAM PC Steam CD Key</t>
  </si>
  <si>
    <t>2026-08-02T02:08:51.915Z</t>
  </si>
  <si>
    <t>kinguin:99651 | driffle:100899 | loaded:107582</t>
  </si>
  <si>
    <t>99651</t>
  </si>
  <si>
    <t>100899</t>
  </si>
  <si>
    <t>107582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</si>
  <si>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</si>
  <si>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</si>
  <si>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</si>
  <si>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</si>
  <si>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</si>
  <si>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</si>
  <si>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2026-08-02T02:08:23.457Z</t>
  </si>
  <si>
    <t>driffle:70989 | loaded:71716</t>
  </si>
  <si>
    <t>70989</t>
  </si>
  <si>
    <t>71716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</si>
  <si>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</si>
  <si>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</si>
  <si>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</si>
  <si>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</si>
  <si>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</si>
  <si>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</si>
  <si>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2026-08-02T02:08:31.998Z</t>
  </si>
  <si>
    <t>driffle:46831 | kinguin:51634</t>
  </si>
  <si>
    <t>51634</t>
  </si>
  <si>
    <t>46831</t>
  </si>
  <si>
    <t>https://www.kinguin.net/es/category/404893/007-first-light-pc-steam-account</t>
  </si>
  <si>
    <t>https://driffle.com/007-first-light-global-pc-steam-account-p9994206</t>
  </si>
  <si>
    <t>A way out</t>
  </si>
  <si>
    <t>cuenta</t>
  </si>
  <si>
    <t>A Way Out Steam Account</t>
  </si>
  <si>
    <t>2026-08-02T02:09:34.642Z</t>
  </si>
  <si>
    <t>kinguin:6841 | driffle:8469</t>
  </si>
  <si>
    <t>6841</t>
  </si>
  <si>
    <t>8469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</si>
  <si>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</si>
  <si>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</si>
  <si>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</si>
  <si>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</si>
  <si>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2026-08-02T02:10:40.043Z</t>
  </si>
  <si>
    <t>kinguin:41981</t>
  </si>
  <si>
    <t>41981</t>
  </si>
  <si>
    <t>https://www.kinguin.net/es/category/391314/arc-raiders-deluxe-edition-pc-steam-account</t>
  </si>
  <si>
    <t>global</t>
  </si>
  <si>
    <t>ARC Raiders - Deluxe Edition (Global) (PC) - Steam - Digital Key</t>
  </si>
  <si>
    <t>2026-08-02T02:10:35.818Z</t>
  </si>
  <si>
    <t>driffle:47985 | loaded:52756</t>
  </si>
  <si>
    <t>47985</t>
  </si>
  <si>
    <t>52756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</si>
  <si>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</si>
  <si>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</si>
  <si>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</si>
  <si>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</si>
  <si>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</si>
  <si>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</si>
  <si>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2026-08-02T02:09:55.182Z</t>
  </si>
  <si>
    <t>driffle:35360 | loaded:31584</t>
  </si>
  <si>
    <t>35360</t>
  </si>
  <si>
    <t>31584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</si>
  <si>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</si>
  <si>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</si>
  <si>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</si>
  <si>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</si>
  <si>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</si>
  <si>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2026-08-02T02:09:59.209Z</t>
  </si>
  <si>
    <t>kinguin:31079</t>
  </si>
  <si>
    <t>31079</t>
  </si>
  <si>
    <t>https://www.kinguin.net/es/category/391303/arc-raiders-pc-steam-account</t>
  </si>
  <si>
    <t>ARK: Survival Ascended</t>
  </si>
  <si>
    <t>ARK Survival Ascended (Global) (PC) - Steam - Digital Key</t>
  </si>
  <si>
    <t>2026-08-02T02:10:53.630Z</t>
  </si>
  <si>
    <t>driffle:81749 | kinguin:84498</t>
  </si>
  <si>
    <t>84498</t>
  </si>
  <si>
    <t>81749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</si>
  <si>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</si>
  <si>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</si>
  <si>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</si>
  <si>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</si>
  <si>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2026-08-02T02:11:03.065Z</t>
  </si>
  <si>
    <t>kinguin:12719 | driffle:14362</t>
  </si>
  <si>
    <t>12719</t>
  </si>
  <si>
    <t>14362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</si>
  <si>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</si>
  <si>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</si>
  <si>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</si>
  <si>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</si>
  <si>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2026-08-02T02:11:12.313Z</t>
  </si>
  <si>
    <t>driffle:43339</t>
  </si>
  <si>
    <t>43339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</si>
  <si>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</si>
  <si>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</si>
  <si>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</si>
  <si>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</si>
  <si>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2026-08-02T02:12:15.675Z</t>
  </si>
  <si>
    <t>kinguin:93868</t>
  </si>
  <si>
    <t>93868</t>
  </si>
  <si>
    <t>https://www.kinguin.net/es/category/305807/assassins-creed-shadows-deluxe-edition-pc-steam-account</t>
  </si>
  <si>
    <t>Assassin’s Creed Shadows PC Steam Account</t>
  </si>
  <si>
    <t>2026-08-02T02:11:44.843Z</t>
  </si>
  <si>
    <t>kinguin:33449 | driffle:37383</t>
  </si>
  <si>
    <t>33449</t>
  </si>
  <si>
    <t>37383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</si>
  <si>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</si>
  <si>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</si>
  <si>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</si>
  <si>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</si>
  <si>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2026-08-02T02:12:33.233Z</t>
  </si>
  <si>
    <t>driffle:20429</t>
  </si>
  <si>
    <t>20429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</si>
  <si>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</si>
  <si>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</si>
  <si>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</si>
  <si>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</si>
  <si>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2026-08-02T02:12:52.235Z</t>
  </si>
  <si>
    <t>driffle:76172</t>
  </si>
  <si>
    <t>76172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</si>
  <si>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</si>
  <si>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</si>
  <si>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</si>
  <si>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</si>
  <si>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</si>
  <si>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2026-08-02T02:13:00.778Z</t>
  </si>
  <si>
    <t>driffle:26212 | kinguin:30636</t>
  </si>
  <si>
    <t>30636</t>
  </si>
  <si>
    <t>26212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</si>
  <si>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</si>
  <si>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</si>
  <si>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</si>
  <si>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</si>
  <si>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2026-08-02T02:13:18.280Z</t>
  </si>
  <si>
    <t>driffle:118042</t>
  </si>
  <si>
    <t>118042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</si>
  <si>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</si>
  <si>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</si>
  <si>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</si>
  <si>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</si>
  <si>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</si>
  <si>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</si>
  <si>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2026-08-02T02:13:27.106Z</t>
  </si>
  <si>
    <t>kinguin:70752 | driffle:74260</t>
  </si>
  <si>
    <t>70752</t>
  </si>
  <si>
    <t>74260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</si>
  <si>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</si>
  <si>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</si>
  <si>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</si>
  <si>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</si>
  <si>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2026-08-02T02:14:28.191Z</t>
  </si>
  <si>
    <t>kinguin:79348</t>
  </si>
  <si>
    <t>79348</t>
  </si>
  <si>
    <t>https://www.kinguin.net/es/category/244179/black-myth-wukong-deluxe-edition-pc-steam-account</t>
  </si>
  <si>
    <t>https://driffle.com/black-myth-wukong-digital-deluxe-edition-global-pc-steam-account-p9971417</t>
  </si>
  <si>
    <t>eneba</t>
  </si>
  <si>
    <t>Black Myth: Wukong (PC) Código de Steam GLOBAL</t>
  </si>
  <si>
    <t>2026-08-02T02:13:45.951Z</t>
  </si>
  <si>
    <t>driffle:90171 | loaded:82302 | eneba:81022</t>
  </si>
  <si>
    <t>81022</t>
  </si>
  <si>
    <t>90171</t>
  </si>
  <si>
    <t>82302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</si>
  <si>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</si>
  <si>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</si>
  <si>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</si>
  <si>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</si>
  <si>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</si>
  <si>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2026-08-02T02:13:54.490Z</t>
  </si>
  <si>
    <t>driffle:48237 | kinguin:53025</t>
  </si>
  <si>
    <t>53025</t>
  </si>
  <si>
    <t>48237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</si>
  <si>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</si>
  <si>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</si>
  <si>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</si>
  <si>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</si>
  <si>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2026-08-02T02:15:08.687Z</t>
  </si>
  <si>
    <t>kinguin:62995</t>
  </si>
  <si>
    <t>62995</t>
  </si>
  <si>
    <t>https://www.kinguin.net/es/category/352522/borderlands-4-deluxe-edition-pc-steam-account</t>
  </si>
  <si>
    <t>Borderlands 4 Super Deluxe Edition PC Steam Account</t>
  </si>
  <si>
    <t>2026-08-02T02:15:25.981Z</t>
  </si>
  <si>
    <t>kinguin:131409</t>
  </si>
  <si>
    <t>131409</t>
  </si>
  <si>
    <t>https://www.kinguin.net/es/category/352529/borderlands-4-super-deluxe-edition-pc-steam-account</t>
  </si>
  <si>
    <t>Borderlands 4 Deluxe Edition (Global) (PC) - Steam - Digital Key</t>
  </si>
  <si>
    <t>2026-08-02T02:15:04.541Z</t>
  </si>
  <si>
    <t>driffle:63074 | kinguin:69473 | eneba:66202</t>
  </si>
  <si>
    <t>69473</t>
  </si>
  <si>
    <t>66202</t>
  </si>
  <si>
    <t>63074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</si>
  <si>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</si>
  <si>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</si>
  <si>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</si>
  <si>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</si>
  <si>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2026-08-02T02:14:47.317Z</t>
  </si>
  <si>
    <t>driffle:46736 | kinguin:51034 | loaded:44856 | eneba:47321</t>
  </si>
  <si>
    <t>51034</t>
  </si>
  <si>
    <t>47321</t>
  </si>
  <si>
    <t>46736</t>
  </si>
  <si>
    <t>44856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</si>
  <si>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</si>
  <si>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</si>
  <si>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</si>
  <si>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</si>
  <si>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</si>
  <si>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2026-08-02T02:14:51.391Z</t>
  </si>
  <si>
    <t>kinguin:35108</t>
  </si>
  <si>
    <t>35108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</si>
  <si>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</si>
  <si>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</si>
  <si>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</si>
  <si>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2026-08-02T02:15:21.662Z</t>
  </si>
  <si>
    <t>driffle:86710 | kinguin:96238 | eneba:85683</t>
  </si>
  <si>
    <t>96238</t>
  </si>
  <si>
    <t>85683</t>
  </si>
  <si>
    <t>86710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</si>
  <si>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</si>
  <si>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</si>
  <si>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</si>
  <si>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</si>
  <si>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</si>
  <si>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2026-08-02T02:15:36.683Z</t>
  </si>
  <si>
    <t>driffle:43403 | kinguin:43877</t>
  </si>
  <si>
    <t>43877</t>
  </si>
  <si>
    <t>43403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</si>
  <si>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</si>
  <si>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</si>
  <si>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</si>
  <si>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</si>
  <si>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</si>
  <si>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2026-08-02T02:15:50.452Z</t>
  </si>
  <si>
    <t>driffle:31805 | kinguin:35645</t>
  </si>
  <si>
    <t>35645</t>
  </si>
  <si>
    <t>31805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</si>
  <si>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</si>
  <si>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</si>
  <si>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</si>
  <si>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</si>
  <si>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2026-08-02T02:17:32.858Z</t>
  </si>
  <si>
    <t>driffle:69773 | kinguin:57623</t>
  </si>
  <si>
    <t>57623</t>
  </si>
  <si>
    <t>69773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</si>
  <si>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</si>
  <si>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</si>
  <si>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</si>
  <si>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2026-08-02T02:17:24.247Z</t>
  </si>
  <si>
    <t>driffle:61446 | kinguin:50039 | loaded:49596 | eneba:62363</t>
  </si>
  <si>
    <t>50039</t>
  </si>
  <si>
    <t>62363</t>
  </si>
  <si>
    <t>61446</t>
  </si>
  <si>
    <t>49596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</si>
  <si>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</si>
  <si>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</si>
  <si>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</si>
  <si>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</si>
  <si>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</si>
  <si>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2026-08-02T02:16:18.900Z</t>
  </si>
  <si>
    <t>driffle:44098 | kinguin:39310 | loaded:34744 | eneba:40448</t>
  </si>
  <si>
    <t>39310</t>
  </si>
  <si>
    <t>40448</t>
  </si>
  <si>
    <t>44098</t>
  </si>
  <si>
    <t>34744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</si>
  <si>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</si>
  <si>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</si>
  <si>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</si>
  <si>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</si>
  <si>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</si>
  <si>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2026-08-02T02:16:28.097Z</t>
  </si>
  <si>
    <t>driffle:36308 | kinguin:34254</t>
  </si>
  <si>
    <t>34254</t>
  </si>
  <si>
    <t>36308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</si>
  <si>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</si>
  <si>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</si>
  <si>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</si>
  <si>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</si>
  <si>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2026-08-02T02:18:28.660Z</t>
  </si>
  <si>
    <t>driffle:63769 | kinguin:66992</t>
  </si>
  <si>
    <t>66992</t>
  </si>
  <si>
    <t>63769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</si>
  <si>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</si>
  <si>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</si>
  <si>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</si>
  <si>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2026-08-02T02:18:20.038Z</t>
  </si>
  <si>
    <t>loaded:52756 | driffle:60862 | eneba:61020 | kinguin:66945</t>
  </si>
  <si>
    <t>66945</t>
  </si>
  <si>
    <t>61020</t>
  </si>
  <si>
    <t>60862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</si>
  <si>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</si>
  <si>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</si>
  <si>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</si>
  <si>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</si>
  <si>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</si>
  <si>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2026-08-02T02:17:53.066Z</t>
  </si>
  <si>
    <t>loaded:48490 | eneba:61762 | kinguin:72380 | driffle:84751</t>
  </si>
  <si>
    <t>72380</t>
  </si>
  <si>
    <t>61762</t>
  </si>
  <si>
    <t>84751</t>
  </si>
  <si>
    <t>48490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</si>
  <si>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</si>
  <si>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</si>
  <si>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</si>
  <si>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</si>
  <si>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</si>
  <si>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2026-08-02T02:18:03.238Z</t>
  </si>
  <si>
    <t>driffle:52819 | kinguin:53372</t>
  </si>
  <si>
    <t>53372</t>
  </si>
  <si>
    <t>52819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</si>
  <si>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</si>
  <si>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</si>
  <si>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</si>
  <si>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</si>
  <si>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</si>
  <si>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2026-08-02T02:19:03.587Z</t>
  </si>
  <si>
    <t>driffle:26655 | eneba:26907</t>
  </si>
  <si>
    <t>26907</t>
  </si>
  <si>
    <t>26655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</si>
  <si>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</si>
  <si>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</si>
  <si>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</si>
  <si>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</si>
  <si>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</si>
  <si>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2026-08-02T02:19:07.714Z</t>
  </si>
  <si>
    <t>kinguin:25264</t>
  </si>
  <si>
    <t>25264</t>
  </si>
  <si>
    <t>https://www.kinguin.net/es/category/234698/cuphead-the-delicious-last-course-bundle-steam-account</t>
  </si>
  <si>
    <t>Cuphead (Global) (PC / Mac) - Steam - Digital Key</t>
  </si>
  <si>
    <t>2026-08-02T02:18:41.599Z</t>
  </si>
  <si>
    <t>driffle:22610 | eneba:22689</t>
  </si>
  <si>
    <t>22689</t>
  </si>
  <si>
    <t>22610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</si>
  <si>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</si>
  <si>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</si>
  <si>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</si>
  <si>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</si>
  <si>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2026-08-02T02:18:50.451Z</t>
  </si>
  <si>
    <t>driffle:6320 | kinguin:6668</t>
  </si>
  <si>
    <t>6668</t>
  </si>
  <si>
    <t>6320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</si>
  <si>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</si>
  <si>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</si>
  <si>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</si>
  <si>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</si>
  <si>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2026-08-02T02:19:16.598Z</t>
  </si>
  <si>
    <t>kinguin:13367 | driffle:14030</t>
  </si>
  <si>
    <t>13367</t>
  </si>
  <si>
    <t>14030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</si>
  <si>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</si>
  <si>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</si>
  <si>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</si>
  <si>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</si>
  <si>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2026-08-02T02:19:25.548Z</t>
  </si>
  <si>
    <t>driffle:33322</t>
  </si>
  <si>
    <t>33322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</si>
  <si>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</si>
  <si>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</si>
  <si>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</si>
  <si>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</si>
  <si>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</si>
  <si>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2026-08-02T02:20:21.266Z</t>
  </si>
  <si>
    <t>eneba:109067 | driffle:117505</t>
  </si>
  <si>
    <t>109067</t>
  </si>
  <si>
    <t>117505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</si>
  <si>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</si>
  <si>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</si>
  <si>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</si>
  <si>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</si>
  <si>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2026-08-02T02:20:25.917Z</t>
  </si>
  <si>
    <t>kinguin:51366</t>
  </si>
  <si>
    <t>51366</t>
  </si>
  <si>
    <t>https://www.kinguin.net/es/category/344471/dayz-cool-edition-pc-steam-account</t>
  </si>
  <si>
    <t>Deluxe Edition - CD Key LATAM (Steam)</t>
  </si>
  <si>
    <t>DayZ Deluxe Edition Steam Key (PC) LATAM</t>
  </si>
  <si>
    <t>2026-08-02T02:20:07.781Z</t>
  </si>
  <si>
    <t>eneba:38299 | driffle:61099 | loaded:59076</t>
  </si>
  <si>
    <t>38299</t>
  </si>
  <si>
    <t>61099</t>
  </si>
  <si>
    <t>59076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</si>
  <si>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</si>
  <si>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</si>
  <si>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</si>
  <si>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</si>
  <si>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</si>
  <si>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2026-08-02T02:20:12.229Z</t>
  </si>
  <si>
    <t>kinguin:27887</t>
  </si>
  <si>
    <t>27887</t>
  </si>
  <si>
    <t>https://www.kinguin.net/es/category/249044/dayz-deluxe-edition-pc-steam-account</t>
  </si>
  <si>
    <t>DayZ (PC) Steam Key LATAM</t>
  </si>
  <si>
    <t>2026-08-02T02:19:38.590Z</t>
  </si>
  <si>
    <t>eneba:24111 | driffle:24822 | kinguin:28630</t>
  </si>
  <si>
    <t>28630</t>
  </si>
  <si>
    <t>24111</t>
  </si>
  <si>
    <t>24822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</si>
  <si>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</si>
  <si>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</si>
  <si>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</si>
  <si>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</si>
  <si>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2026-08-02T02:19:47.658Z</t>
  </si>
  <si>
    <t>driffle:19197 | kinguin:19845</t>
  </si>
  <si>
    <t>19845</t>
  </si>
  <si>
    <t>19197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</si>
  <si>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</si>
  <si>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</si>
  <si>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</si>
  <si>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</si>
  <si>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2026-08-02T02:20:34.103Z</t>
  </si>
  <si>
    <t>kinguin:26354</t>
  </si>
  <si>
    <t>26354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</si>
  <si>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</si>
  <si>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</si>
  <si>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</si>
  <si>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2026-08-02T02:20:57.381Z</t>
  </si>
  <si>
    <t>kinguin:5593 | driffle:5830</t>
  </si>
  <si>
    <t>5593</t>
  </si>
  <si>
    <t>5830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</si>
  <si>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</si>
  <si>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</si>
  <si>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</si>
  <si>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</si>
  <si>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2026-08-02T02:21:01.986Z</t>
  </si>
  <si>
    <t>kinguin:71305</t>
  </si>
  <si>
    <t>71305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</si>
  <si>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</si>
  <si>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</si>
  <si>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</si>
  <si>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2026-08-02T02:21:35.011Z</t>
  </si>
  <si>
    <t>eneba:88180 | kinguin:100994 | driffle:106982</t>
  </si>
  <si>
    <t>100994</t>
  </si>
  <si>
    <t>88180</t>
  </si>
  <si>
    <t>106982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</si>
  <si>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</si>
  <si>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</si>
  <si>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</si>
  <si>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</si>
  <si>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2026-08-02T02:21:39.878Z</t>
  </si>
  <si>
    <t>driffle:47748</t>
  </si>
  <si>
    <t>47748</t>
  </si>
  <si>
    <t>https://driffle.com/es/death-stranding-2-on-the-beach-global-pc-steam-account-p9986853</t>
  </si>
  <si>
    <t>Detroit: Become Human</t>
  </si>
  <si>
    <t>Detroit: Become Human Código de Steam LATAM</t>
  </si>
  <si>
    <t>2026-08-02T02:24:10.824Z</t>
  </si>
  <si>
    <t>driffle:8279 | loaded:10570 | eneba:8090</t>
  </si>
  <si>
    <t>8090</t>
  </si>
  <si>
    <t>8279</t>
  </si>
  <si>
    <t>10570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</si>
  <si>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</si>
  <si>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</si>
  <si>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</si>
  <si>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</si>
  <si>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</si>
  <si>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2026-08-02T02:24:19.519Z</t>
  </si>
  <si>
    <t>driffle:4345 | kinguin:5846</t>
  </si>
  <si>
    <t>5846</t>
  </si>
  <si>
    <t>4345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</si>
  <si>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</si>
  <si>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</si>
  <si>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</si>
  <si>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</si>
  <si>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</si>
  <si>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2026-08-02T02:23:05.530Z</t>
  </si>
  <si>
    <t>driffle:85984 | kinguin:89918</t>
  </si>
  <si>
    <t>89918</t>
  </si>
  <si>
    <t>85984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</si>
  <si>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</si>
  <si>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</si>
  <si>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</si>
  <si>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2026-08-02T02:22:55.775Z</t>
  </si>
  <si>
    <t>driffle:37462 | kinguin:37809</t>
  </si>
  <si>
    <t>37809</t>
  </si>
  <si>
    <t>37462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</si>
  <si>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</si>
  <si>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</si>
  <si>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</si>
  <si>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</si>
  <si>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2026-08-02T02:24:28.332Z</t>
  </si>
  <si>
    <t>driffle:11076 | kinguin:11518</t>
  </si>
  <si>
    <t>11518</t>
  </si>
  <si>
    <t>11076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</si>
  <si>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</si>
  <si>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</si>
  <si>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</si>
  <si>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</si>
  <si>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2026-08-02T02:23:32.410Z</t>
  </si>
  <si>
    <t>eneba:76551</t>
  </si>
  <si>
    <t>76551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</si>
  <si>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</si>
  <si>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</si>
  <si>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</si>
  <si>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2026-08-02T02:23:14.402Z</t>
  </si>
  <si>
    <t>kinguin:60103 | eneba:51334</t>
  </si>
  <si>
    <t>60103</t>
  </si>
  <si>
    <t>51334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</si>
  <si>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</si>
  <si>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</si>
  <si>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</si>
  <si>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2026-08-02T02:23:24.277Z</t>
  </si>
  <si>
    <t>driffle:48000 | kinguin:49896</t>
  </si>
  <si>
    <t>49896</t>
  </si>
  <si>
    <t>48000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</si>
  <si>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</si>
  <si>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</si>
  <si>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</si>
  <si>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</si>
  <si>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2026-08-02T02:23:45.376Z</t>
  </si>
  <si>
    <t>eneba:83661</t>
  </si>
  <si>
    <t>83661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</si>
  <si>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</si>
  <si>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</si>
  <si>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</si>
  <si>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</si>
  <si>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2026-08-02T02:25:36.177Z</t>
  </si>
  <si>
    <t>driffle:83582 | eneba:84783</t>
  </si>
  <si>
    <t>84783</t>
  </si>
  <si>
    <t>83582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</si>
  <si>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</si>
  <si>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</si>
  <si>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</si>
  <si>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</si>
  <si>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</si>
  <si>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2026-08-02T02:25:44.814Z</t>
  </si>
  <si>
    <t>driffle:54984 | kinguin:57212</t>
  </si>
  <si>
    <t>57212</t>
  </si>
  <si>
    <t>54984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</si>
  <si>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</si>
  <si>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</si>
  <si>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</si>
  <si>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2026-08-02T02:24:53.957Z</t>
  </si>
  <si>
    <t>driffle:63674 | kinguin:64764 | loaded:63184 | eneba:61968</t>
  </si>
  <si>
    <t>64764</t>
  </si>
  <si>
    <t>61968</t>
  </si>
  <si>
    <t>63674</t>
  </si>
  <si>
    <t>63184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</si>
  <si>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</si>
  <si>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</si>
  <si>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</si>
  <si>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</si>
  <si>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</si>
  <si>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2026-08-02T02:25:03.267Z</t>
  </si>
  <si>
    <t>driffle:34081 | kinguin:37320</t>
  </si>
  <si>
    <t>37320</t>
  </si>
  <si>
    <t>34081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</si>
  <si>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</si>
  <si>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</si>
  <si>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</si>
  <si>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</si>
  <si>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2026-08-02T02:26:01.980Z</t>
  </si>
  <si>
    <t>driffle:60340 | loaded:61604 | eneba:72870</t>
  </si>
  <si>
    <t>72870</t>
  </si>
  <si>
    <t>60340</t>
  </si>
  <si>
    <t>61604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</si>
  <si>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</si>
  <si>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</si>
  <si>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</si>
  <si>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</si>
  <si>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</si>
  <si>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2026-08-02T02:26:06.202Z</t>
  </si>
  <si>
    <t>kinguin:61889</t>
  </si>
  <si>
    <t>61889</t>
  </si>
  <si>
    <t>https://www.kinguin.net/es/category/308192/dynasty-warriors-origins-pc-steam-account</t>
  </si>
  <si>
    <t>EA SPORTS FC 26</t>
  </si>
  <si>
    <t>EA SPORTS FC 26 PC Steam Account</t>
  </si>
  <si>
    <t>2026-08-02T02:27:17.380Z</t>
  </si>
  <si>
    <t>kinguin:5498 | driffle:6130</t>
  </si>
  <si>
    <t>5498</t>
  </si>
  <si>
    <t>6130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</si>
  <si>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</si>
  <si>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</si>
  <si>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</si>
  <si>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</si>
  <si>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2026-08-02T02:27:36.452Z</t>
  </si>
  <si>
    <t>kinguin:16622 | driffle:14315</t>
  </si>
  <si>
    <t>16622</t>
  </si>
  <si>
    <t>14315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</si>
  <si>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</si>
  <si>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</si>
  <si>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</si>
  <si>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</si>
  <si>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2026-08-02T02:27:46.293Z</t>
  </si>
  <si>
    <t>driffle:49596 | kinguin:50639</t>
  </si>
  <si>
    <t>50639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</si>
  <si>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</si>
  <si>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</si>
  <si>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</si>
  <si>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2026-08-02T02:27:50.440Z</t>
  </si>
  <si>
    <t>kinguin:86679</t>
  </si>
  <si>
    <t>86679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</si>
  <si>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</si>
  <si>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</si>
  <si>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</si>
  <si>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2026-08-02T02:27:54.834Z</t>
  </si>
  <si>
    <t>kinguin:130192</t>
  </si>
  <si>
    <t>130192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</si>
  <si>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</si>
  <si>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</si>
  <si>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</si>
  <si>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2026-08-02T02:26:30.455Z</t>
  </si>
  <si>
    <t>kinguin:80580</t>
  </si>
  <si>
    <t>80580</t>
  </si>
  <si>
    <t>https://www.kinguin.net/es/category/563378/ea-sports-college-football-27-deluxe-edition-pc-steam-account</t>
  </si>
  <si>
    <t>EA SPORTS College Football 27 PC Steam Account</t>
  </si>
  <si>
    <t>2026-08-02T02:26:26.029Z</t>
  </si>
  <si>
    <t>kinguin:69978</t>
  </si>
  <si>
    <t>69978</t>
  </si>
  <si>
    <t>https://www.kinguin.net/es/category/563380/ea-sports-college-football-27-pc-steam-account</t>
  </si>
  <si>
    <t>ELDEN RING</t>
  </si>
  <si>
    <t>ELDEN RING: Shadow of the Erdtree Deluxe Edition Steam Account</t>
  </si>
  <si>
    <t>2026-08-02T02:28:38.466Z</t>
  </si>
  <si>
    <t>kinguin:110205</t>
  </si>
  <si>
    <t>110205</t>
  </si>
  <si>
    <t>https://www.kinguin.net/es/category/217210/elden-ring-shadow-of-the-erdtree-deluxe-edition-steam-account</t>
  </si>
  <si>
    <t>Elden Ring (PC) Steam Key LATAM</t>
  </si>
  <si>
    <t>2026-08-02T02:28:07.358Z</t>
  </si>
  <si>
    <t>eneba:90882</t>
  </si>
  <si>
    <t>90882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</si>
  <si>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</si>
  <si>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</si>
  <si>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</si>
  <si>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</si>
  <si>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2026-08-02T02:28:16.053Z</t>
  </si>
  <si>
    <t>driffle:49486 | kinguin:68635</t>
  </si>
  <si>
    <t>68635</t>
  </si>
  <si>
    <t>49486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</si>
  <si>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</si>
  <si>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</si>
  <si>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</si>
  <si>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</si>
  <si>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2026-08-02T02:28:34.434Z</t>
  </si>
  <si>
    <t>eneba:144854</t>
  </si>
  <si>
    <t>144854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</si>
  <si>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</si>
  <si>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</si>
  <si>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</si>
  <si>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2026-08-02T02:28:30.182Z</t>
  </si>
  <si>
    <t>driffle:100551 | kinguin:86126</t>
  </si>
  <si>
    <t>86126</t>
  </si>
  <si>
    <t>100551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</si>
  <si>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</si>
  <si>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</si>
  <si>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</si>
  <si>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</si>
  <si>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2026-08-02T02:29:16.695Z</t>
  </si>
  <si>
    <t>eneba:62868 | driffle:77246 | kinguin:89475</t>
  </si>
  <si>
    <t>89475</t>
  </si>
  <si>
    <t>62868</t>
  </si>
  <si>
    <t>77246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</si>
  <si>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</si>
  <si>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</si>
  <si>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</si>
  <si>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</si>
  <si>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2026-08-02T02:29:20.893Z</t>
  </si>
  <si>
    <t>kinguin:54447</t>
  </si>
  <si>
    <t>54447</t>
  </si>
  <si>
    <t>https://www.kinguin.net/es/category/311954/elden-ring-nightreign-deluxe-edition-pc-steam-account</t>
  </si>
  <si>
    <t>ELDEN RING NIGHTREIGN Steam Key (PC) LATAM</t>
  </si>
  <si>
    <t>2026-08-02T02:28:52.107Z</t>
  </si>
  <si>
    <t>eneba:45409 | driffle:51145 | kinguin:52567</t>
  </si>
  <si>
    <t>52567</t>
  </si>
  <si>
    <t>45409</t>
  </si>
  <si>
    <t>51145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</si>
  <si>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</si>
  <si>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</si>
  <si>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</si>
  <si>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</si>
  <si>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2026-08-02T02:29:00.895Z</t>
  </si>
  <si>
    <t>driffle:32769 | kinguin:33970</t>
  </si>
  <si>
    <t>33970</t>
  </si>
  <si>
    <t>32769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</si>
  <si>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</si>
  <si>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</si>
  <si>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</si>
  <si>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</si>
  <si>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</si>
  <si>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</si>
  <si>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2026-08-02T02:29:25.152Z</t>
  </si>
  <si>
    <t>kinguin:47021</t>
  </si>
  <si>
    <t>47021</t>
  </si>
  <si>
    <t>https://www.kinguin.net/es/category/549472/f1-25-2026-season-edition-pc-steam-cd-key</t>
  </si>
  <si>
    <t>2026 Season Edition - Cuenta Steam</t>
  </si>
  <si>
    <t>F1 25: 2026 Season Edition PC Steam Account</t>
  </si>
  <si>
    <t>2026-08-02T02:29:34.794Z</t>
  </si>
  <si>
    <t>kinguin:45062 | driffle:51429</t>
  </si>
  <si>
    <t>45062</t>
  </si>
  <si>
    <t>51429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</si>
  <si>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</si>
  <si>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</si>
  <si>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</si>
  <si>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</si>
  <si>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2026-08-02T02:29:54.404Z</t>
  </si>
  <si>
    <t>eneba:13430 | kinguin:14441 | driffle:14820 | loaded:14520</t>
  </si>
  <si>
    <t>14441</t>
  </si>
  <si>
    <t>13430</t>
  </si>
  <si>
    <t>14820</t>
  </si>
  <si>
    <t>14520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</si>
  <si>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</si>
  <si>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</si>
  <si>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</si>
  <si>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</si>
  <si>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</si>
  <si>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2026-08-02T02:30:03.143Z</t>
  </si>
  <si>
    <t>kinguin:5641 | driffle:6873</t>
  </si>
  <si>
    <t>5641</t>
  </si>
  <si>
    <t>6873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</si>
  <si>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</si>
  <si>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</si>
  <si>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</si>
  <si>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</si>
  <si>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2026-08-02T02:30:23.638Z</t>
  </si>
  <si>
    <t>driffle:26939 | kinguin:27666 | loaded:33796 | eneba:26228</t>
  </si>
  <si>
    <t>27666</t>
  </si>
  <si>
    <t>26228</t>
  </si>
  <si>
    <t>26939</t>
  </si>
  <si>
    <t>33796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</si>
  <si>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</si>
  <si>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</si>
  <si>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</si>
  <si>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</si>
  <si>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</si>
  <si>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</si>
  <si>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2026-08-02T02:30:50.182Z</t>
  </si>
  <si>
    <t>kinguin:30194 | driffle:36451</t>
  </si>
  <si>
    <t>30194</t>
  </si>
  <si>
    <t>36451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</si>
  <si>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</si>
  <si>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</si>
  <si>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</si>
  <si>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2026-08-02T02:30:41.146Z</t>
  </si>
  <si>
    <t>driffle:20303 | kinguin:20540</t>
  </si>
  <si>
    <t>20540</t>
  </si>
  <si>
    <t>20303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</si>
  <si>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</si>
  <si>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</si>
  <si>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</si>
  <si>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</si>
  <si>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2026-08-02T02:31:18.371Z</t>
  </si>
  <si>
    <t>kinguin:33638 | driffle:37999</t>
  </si>
  <si>
    <t>33638</t>
  </si>
  <si>
    <t>37999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</si>
  <si>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</si>
  <si>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</si>
  <si>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</si>
  <si>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</si>
  <si>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2026-08-02T02:31:36.572Z</t>
  </si>
  <si>
    <t>driffle:72980 | kinguin:79506</t>
  </si>
  <si>
    <t>79506</t>
  </si>
  <si>
    <t>72980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</si>
  <si>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</si>
  <si>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</si>
  <si>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</si>
  <si>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2026-08-02T02:31:45.687Z</t>
  </si>
  <si>
    <t>driffle:91672 | kinguin:99398</t>
  </si>
  <si>
    <t>99398</t>
  </si>
  <si>
    <t>91672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</si>
  <si>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</si>
  <si>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</si>
  <si>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</si>
  <si>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</si>
  <si>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2026-08-02T02:31:54.597Z</t>
  </si>
  <si>
    <t>kinguin:88717</t>
  </si>
  <si>
    <t>88717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</si>
  <si>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</si>
  <si>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</si>
  <si>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</si>
  <si>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2026-08-02T02:32:09.919Z</t>
  </si>
  <si>
    <t>kinguin:125910 | driffle:135785</t>
  </si>
  <si>
    <t>125910</t>
  </si>
  <si>
    <t>135785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</si>
  <si>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</si>
  <si>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</si>
  <si>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</si>
  <si>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</si>
  <si>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</si>
  <si>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2026-08-02T02:32:30.386Z</t>
  </si>
  <si>
    <t>driffle:37809 | kinguin:41301 | loaded:52756 | eneba:38520</t>
  </si>
  <si>
    <t>41301</t>
  </si>
  <si>
    <t>38520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</si>
  <si>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</si>
  <si>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</si>
  <si>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</si>
  <si>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</si>
  <si>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</si>
  <si>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</si>
  <si>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2026-08-02T02:32:39.211Z</t>
  </si>
  <si>
    <t>driffle:24174 | eneba:24506</t>
  </si>
  <si>
    <t>24506</t>
  </si>
  <si>
    <t>24174</t>
  </si>
  <si>
    <t>https://www.eneba.com/latam/steam-god-of-war-pc-steam-key-latam</t>
  </si>
  <si>
    <t>https://driffle.com/es/god-of-war-pc-steam-digital-code-p9878708</t>
  </si>
  <si>
    <t>God of War Steam Account</t>
  </si>
  <si>
    <t>2026-08-02T02:32:47.753Z</t>
  </si>
  <si>
    <t>kinguin:17807 | driffle:29277</t>
  </si>
  <si>
    <t>17807</t>
  </si>
  <si>
    <t>29277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</si>
  <si>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</si>
  <si>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</si>
  <si>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</si>
  <si>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</si>
  <si>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2026-08-02T02:33:23.080Z</t>
  </si>
  <si>
    <t>driffle:60767</t>
  </si>
  <si>
    <t>60767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</si>
  <si>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</si>
  <si>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</si>
  <si>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</si>
  <si>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</si>
  <si>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2026-08-02T02:33:00.960Z</t>
  </si>
  <si>
    <t>driffle:44208 | eneba:44129</t>
  </si>
  <si>
    <t>44129</t>
  </si>
  <si>
    <t>44208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</si>
  <si>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</si>
  <si>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</si>
  <si>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</si>
  <si>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</si>
  <si>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</si>
  <si>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2026-08-02T02:34:15.600Z</t>
  </si>
  <si>
    <t>eneba:37177 | loaded:37904 | kinguin:41981 | driffle:48269</t>
  </si>
  <si>
    <t>37177</t>
  </si>
  <si>
    <t>48269</t>
  </si>
  <si>
    <t>37904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</si>
  <si>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</si>
  <si>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</si>
  <si>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</si>
  <si>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</si>
  <si>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</si>
  <si>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2026-08-02T02:34:25.417Z</t>
  </si>
  <si>
    <t>driffle:41522</t>
  </si>
  <si>
    <t>41522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</si>
  <si>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</si>
  <si>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</si>
  <si>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</si>
  <si>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</si>
  <si>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2026-08-02T02:34:34.587Z</t>
  </si>
  <si>
    <t>driffle:15089 | kinguin:17017</t>
  </si>
  <si>
    <t>17017</t>
  </si>
  <si>
    <t>15089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</si>
  <si>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</si>
  <si>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</si>
  <si>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</si>
  <si>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</si>
  <si>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2026-08-02T02:34:43.716Z</t>
  </si>
  <si>
    <t>driffle:55221 | kinguin:55411</t>
  </si>
  <si>
    <t>55411</t>
  </si>
  <si>
    <t>55221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</si>
  <si>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</si>
  <si>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</si>
  <si>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</si>
  <si>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2026-08-02T02:34:52.798Z</t>
  </si>
  <si>
    <t>kinguin:80264 | driffle:100219</t>
  </si>
  <si>
    <t>80264</t>
  </si>
  <si>
    <t>100219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</si>
  <si>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</si>
  <si>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</si>
  <si>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</si>
  <si>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</si>
  <si>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2026-08-02T02:35:09.387Z</t>
  </si>
  <si>
    <t>driffle:37873 | kinguin:41017 | loaded:41064 | eneba:39010</t>
  </si>
  <si>
    <t>41017</t>
  </si>
  <si>
    <t>39010</t>
  </si>
  <si>
    <t>37873</t>
  </si>
  <si>
    <t>41064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</si>
  <si>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</si>
  <si>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</si>
  <si>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</si>
  <si>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</si>
  <si>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</si>
  <si>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2026-08-02T02:35:17.957Z</t>
  </si>
  <si>
    <t>kinguin:33370 | driffle:35692</t>
  </si>
  <si>
    <t>33370</t>
  </si>
  <si>
    <t>35692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</si>
  <si>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</si>
  <si>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</si>
  <si>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</si>
  <si>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</si>
  <si>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2026-08-02T02:35:37.038Z</t>
  </si>
  <si>
    <t>driffle:57591 | kinguin:61020 | loaded:59076 | eneba:57465</t>
  </si>
  <si>
    <t>57465</t>
  </si>
  <si>
    <t>57591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</si>
  <si>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</si>
  <si>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</si>
  <si>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</si>
  <si>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</si>
  <si>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</si>
  <si>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</si>
  <si>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2026-08-02T02:36:20.996Z</t>
  </si>
  <si>
    <t>driffle:33812 | kinguin:41412</t>
  </si>
  <si>
    <t>41412</t>
  </si>
  <si>
    <t>33812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</si>
  <si>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</si>
  <si>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</si>
  <si>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</si>
  <si>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</si>
  <si>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2026-08-02T02:37:05.873Z</t>
  </si>
  <si>
    <t>kinguin:12561 | driffle:17570 | loaded:14678 | eneba:11897</t>
  </si>
  <si>
    <t>12561</t>
  </si>
  <si>
    <t>11897</t>
  </si>
  <si>
    <t>17570</t>
  </si>
  <si>
    <t>14678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</si>
  <si>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</si>
  <si>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</si>
  <si>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</si>
  <si>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</si>
  <si>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</si>
  <si>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2026-08-02T02:37:15.092Z</t>
  </si>
  <si>
    <t>kinguin:9670 | driffle:10697</t>
  </si>
  <si>
    <t>9670</t>
  </si>
  <si>
    <t>10697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</si>
  <si>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</si>
  <si>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</si>
  <si>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</si>
  <si>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2026-08-02T02:36:37.635Z</t>
  </si>
  <si>
    <t>driffle:9290 | kinguin:9954 | loaded:12150 | eneba:7853</t>
  </si>
  <si>
    <t>9954</t>
  </si>
  <si>
    <t>7853</t>
  </si>
  <si>
    <t>9290</t>
  </si>
  <si>
    <t>12150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</si>
  <si>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</si>
  <si>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</si>
  <si>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</si>
  <si>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</si>
  <si>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</si>
  <si>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2026-08-02T02:36:46.330Z</t>
  </si>
  <si>
    <t>driffle:5609 | kinguin:8374</t>
  </si>
  <si>
    <t>8374</t>
  </si>
  <si>
    <t>5609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</si>
  <si>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</si>
  <si>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</si>
  <si>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</si>
  <si>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</si>
  <si>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</si>
  <si>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2026-08-02T02:37:50.759Z</t>
  </si>
  <si>
    <t>loaded:90676</t>
  </si>
  <si>
    <t>90676</t>
  </si>
  <si>
    <t>https://www.loaded.com/es_es/invincible-vs-deluxe-edition-pc-steam</t>
  </si>
  <si>
    <t>Invincible VS Deluxe Edition PC Steam Account</t>
  </si>
  <si>
    <t>2026-08-02T02:38:03.055Z</t>
  </si>
  <si>
    <t>kinguin:47937 | driffle:59139</t>
  </si>
  <si>
    <t>47937</t>
  </si>
  <si>
    <t>59139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</si>
  <si>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</si>
  <si>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</si>
  <si>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</si>
  <si>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2026-08-02T02:37:25.854Z</t>
  </si>
  <si>
    <t>loaded:67450</t>
  </si>
  <si>
    <t>67450</t>
  </si>
  <si>
    <t>https://www.eneba.com/latam/steam-invincible-vs-steam-key-pc-global</t>
  </si>
  <si>
    <t>https://www.loaded.com/es_es/invincible-vs-pc-steam</t>
  </si>
  <si>
    <t>Invincible VS (Global) (PC) - Steam Account</t>
  </si>
  <si>
    <t>2026-08-02T02:37:44.212Z</t>
  </si>
  <si>
    <t>driffle:22262 | kinguin:26955</t>
  </si>
  <si>
    <t>26955</t>
  </si>
  <si>
    <t>22262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</si>
  <si>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</si>
  <si>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</si>
  <si>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</si>
  <si>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</si>
  <si>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2026-08-02T02:38:16.583Z</t>
  </si>
  <si>
    <t>driffle:68477 | eneba:70484</t>
  </si>
  <si>
    <t>70484</t>
  </si>
  <si>
    <t>68477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</si>
  <si>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</si>
  <si>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</si>
  <si>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</si>
  <si>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</si>
  <si>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2026-08-02T02:38:26.174Z</t>
  </si>
  <si>
    <t>driffle:9512 | kinguin:12055</t>
  </si>
  <si>
    <t>12055</t>
  </si>
  <si>
    <t>9512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</si>
  <si>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</si>
  <si>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</si>
  <si>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</si>
  <si>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</si>
  <si>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2026-08-02T02:39:08.203Z</t>
  </si>
  <si>
    <t>loaded:78036 | eneba:88606 | driffle:107424</t>
  </si>
  <si>
    <t>88606</t>
  </si>
  <si>
    <t>107424</t>
  </si>
  <si>
    <t>78036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</si>
  <si>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</si>
  <si>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</si>
  <si>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</si>
  <si>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</si>
  <si>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</si>
  <si>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2026-08-02T02:39:12.358Z</t>
  </si>
  <si>
    <t>kinguin:79506</t>
  </si>
  <si>
    <t>https://www.kinguin.net/es/category/439223/lego-batman-legacy-of-the-dark-knight-deluxe-edition-pc-steam-account</t>
  </si>
  <si>
    <t>LEGO Batman: Legacy of the Dark Knight PC (Latin America) Key</t>
  </si>
  <si>
    <t>2026-08-02T02:38:45.169Z</t>
  </si>
  <si>
    <t>loaded:59076 | eneba:64685 | driffle:73438</t>
  </si>
  <si>
    <t>64685</t>
  </si>
  <si>
    <t>73438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</si>
  <si>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</si>
  <si>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</si>
  <si>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</si>
  <si>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</si>
  <si>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</si>
  <si>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2026-08-02T02:38:49.210Z</t>
  </si>
  <si>
    <t>kinguin:50939</t>
  </si>
  <si>
    <t>50939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</si>
  <si>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</si>
  <si>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</si>
  <si>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</si>
  <si>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2026-08-02T02:39:16.870Z</t>
  </si>
  <si>
    <t>kinguin:126669</t>
  </si>
  <si>
    <t>126669</t>
  </si>
  <si>
    <t>https://www.kinguin.net/es/category/509287/marvel-tokon-fighting-souls-deluxe-edition-pre-order-pc-steam-cd-key</t>
  </si>
  <si>
    <t>Ultimate Edition - CD Key (Steam)</t>
  </si>
  <si>
    <t>MARVEL Tokon: Fighting Souls Ultimate Edition PRE-ORDER PC Steam CD Key</t>
  </si>
  <si>
    <t>2026-08-02T02:39:21.070Z</t>
  </si>
  <si>
    <t>kinguin:148994</t>
  </si>
  <si>
    <t>148994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</si>
  <si>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</si>
  <si>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</si>
  <si>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</si>
  <si>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2026-08-02T02:39:54.231Z</t>
  </si>
  <si>
    <t>eneba:11945 | driffle:14489 | loaded:13730</t>
  </si>
  <si>
    <t>11945</t>
  </si>
  <si>
    <t>14489</t>
  </si>
  <si>
    <t>13730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</si>
  <si>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</si>
  <si>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</si>
  <si>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</si>
  <si>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</si>
  <si>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</si>
  <si>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2026-08-02T02:39:34.637Z</t>
  </si>
  <si>
    <t>driffle:7584 | eneba:6573</t>
  </si>
  <si>
    <t>6573</t>
  </si>
  <si>
    <t>7584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</si>
  <si>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</si>
  <si>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</si>
  <si>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</si>
  <si>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</si>
  <si>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</si>
  <si>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2026-08-02T02:40:07.409Z</t>
  </si>
  <si>
    <t>driffle:49059 | eneba:49691</t>
  </si>
  <si>
    <t>49691</t>
  </si>
  <si>
    <t>49059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</si>
  <si>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</si>
  <si>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</si>
  <si>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</si>
  <si>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</si>
  <si>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2026-08-02T02:40:16.792Z</t>
  </si>
  <si>
    <t>driffle:51950</t>
  </si>
  <si>
    <t>51950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</si>
  <si>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</si>
  <si>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</si>
  <si>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</si>
  <si>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</si>
  <si>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2026-08-02T02:40:50.005Z</t>
  </si>
  <si>
    <t>driffle:27239 | eneba:27034</t>
  </si>
  <si>
    <t>27034</t>
  </si>
  <si>
    <t>27239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</si>
  <si>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</si>
  <si>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</si>
  <si>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</si>
  <si>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</si>
  <si>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</si>
  <si>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</si>
  <si>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2026-08-02T02:41:10.862Z</t>
  </si>
  <si>
    <t>driffle:24332 | eneba:22468</t>
  </si>
  <si>
    <t>22468</t>
  </si>
  <si>
    <t>24332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</si>
  <si>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</si>
  <si>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</si>
  <si>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</si>
  <si>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</si>
  <si>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</si>
  <si>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</si>
  <si>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</si>
  <si>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2026-08-02T02:42:08.353Z</t>
  </si>
  <si>
    <t>loaded:292284</t>
  </si>
  <si>
    <t>292284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</si>
  <si>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</si>
  <si>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</si>
  <si>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</si>
  <si>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2026-08-02T02:42:12.496Z</t>
  </si>
  <si>
    <t>kinguin:309870</t>
  </si>
  <si>
    <t>309870</t>
  </si>
  <si>
    <t>https://www.kinguin.net/es/category/274088/microsoft-flight-simulator-2024-aviator-edition-pc-steam-account</t>
  </si>
  <si>
    <t>Microsoft Flight Simulator 2024 - Deluxe Edition PC Key</t>
  </si>
  <si>
    <t>2026-08-02T02:41:38.372Z</t>
  </si>
  <si>
    <t>loaded:145344</t>
  </si>
  <si>
    <t>145344</t>
  </si>
  <si>
    <t>https://www.loaded.com/es_es/microsoft-flight-simulator-2024-deluxe-edition-pc-steam</t>
  </si>
  <si>
    <t>Microsoft Flight Simulator 2024 Deluxe Edition PC Steam Account</t>
  </si>
  <si>
    <t>2026-08-02T02:41:47.097Z</t>
  </si>
  <si>
    <t>kinguin:153987</t>
  </si>
  <si>
    <t>153987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</si>
  <si>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</si>
  <si>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</si>
  <si>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</si>
  <si>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2026-08-02T02:42:01.920Z</t>
  </si>
  <si>
    <t>kinguin:197705</t>
  </si>
  <si>
    <t>197705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</si>
  <si>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</si>
  <si>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</si>
  <si>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</si>
  <si>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</si>
  <si>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2026-08-02T02:41:23.355Z</t>
  </si>
  <si>
    <t>loaded:101104</t>
  </si>
  <si>
    <t>101104</t>
  </si>
  <si>
    <t>https://www.loaded.com/es_es/microsoft-flight-simulator-2024-pc-steam</t>
  </si>
  <si>
    <t>Microsoft Flight Simulator 2024 (Global) (PC) - Steam Account</t>
  </si>
  <si>
    <t>2026-08-02T02:41:31.985Z</t>
  </si>
  <si>
    <t>driffle:81212 | kinguin:84498</t>
  </si>
  <si>
    <t>81212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</si>
  <si>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</si>
  <si>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</si>
  <si>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</si>
  <si>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</si>
  <si>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2026-08-02T02:41:53.481Z</t>
  </si>
  <si>
    <t>loaded:189584</t>
  </si>
  <si>
    <t>189584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</si>
  <si>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</si>
  <si>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</si>
  <si>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</si>
  <si>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2026-08-02T02:42:46.750Z</t>
  </si>
  <si>
    <t>kinguin:46452 | driffle:121470 | eneba:41380</t>
  </si>
  <si>
    <t>46452</t>
  </si>
  <si>
    <t>41380</t>
  </si>
  <si>
    <t>121470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</si>
  <si>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</si>
  <si>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</si>
  <si>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</si>
  <si>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</si>
  <si>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2026-08-02T02:42:51.092Z</t>
  </si>
  <si>
    <t>kinguin:53783</t>
  </si>
  <si>
    <t>53783</t>
  </si>
  <si>
    <t>https://www.kinguin.net/es/category/273383/monster-hunter-wilds-deluxe-edition-pc-steam-account</t>
  </si>
  <si>
    <t>Monster Hunter Wilds Premium Deluxe Edition PC Steam Account</t>
  </si>
  <si>
    <t>2026-08-02T02:43:03.602Z</t>
  </si>
  <si>
    <t>kinguin:66613</t>
  </si>
  <si>
    <t>66613</t>
  </si>
  <si>
    <t>https://www.kinguin.net/es/category/273379/monster-hunter-wilds-premium-deluxe-edition-pc-steam-account</t>
  </si>
  <si>
    <t>Monster Hunter Wilds (PC) Código de Steam LATAM</t>
  </si>
  <si>
    <t>2026-08-02T02:42:25.295Z</t>
  </si>
  <si>
    <t>kinguin:34065 | driffle:85241 | eneba:31884</t>
  </si>
  <si>
    <t>34065</t>
  </si>
  <si>
    <t>31884</t>
  </si>
  <si>
    <t>85241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</si>
  <si>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</si>
  <si>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</si>
  <si>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</si>
  <si>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</si>
  <si>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2026-08-02T02:42:33.929Z</t>
  </si>
  <si>
    <t>driffle:31679 | kinguin:39848</t>
  </si>
  <si>
    <t>39848</t>
  </si>
  <si>
    <t>31679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</si>
  <si>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</si>
  <si>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</si>
  <si>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</si>
  <si>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</si>
  <si>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2026-08-02T02:42:59.519Z</t>
  </si>
  <si>
    <t>kinguin:24111 | eneba:52393</t>
  </si>
  <si>
    <t>52393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</si>
  <si>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</si>
  <si>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</si>
  <si>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</si>
  <si>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</si>
  <si>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</si>
  <si>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2026-08-02T02:44:14.015Z</t>
  </si>
  <si>
    <t>kinguin:20635 | eneba:22847 | driffle:25343 | loaded:26370</t>
  </si>
  <si>
    <t>20635</t>
  </si>
  <si>
    <t>22847</t>
  </si>
  <si>
    <t>25343</t>
  </si>
  <si>
    <t>26370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</si>
  <si>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</si>
  <si>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</si>
  <si>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</si>
  <si>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</si>
  <si>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</si>
  <si>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</si>
  <si>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2026-08-02T02:44:18.079Z</t>
  </si>
  <si>
    <t>kinguin:52266</t>
  </si>
  <si>
    <t>52266</t>
  </si>
  <si>
    <t>https://www.kinguin.net/es/category/405683/mortal-kombat-1-definitive-edition-pc-steam-account</t>
  </si>
  <si>
    <t>Mortal Kombat 1 (PC) Código de Steam LATAM</t>
  </si>
  <si>
    <t>2026-08-02T02:43:50.689Z</t>
  </si>
  <si>
    <t>driffle:14378 | kinguin:15105 | eneba:12498</t>
  </si>
  <si>
    <t>15105</t>
  </si>
  <si>
    <t>12498</t>
  </si>
  <si>
    <t>14378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</si>
  <si>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</si>
  <si>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</si>
  <si>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</si>
  <si>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</si>
  <si>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</si>
  <si>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2026-08-02T02:43:54.817Z</t>
  </si>
  <si>
    <t>kinguin:14852</t>
  </si>
  <si>
    <t>14852</t>
  </si>
  <si>
    <t>https://www.kinguin.net/es/category/185707/mortal-kombat-1-steam-account</t>
  </si>
  <si>
    <t>NBA 2K26</t>
  </si>
  <si>
    <t>NBA 2K26 Standard Edition PC Key</t>
  </si>
  <si>
    <t>2026-08-02T02:44:37.671Z</t>
  </si>
  <si>
    <t>driffle:14252 | eneba:14631 | loaded:13730</t>
  </si>
  <si>
    <t>14631</t>
  </si>
  <si>
    <t>14252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</si>
  <si>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</si>
  <si>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</si>
  <si>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</si>
  <si>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</si>
  <si>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</si>
  <si>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2026-08-02T02:44:46.380Z</t>
  </si>
  <si>
    <t>kinguin:9369 | driffle:10333</t>
  </si>
  <si>
    <t>9369</t>
  </si>
  <si>
    <t>10333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</si>
  <si>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</si>
  <si>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</si>
  <si>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</si>
  <si>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</si>
  <si>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2026-08-02T02:45:05.798Z</t>
  </si>
  <si>
    <t>eneba:21820 | driffle:22483 | loaded:22104</t>
  </si>
  <si>
    <t>21820</t>
  </si>
  <si>
    <t>22483</t>
  </si>
  <si>
    <t>22104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</si>
  <si>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</si>
  <si>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</si>
  <si>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</si>
  <si>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</si>
  <si>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</si>
  <si>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</si>
  <si>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2026-08-02T02:45:14.834Z</t>
  </si>
  <si>
    <t>driffle:17048 | kinguin:19608</t>
  </si>
  <si>
    <t>19608</t>
  </si>
  <si>
    <t>17048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</si>
  <si>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</si>
  <si>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</si>
  <si>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</si>
  <si>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</si>
  <si>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2026-08-02T02:45:33.839Z</t>
  </si>
  <si>
    <t>driffle:26892 | eneba:27239 | loaded:27318</t>
  </si>
  <si>
    <t>26892</t>
  </si>
  <si>
    <t>27318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</si>
  <si>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</si>
  <si>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</si>
  <si>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</si>
  <si>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</si>
  <si>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</si>
  <si>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</si>
  <si>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2026-08-02T02:45:38.236Z</t>
  </si>
  <si>
    <t>kinguin:98766</t>
  </si>
  <si>
    <t>98766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</si>
  <si>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</si>
  <si>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</si>
  <si>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</si>
  <si>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</si>
  <si>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2026-08-02T02:45:57.845Z</t>
  </si>
  <si>
    <t>driffle:22689 | kinguin:20493 | loaded:24474 | eneba:18723</t>
  </si>
  <si>
    <t>20493</t>
  </si>
  <si>
    <t>18723</t>
  </si>
  <si>
    <t>24474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</si>
  <si>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</si>
  <si>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</si>
  <si>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</si>
  <si>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</si>
  <si>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</si>
  <si>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</si>
  <si>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2026-08-02T02:46:06.630Z</t>
  </si>
  <si>
    <t>driffle:14030 | kinguin:20082</t>
  </si>
  <si>
    <t>20082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</si>
  <si>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</si>
  <si>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</si>
  <si>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</si>
  <si>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</si>
  <si>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2026-08-02T02:46:19.842Z</t>
  </si>
  <si>
    <t>kinguin:21330</t>
  </si>
  <si>
    <t>21330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</si>
  <si>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</si>
  <si>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</si>
  <si>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</si>
  <si>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</si>
  <si>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2026-08-02T02:46:28.121Z</t>
  </si>
  <si>
    <t>kinguin:84372</t>
  </si>
  <si>
    <t>84372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</si>
  <si>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</si>
  <si>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</si>
  <si>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</si>
  <si>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2026-08-02T02:46:23.986Z</t>
  </si>
  <si>
    <t>kinguin:40748</t>
  </si>
  <si>
    <t>40748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</si>
  <si>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</si>
  <si>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</si>
  <si>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</si>
  <si>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2026-08-02T02:47:23.891Z</t>
  </si>
  <si>
    <t>driffle:46405</t>
  </si>
  <si>
    <t>46405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</si>
  <si>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</si>
  <si>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</si>
  <si>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</si>
  <si>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</si>
  <si>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</si>
  <si>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2026-08-02T02:47:27.952Z</t>
  </si>
  <si>
    <t>kinguin:89997</t>
  </si>
  <si>
    <t>89997</t>
  </si>
  <si>
    <t>https://www.kinguin.net/es/category/212863/persona-3-reload-deluxe-edition-steam-account</t>
  </si>
  <si>
    <t>Persona 3 Reload (Global) (PC) - Steam - Digital Key</t>
  </si>
  <si>
    <t>2026-08-02T02:46:53.369Z</t>
  </si>
  <si>
    <t>driffle:34412 | loaded:42170 | eneba:34476</t>
  </si>
  <si>
    <t>34476</t>
  </si>
  <si>
    <t>34412</t>
  </si>
  <si>
    <t>42170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</si>
  <si>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</si>
  <si>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</si>
  <si>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</si>
  <si>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</si>
  <si>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</si>
  <si>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2026-08-02T02:46:57.726Z</t>
  </si>
  <si>
    <t>kinguin:31553</t>
  </si>
  <si>
    <t>31553</t>
  </si>
  <si>
    <t>https://www.kinguin.net/es/category/212612/persona-3-reload-steam-account</t>
  </si>
  <si>
    <t>Persona 3 Reload: Premium Edition Steam Account</t>
  </si>
  <si>
    <t>2026-08-02T02:47:51.754Z</t>
  </si>
  <si>
    <t>kinguin:111074</t>
  </si>
  <si>
    <t>111074</t>
  </si>
  <si>
    <t>https://www.kinguin.net/es/category/212869/persona-3-reload-premium-edition-steam-account</t>
  </si>
  <si>
    <t>PRAGMATA</t>
  </si>
  <si>
    <t>PRAGMATA Deluxe Edition PC (LATAM) Key</t>
  </si>
  <si>
    <t>2026-08-02T02:48:41.554Z</t>
  </si>
  <si>
    <t>loaded:73770 | eneba:75255 | driffle:80643 | kinguin:85194</t>
  </si>
  <si>
    <t>85194</t>
  </si>
  <si>
    <t>75255</t>
  </si>
  <si>
    <t>80643</t>
  </si>
  <si>
    <t>73770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</si>
  <si>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</si>
  <si>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</si>
  <si>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</si>
  <si>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</si>
  <si>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</si>
  <si>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2026-08-02T02:48:49.557Z</t>
  </si>
  <si>
    <t>kinguin:84988</t>
  </si>
  <si>
    <t>84988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</si>
  <si>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</si>
  <si>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</si>
  <si>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</si>
  <si>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2026-08-02T02:48:12.260Z</t>
  </si>
  <si>
    <t>eneba:60877 | loaded:63184 | driffle:68904 | kinguin:72348</t>
  </si>
  <si>
    <t>72348</t>
  </si>
  <si>
    <t>60877</t>
  </si>
  <si>
    <t>68904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</si>
  <si>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</si>
  <si>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</si>
  <si>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</si>
  <si>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</si>
  <si>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</si>
  <si>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2026-08-02T02:48:20.480Z</t>
  </si>
  <si>
    <t>kinguin:44509</t>
  </si>
  <si>
    <t>44509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</si>
  <si>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</si>
  <si>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</si>
  <si>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</si>
  <si>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</si>
  <si>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2026-08-02T02:49:34.265Z</t>
  </si>
  <si>
    <t>kinguin:35123</t>
  </si>
  <si>
    <t>35123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</si>
  <si>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</si>
  <si>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</si>
  <si>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</si>
  <si>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</si>
  <si>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</si>
  <si>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2026-08-02T02:49:38.551Z</t>
  </si>
  <si>
    <t>kinguin:23653</t>
  </si>
  <si>
    <t>23653</t>
  </si>
  <si>
    <t>https://www.kinguin.net/es/category/505409/ready-or-not-deluxe-edition-pc-steam-account</t>
  </si>
  <si>
    <t>Ready or Not (PC) Código de Steam LATAM</t>
  </si>
  <si>
    <t>2026-08-02T02:49:06.097Z</t>
  </si>
  <si>
    <t>loaded:17838 | driffle:18928 | kinguin:19229 | eneba:16953</t>
  </si>
  <si>
    <t>19229</t>
  </si>
  <si>
    <t>16953</t>
  </si>
  <si>
    <t>18928</t>
  </si>
  <si>
    <t>17838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</si>
  <si>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</si>
  <si>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</si>
  <si>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</si>
  <si>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</si>
  <si>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</si>
  <si>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2026-08-02T02:49:15.191Z</t>
  </si>
  <si>
    <t>driffle:11044 | kinguin:11250</t>
  </si>
  <si>
    <t>11250</t>
  </si>
  <si>
    <t>11044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</si>
  <si>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</si>
  <si>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</si>
  <si>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</si>
  <si>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</si>
  <si>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2026-08-02T02:49:42.633Z</t>
  </si>
  <si>
    <t>kinguin:84514</t>
  </si>
  <si>
    <t>84514</t>
  </si>
  <si>
    <t>https://www.kinguin.net/es/category/250518/red-dead-redemption-2-pc-steam-cd-key</t>
  </si>
  <si>
    <t>Red Dead Redemption 2 Steam Account</t>
  </si>
  <si>
    <t>2026-08-02T02:49:46.836Z</t>
  </si>
  <si>
    <t>kinguin:13462</t>
  </si>
  <si>
    <t>13462</t>
  </si>
  <si>
    <t>https://www.kinguin.net/es/category/133287/red-dead-redemption-2-steam-account</t>
  </si>
  <si>
    <t>Red Dead Redemption 2 Ultimate Edition Steam Account</t>
  </si>
  <si>
    <t>2026-08-02T02:49:51.400Z</t>
  </si>
  <si>
    <t>kinguin:20177</t>
  </si>
  <si>
    <t>20177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</si>
  <si>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</si>
  <si>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</si>
  <si>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</si>
  <si>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2026-08-02T02:50:46.333Z</t>
  </si>
  <si>
    <t>eneba:12182 | kinguin:12814 | driffle:22641</t>
  </si>
  <si>
    <t>12814</t>
  </si>
  <si>
    <t>12182</t>
  </si>
  <si>
    <t>22641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</si>
  <si>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</si>
  <si>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</si>
  <si>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</si>
  <si>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</si>
  <si>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2026-08-02T02:50:04.342Z</t>
  </si>
  <si>
    <t>driffle:9369 | kinguin:14931 | eneba:9527</t>
  </si>
  <si>
    <t>14931</t>
  </si>
  <si>
    <t>9527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</si>
  <si>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</si>
  <si>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</si>
  <si>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</si>
  <si>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</si>
  <si>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2026-08-02T02:50:08.549Z</t>
  </si>
  <si>
    <t>kinguin:10080</t>
  </si>
  <si>
    <t>10080</t>
  </si>
  <si>
    <t>https://www.kinguin.net/es/category/199156/resident-evil-2-steam-account</t>
  </si>
  <si>
    <t>Resident Evil 3</t>
  </si>
  <si>
    <t>Resident Evil 3 Código de Steam LATAM</t>
  </si>
  <si>
    <t>2026-08-02T02:51:00.558Z</t>
  </si>
  <si>
    <t>driffle:13446 | eneba:9275</t>
  </si>
  <si>
    <t>9275</t>
  </si>
  <si>
    <t>13446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</si>
  <si>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</si>
  <si>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</si>
  <si>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</si>
  <si>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</si>
  <si>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2026-08-02T02:51:09.588Z</t>
  </si>
  <si>
    <t>driffle:6288</t>
  </si>
  <si>
    <t>6288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</si>
  <si>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</si>
  <si>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</si>
  <si>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</si>
  <si>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</si>
  <si>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2026-08-02T02:51:22.632Z</t>
  </si>
  <si>
    <t>kinguin:13651 | driffle:22641</t>
  </si>
  <si>
    <t>13651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</si>
  <si>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</si>
  <si>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</si>
  <si>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</si>
  <si>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</si>
  <si>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2026-08-02T02:51:26.875Z</t>
  </si>
  <si>
    <t>kinguin:11313</t>
  </si>
  <si>
    <t>11313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</si>
  <si>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</si>
  <si>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</si>
  <si>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</si>
  <si>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2026-08-02T02:51:35.519Z</t>
  </si>
  <si>
    <t>eneba:20572 | kinguin:37098</t>
  </si>
  <si>
    <t>37098</t>
  </si>
  <si>
    <t>20572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</si>
  <si>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</si>
  <si>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</si>
  <si>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</si>
  <si>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2026-08-02T02:51:39.817Z</t>
  </si>
  <si>
    <t>kinguin:22420</t>
  </si>
  <si>
    <t>22420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</si>
  <si>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</si>
  <si>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</si>
  <si>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</si>
  <si>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</si>
  <si>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2026-08-02T02:51:52.988Z</t>
  </si>
  <si>
    <t>eneba:33970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</si>
  <si>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</si>
  <si>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</si>
  <si>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</si>
  <si>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</si>
  <si>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</si>
  <si>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2026-08-02T02:51:57.039Z</t>
  </si>
  <si>
    <t>kinguin:28503</t>
  </si>
  <si>
    <t>28503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</si>
  <si>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</si>
  <si>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</si>
  <si>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</si>
  <si>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2026-08-02T02:52:10.133Z</t>
  </si>
  <si>
    <t>driffle:21630 | eneba:10065 | kinguin:18581</t>
  </si>
  <si>
    <t>18581</t>
  </si>
  <si>
    <t>10065</t>
  </si>
  <si>
    <t>21630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</si>
  <si>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</si>
  <si>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</si>
  <si>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</si>
  <si>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</si>
  <si>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2026-08-02T02:52:14.397Z</t>
  </si>
  <si>
    <t>kinguin:16337</t>
  </si>
  <si>
    <t>16337</t>
  </si>
  <si>
    <t>https://www.kinguin.net/es/category/282608/resident-evil-7-biohazard-pc-steam-account</t>
  </si>
  <si>
    <t>Resident Evil 7 - Biohazard (Gold Edition) Steam Key LATAM</t>
  </si>
  <si>
    <t>2026-08-02T02:52:27.333Z</t>
  </si>
  <si>
    <t>driffle:18296 | eneba:12198 | kinguin:14457</t>
  </si>
  <si>
    <t>14457</t>
  </si>
  <si>
    <t>12198</t>
  </si>
  <si>
    <t>18296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</si>
  <si>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</si>
  <si>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</si>
  <si>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</si>
  <si>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</si>
  <si>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</si>
  <si>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2026-08-02T02:53:35.762Z</t>
  </si>
  <si>
    <t>eneba:72696 | kinguin:72996 | driffle:81733</t>
  </si>
  <si>
    <t>72996</t>
  </si>
  <si>
    <t>72696</t>
  </si>
  <si>
    <t>81733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</si>
  <si>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</si>
  <si>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</si>
  <si>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</si>
  <si>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</si>
  <si>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</si>
  <si>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2026-08-02T02:53:40.074Z</t>
  </si>
  <si>
    <t>kinguin:75350</t>
  </si>
  <si>
    <t>75350</t>
  </si>
  <si>
    <t>https://www.kinguin.net/es/category/406014/resident-evil-requiem-deluxe-edition-pc-steam-account</t>
  </si>
  <si>
    <t>Resident Evil Requiem Steam Key (PC) LATAM</t>
  </si>
  <si>
    <t>2026-08-02T02:53:00.584Z</t>
  </si>
  <si>
    <t>eneba:60688 | driffle:76188 | kinguin:80090</t>
  </si>
  <si>
    <t>80090</t>
  </si>
  <si>
    <t>60688</t>
  </si>
  <si>
    <t>76188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</si>
  <si>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</si>
  <si>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</si>
  <si>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</si>
  <si>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</si>
  <si>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</si>
  <si>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2026-08-02T02:53:04.992Z</t>
  </si>
  <si>
    <t>kinguin:45725</t>
  </si>
  <si>
    <t>45725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</si>
  <si>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</si>
  <si>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</si>
  <si>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</si>
  <si>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2026-08-02T02:54:13.022Z</t>
  </si>
  <si>
    <t>driffle:22562 | eneba:11850</t>
  </si>
  <si>
    <t>11850</t>
  </si>
  <si>
    <t>22562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</si>
  <si>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</si>
  <si>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</si>
  <si>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</si>
  <si>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</si>
  <si>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</si>
  <si>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2026-08-02T02:54:17.056Z</t>
  </si>
  <si>
    <t>kinguin:14315</t>
  </si>
  <si>
    <t>https://www.kinguin.net/es/category/159606/resident-evil-village-steam-account</t>
  </si>
  <si>
    <t>Resident Evil Village / Resident Evil 8 Gold Edition (PC) Steam Key LATAM</t>
  </si>
  <si>
    <t>2026-08-02T02:54:49.856Z</t>
  </si>
  <si>
    <t>eneba:17585 | driffle:17996 | kinguin:19624</t>
  </si>
  <si>
    <t>19624</t>
  </si>
  <si>
    <t>17585</t>
  </si>
  <si>
    <t>17996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</si>
  <si>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</si>
  <si>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</si>
  <si>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</si>
  <si>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</si>
  <si>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</si>
  <si>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2026-08-02T02:54:54.259Z</t>
  </si>
  <si>
    <t>kinguin:21298</t>
  </si>
  <si>
    <t>21298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</si>
  <si>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</si>
  <si>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</si>
  <si>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</si>
  <si>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2026-08-02T02:55:07.179Z</t>
  </si>
  <si>
    <t>driffle:11976 | eneba:12924</t>
  </si>
  <si>
    <t>12924</t>
  </si>
  <si>
    <t>11976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</si>
  <si>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</si>
  <si>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</si>
  <si>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</si>
  <si>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</si>
  <si>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</si>
  <si>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</si>
  <si>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2026-08-02T02:55:16.403Z</t>
  </si>
  <si>
    <t>driffle:12703 | kinguin:13019</t>
  </si>
  <si>
    <t>13019</t>
  </si>
  <si>
    <t>12703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</si>
  <si>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</si>
  <si>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</si>
  <si>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</si>
  <si>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2026-08-02T02:55:25.023Z</t>
  </si>
  <si>
    <t>driffle:63421 | kinguin:65997</t>
  </si>
  <si>
    <t>65997</t>
  </si>
  <si>
    <t>63421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</si>
  <si>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</si>
  <si>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</si>
  <si>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</si>
  <si>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2026-08-02T02:55:33.565Z</t>
  </si>
  <si>
    <t>driffle:76282 | kinguin:79348</t>
  </si>
  <si>
    <t>76282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</si>
  <si>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</si>
  <si>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</si>
  <si>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</si>
  <si>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</si>
  <si>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2026-08-02T02:55:53.380Z</t>
  </si>
  <si>
    <t>kinguin:42281 | driffle:47763 | loaded:40116 | eneba:41017</t>
  </si>
  <si>
    <t>42281</t>
  </si>
  <si>
    <t>47763</t>
  </si>
  <si>
    <t>40116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</si>
  <si>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</si>
  <si>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</si>
  <si>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</si>
  <si>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</si>
  <si>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</si>
  <si>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2026-08-02T02:56:02.030Z</t>
  </si>
  <si>
    <t>kinguin:31537 | driffle:33227</t>
  </si>
  <si>
    <t>31537</t>
  </si>
  <si>
    <t>33227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</si>
  <si>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</si>
  <si>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</si>
  <si>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</si>
  <si>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</si>
  <si>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2026-08-02T02:57:42.177Z</t>
  </si>
  <si>
    <t>kinguin:29467</t>
  </si>
  <si>
    <t>29467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</si>
  <si>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</si>
  <si>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</si>
  <si>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</si>
  <si>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2026-08-02T02:56:39.647Z</t>
  </si>
  <si>
    <t>eneba:35376 | driffle:36640 | kinguin:39895</t>
  </si>
  <si>
    <t>39895</t>
  </si>
  <si>
    <t>35376</t>
  </si>
  <si>
    <t>36640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</si>
  <si>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</si>
  <si>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</si>
  <si>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</si>
  <si>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</si>
  <si>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2026-08-02T02:56:48.563Z</t>
  </si>
  <si>
    <t>kinguin:21693 | driffle:21851</t>
  </si>
  <si>
    <t>21693</t>
  </si>
  <si>
    <t>21851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</si>
  <si>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</si>
  <si>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</si>
  <si>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</si>
  <si>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</si>
  <si>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2026-08-02T02:58:08.264Z</t>
  </si>
  <si>
    <t>eneba:91134 | loaded:73770</t>
  </si>
  <si>
    <t>91134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</si>
  <si>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</si>
  <si>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</si>
  <si>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</si>
  <si>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2026-08-02T02:57:57.150Z</t>
  </si>
  <si>
    <t>eneba:76551 | loaded:63184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</si>
  <si>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</si>
  <si>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</si>
  <si>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</si>
  <si>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</si>
  <si>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</si>
  <si>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2026-08-02T02:58:22.781Z</t>
  </si>
  <si>
    <t>driffle:71053 | eneba:71779</t>
  </si>
  <si>
    <t>71779</t>
  </si>
  <si>
    <t>71053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</si>
  <si>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</si>
  <si>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</si>
  <si>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</si>
  <si>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</si>
  <si>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2026-08-02T02:58:31.571Z</t>
  </si>
  <si>
    <t>kinguin:22910 | driffle:28851</t>
  </si>
  <si>
    <t>22910</t>
  </si>
  <si>
    <t>28851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</si>
  <si>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</si>
  <si>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</si>
  <si>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</si>
  <si>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</si>
  <si>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2026-08-02T02:59:23.057Z</t>
  </si>
  <si>
    <t>kinguin:27271</t>
  </si>
  <si>
    <t>27271</t>
  </si>
  <si>
    <t>https://www.kinguin.net/es/category/160069/star-wars-jedi-survivor-deluxe-edition-steam-account</t>
  </si>
  <si>
    <t>STAR WARS Jedi: Survivor™ (PC) Código de Steam GLOBAL</t>
  </si>
  <si>
    <t>2026-08-02T02:58:35.798Z</t>
  </si>
  <si>
    <t>eneba:17380</t>
  </si>
  <si>
    <t>17380</t>
  </si>
  <si>
    <t>https://www.eneba.com/latam/steam-star-wars-jedi-survivortm-pc-steam-key-global</t>
  </si>
  <si>
    <t>STAR WARS Jedi: Survivor Steam Account</t>
  </si>
  <si>
    <t>2026-08-02T02:58:45.284Z</t>
  </si>
  <si>
    <t>driffle:11976 | kinguin:11929</t>
  </si>
  <si>
    <t>11929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</si>
  <si>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</si>
  <si>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</si>
  <si>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</si>
  <si>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</si>
  <si>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</si>
  <si>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2026-08-02T03:00:04.408Z</t>
  </si>
  <si>
    <t>driffle:61399 | kinguin:66992 | loaded:80090 | eneba:62600</t>
  </si>
  <si>
    <t>62600</t>
  </si>
  <si>
    <t>61399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</si>
  <si>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</si>
  <si>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</si>
  <si>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</si>
  <si>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</si>
  <si>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</si>
  <si>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</si>
  <si>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2026-08-02T03:00:13.201Z</t>
  </si>
  <si>
    <t>kinguin:77041 | driffle:88622</t>
  </si>
  <si>
    <t>77041</t>
  </si>
  <si>
    <t>88622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</si>
  <si>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</si>
  <si>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</si>
  <si>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</si>
  <si>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2026-08-02T02:59:40.173Z</t>
  </si>
  <si>
    <t>driffle:51192 | kinguin:57591 | loaded:63184 | eneba:47763</t>
  </si>
  <si>
    <t>51192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</si>
  <si>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</si>
  <si>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</si>
  <si>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</si>
  <si>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</si>
  <si>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</si>
  <si>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2026-08-02T02:59:44.822Z</t>
  </si>
  <si>
    <t>driffle:49802</t>
  </si>
  <si>
    <t>49802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</si>
  <si>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</si>
  <si>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</si>
  <si>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</si>
  <si>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</si>
  <si>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2026-08-02T03:00:38.941Z</t>
  </si>
  <si>
    <t>kinguin:65222 | driffle:65823</t>
  </si>
  <si>
    <t>65222</t>
  </si>
  <si>
    <t>65823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</si>
  <si>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</si>
  <si>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</si>
  <si>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</si>
  <si>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</si>
  <si>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</si>
  <si>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2026-08-02T03:00:42.978Z</t>
  </si>
  <si>
    <t>kinguin:85573</t>
  </si>
  <si>
    <t>85573</t>
  </si>
  <si>
    <t>https://www.kinguin.net/es/category/437624/street-fighter-6-years-1-2-fighters-edition-pc-steam-account</t>
  </si>
  <si>
    <t>Street Fighter 6 (PC) Código de Steam LATAM</t>
  </si>
  <si>
    <t>2026-08-02T03:00:21.778Z</t>
  </si>
  <si>
    <t>eneba:24711</t>
  </si>
  <si>
    <t>24711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</si>
  <si>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</si>
  <si>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</si>
  <si>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</si>
  <si>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2026-08-02T03:00:26.206Z</t>
  </si>
  <si>
    <t>kinguin:22104</t>
  </si>
  <si>
    <t>https://www.kinguin.net/es/category/153297/street-fighter-6-steam-account</t>
  </si>
  <si>
    <t>Subnautica 2</t>
  </si>
  <si>
    <t>Subnautica 2 (Global) (PC) - Steam Account</t>
  </si>
  <si>
    <t>2026-08-02T03:00:56.189Z</t>
  </si>
  <si>
    <t>driffle:20666 | kinguin:21693</t>
  </si>
  <si>
    <t>20666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</si>
  <si>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</si>
  <si>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</si>
  <si>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</si>
  <si>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</si>
  <si>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2026-08-02T03:01:15.745Z</t>
  </si>
  <si>
    <t>driffle:36182 | loaded:31584 | eneba:34065</t>
  </si>
  <si>
    <t>36182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</si>
  <si>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</si>
  <si>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</si>
  <si>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</si>
  <si>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</si>
  <si>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</si>
  <si>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2026-08-02T03:01:25.045Z</t>
  </si>
  <si>
    <t>kinguin:25991 | driffle:40006</t>
  </si>
  <si>
    <t>25991</t>
  </si>
  <si>
    <t>40006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</si>
  <si>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</si>
  <si>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</si>
  <si>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</si>
  <si>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</si>
  <si>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2026-08-02T03:01:41.843Z</t>
  </si>
  <si>
    <t>driffle:13051 | kinguin:10681 | loaded:15784 | eneba:10823</t>
  </si>
  <si>
    <t>10681</t>
  </si>
  <si>
    <t>10823</t>
  </si>
  <si>
    <t>13051</t>
  </si>
  <si>
    <t>15784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</si>
  <si>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</si>
  <si>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</si>
  <si>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</si>
  <si>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</si>
  <si>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</si>
  <si>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2026-08-02T03:01:50.424Z</t>
  </si>
  <si>
    <t>driffle:20019 | kinguin:14710</t>
  </si>
  <si>
    <t>14710</t>
  </si>
  <si>
    <t>20019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</si>
  <si>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</si>
  <si>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</si>
  <si>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</si>
  <si>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</si>
  <si>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2026-08-02T03:02:09.727Z</t>
  </si>
  <si>
    <t>kinguin:43671</t>
  </si>
  <si>
    <t>43671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</si>
  <si>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</si>
  <si>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</si>
  <si>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</si>
  <si>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</si>
  <si>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</si>
  <si>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2026-08-02T03:02:13.940Z</t>
  </si>
  <si>
    <t>kinguin:38426</t>
  </si>
  <si>
    <t>38426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</si>
  <si>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</si>
  <si>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</si>
  <si>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</si>
  <si>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2026-08-02T03:02:45.386Z</t>
  </si>
  <si>
    <t>kinguin:53357</t>
  </si>
  <si>
    <t>53357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</si>
  <si>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</si>
  <si>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</si>
  <si>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</si>
  <si>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</si>
  <si>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</si>
  <si>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2026-08-02T03:02:49.584Z</t>
  </si>
  <si>
    <t>kinguin:65301</t>
  </si>
  <si>
    <t>65301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</si>
  <si>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</si>
  <si>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</si>
  <si>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</si>
  <si>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2026-08-02T03:02:58.160Z</t>
  </si>
  <si>
    <t>kinguin:13098</t>
  </si>
  <si>
    <t>13098</t>
  </si>
  <si>
    <t>https://www.kinguin.net/es/category/246280/the-witcher-3-wild-hunt-complete-edition-pc-steam-account</t>
  </si>
  <si>
    <t>The Witcher 3: Wild Hunt Steam Account</t>
  </si>
  <si>
    <t>2026-08-02T03:02:53.957Z</t>
  </si>
  <si>
    <t>kinguin:4313</t>
  </si>
  <si>
    <t>4313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</si>
  <si>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</si>
  <si>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</si>
  <si>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</si>
  <si>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2026-08-02T03:03:17.789Z</t>
  </si>
  <si>
    <t>driffle:18960 | eneba:19118 | loaded:23210</t>
  </si>
  <si>
    <t>19118</t>
  </si>
  <si>
    <t>18960</t>
  </si>
  <si>
    <t>23210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</si>
  <si>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</si>
  <si>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</si>
  <si>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</si>
  <si>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</si>
  <si>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</si>
  <si>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</si>
  <si>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2026-08-02T03:03:30.865Z</t>
  </si>
  <si>
    <t>kinguin:41080 | driffle:55189 | eneba:38189</t>
  </si>
  <si>
    <t>41080</t>
  </si>
  <si>
    <t>38189</t>
  </si>
  <si>
    <t>55189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</si>
  <si>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</si>
  <si>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</si>
  <si>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</si>
  <si>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</si>
  <si>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2026-08-02T03:03:35.056Z</t>
  </si>
  <si>
    <t>kinguin:83677</t>
  </si>
  <si>
    <t>83677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</si>
  <si>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</si>
  <si>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</si>
  <si>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</si>
  <si>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</si>
  <si>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2026-08-02T03:04:36.704Z</t>
  </si>
  <si>
    <t>kinguin:205700 | driffle:188336</t>
  </si>
  <si>
    <t>205700</t>
  </si>
  <si>
    <t>188336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</si>
  <si>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</si>
  <si>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</si>
  <si>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</si>
  <si>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</si>
  <si>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2026-08-02T03:04:45.255Z</t>
  </si>
  <si>
    <t>kinguin:143448</t>
  </si>
  <si>
    <t>143448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</si>
  <si>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</si>
  <si>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</si>
  <si>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</si>
  <si>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2026-08-02T03:03:48.087Z</t>
  </si>
  <si>
    <t>driffle:22104 | kinguin:24774 | eneba:24869</t>
  </si>
  <si>
    <t>24774</t>
  </si>
  <si>
    <t>24869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</si>
  <si>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</si>
  <si>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</si>
  <si>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</si>
  <si>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</si>
  <si>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2026-08-02T03:03:52.076Z</t>
  </si>
  <si>
    <t>kinguin:48285</t>
  </si>
  <si>
    <t>48285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</si>
  <si>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</si>
  <si>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</si>
  <si>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</si>
  <si>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</si>
  <si>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2026-08-02T03:05:34.749Z</t>
  </si>
  <si>
    <t>kinguin:149626</t>
  </si>
  <si>
    <t>149626</t>
  </si>
  <si>
    <t>https://www.kinguin.net/es/category/476568/wwe-2k26-attitude-era-edition-pc-steam-account</t>
  </si>
  <si>
    <t>WWE 2K26 Steam Key (PC) GLOBAL</t>
  </si>
  <si>
    <t>2026-08-02T03:04:53.764Z</t>
  </si>
  <si>
    <t>eneba:61841 | kinguin:67908</t>
  </si>
  <si>
    <t>67908</t>
  </si>
  <si>
    <t>61841</t>
  </si>
  <si>
    <t>https://www.kinguin.net/es/category/549111/wwe-2k26-pc-steam-cd-key</t>
  </si>
  <si>
    <t>https://www.eneba.com/latam/steam-wwe-2k26-steam-key-pc-global</t>
  </si>
  <si>
    <t>WWE 2k26 PC Steam Account</t>
  </si>
  <si>
    <t>2026-08-02T03:04:57.987Z</t>
  </si>
  <si>
    <t>kinguin:45852</t>
  </si>
  <si>
    <t>45852</t>
  </si>
  <si>
    <t>https://www.kinguin.net/es/category/464749/wwe-2k26-pc-steam-account</t>
  </si>
  <si>
    <t>King of Kings Edition - Cuenta Steam</t>
  </si>
  <si>
    <t>WWE 2K26 King of Kings Edition PC Steam Account</t>
  </si>
  <si>
    <t>2026-08-02T03:05:02.230Z</t>
  </si>
  <si>
    <t>kinguin:110079</t>
  </si>
  <si>
    <t>110079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</si>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</sst>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85715</v>
      </c>
      <c r="F2">
        <v>84028</v>
      </c>
      <c r="G2">
        <v>100715</v>
      </c>
      <c r="H2">
        <v>15000</v>
      </c>
      <c r="I2">
        <v>145030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99651</v>
      </c>
      <c r="F3">
        <v>84028</v>
      </c>
      <c r="G3">
        <v>114651</v>
      </c>
      <c r="H3">
        <v>15000</v>
      </c>
      <c r="I3">
        <v>165097</v>
      </c>
      <c r="J3" t="str">
        <f>HYPERLINK("https://www.kinguin.net/es/category/537471/007-first-light-deluxe-edition-latam-pc-steam-cd-key","Abrir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36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70989</v>
      </c>
      <c r="F4">
        <v>73066</v>
      </c>
      <c r="G4">
        <v>85989</v>
      </c>
      <c r="H4">
        <v>15000</v>
      </c>
      <c r="I4">
        <v>123824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36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46831</v>
      </c>
      <c r="F5">
        <v>73066</v>
      </c>
      <c r="G5">
        <v>61831</v>
      </c>
      <c r="H5">
        <v>15000</v>
      </c>
      <c r="I5">
        <v>89037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67</v>
      </c>
      <c r="T5" t="s">
        <v>36</v>
      </c>
      <c r="U5" t="s">
        <v>68</v>
      </c>
      <c r="V5" t="s">
        <v>36</v>
      </c>
      <c r="W5" t="s">
        <v>69</v>
      </c>
      <c r="X5" t="s">
        <v>36</v>
      </c>
      <c r="Y5" t="s">
        <v>70</v>
      </c>
      <c r="Z5" t="s">
        <v>36</v>
      </c>
    </row>
    <row r="6">
      <c r="A6" t="s">
        <v>71</v>
      </c>
      <c r="B6" t="s">
        <v>63</v>
      </c>
      <c r="C6" t="s">
        <v>28</v>
      </c>
      <c r="D6" t="s">
        <v>29</v>
      </c>
      <c r="E6">
        <v>6841</v>
      </c>
      <c r="F6">
        <v>54795</v>
      </c>
      <c r="G6">
        <v>30107</v>
      </c>
      <c r="H6">
        <v>23266</v>
      </c>
      <c r="I6">
        <v>43354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42</v>
      </c>
      <c r="M6" t="s">
        <v>72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76</v>
      </c>
      <c r="T6" t="s">
        <v>36</v>
      </c>
      <c r="U6" t="s">
        <v>77</v>
      </c>
      <c r="V6" t="s">
        <v>36</v>
      </c>
      <c r="W6" t="s">
        <v>78</v>
      </c>
      <c r="X6" t="s">
        <v>36</v>
      </c>
      <c r="Y6" t="s">
        <v>79</v>
      </c>
      <c r="Z6" t="s">
        <v>36</v>
      </c>
    </row>
    <row r="7">
      <c r="A7" t="s">
        <v>80</v>
      </c>
      <c r="B7" t="s">
        <v>27</v>
      </c>
      <c r="C7" t="s">
        <v>28</v>
      </c>
      <c r="D7" t="s">
        <v>29</v>
      </c>
      <c r="E7">
        <v>41981</v>
      </c>
      <c r="F7">
        <v>109608</v>
      </c>
      <c r="G7">
        <v>65539</v>
      </c>
      <c r="H7">
        <v>23558</v>
      </c>
      <c r="I7">
        <v>94376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72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36</v>
      </c>
      <c r="U7" t="s">
        <v>36</v>
      </c>
      <c r="V7" t="s">
        <v>36</v>
      </c>
      <c r="W7" t="s">
        <v>85</v>
      </c>
      <c r="X7" t="s">
        <v>36</v>
      </c>
      <c r="Y7" t="s">
        <v>36</v>
      </c>
      <c r="Z7" t="s">
        <v>36</v>
      </c>
    </row>
    <row r="8">
      <c r="A8" t="s">
        <v>80</v>
      </c>
      <c r="B8" t="s">
        <v>40</v>
      </c>
      <c r="C8" t="s">
        <v>32</v>
      </c>
      <c r="D8" t="s">
        <v>41</v>
      </c>
      <c r="E8">
        <v>47985</v>
      </c>
      <c r="F8">
        <v>109608</v>
      </c>
      <c r="G8">
        <v>74518</v>
      </c>
      <c r="H8">
        <v>26533</v>
      </c>
      <c r="I8">
        <v>107306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86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36</v>
      </c>
      <c r="U8" t="s">
        <v>90</v>
      </c>
      <c r="V8" t="s">
        <v>91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80</v>
      </c>
      <c r="B9" t="s">
        <v>53</v>
      </c>
      <c r="C9" t="s">
        <v>32</v>
      </c>
      <c r="D9" t="s">
        <v>41</v>
      </c>
      <c r="E9">
        <v>31584</v>
      </c>
      <c r="F9">
        <v>73066</v>
      </c>
      <c r="G9">
        <v>54800</v>
      </c>
      <c r="H9">
        <v>23216</v>
      </c>
      <c r="I9">
        <v>78912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96</v>
      </c>
      <c r="M9" t="s">
        <v>72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36</v>
      </c>
      <c r="U9" t="s">
        <v>100</v>
      </c>
      <c r="V9" t="s">
        <v>101</v>
      </c>
      <c r="W9" t="s">
        <v>102</v>
      </c>
      <c r="X9" t="s">
        <v>103</v>
      </c>
      <c r="Y9" t="s">
        <v>104</v>
      </c>
      <c r="Z9" t="s">
        <v>105</v>
      </c>
    </row>
    <row r="10">
      <c r="A10" t="s">
        <v>80</v>
      </c>
      <c r="B10" t="s">
        <v>63</v>
      </c>
      <c r="C10" t="s">
        <v>28</v>
      </c>
      <c r="D10" t="s">
        <v>29</v>
      </c>
      <c r="E10">
        <v>31079</v>
      </c>
      <c r="F10">
        <v>73066</v>
      </c>
      <c r="G10">
        <v>46927</v>
      </c>
      <c r="H10">
        <v>15848</v>
      </c>
      <c r="I10">
        <v>67575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42</v>
      </c>
      <c r="M10" t="s">
        <v>72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36</v>
      </c>
      <c r="U10" t="s">
        <v>36</v>
      </c>
      <c r="V10" t="s">
        <v>36</v>
      </c>
      <c r="W10" t="s">
        <v>110</v>
      </c>
      <c r="X10" t="s">
        <v>36</v>
      </c>
      <c r="Y10" t="s">
        <v>36</v>
      </c>
      <c r="Z10" t="s">
        <v>36</v>
      </c>
    </row>
    <row r="11">
      <c r="A11" t="s">
        <v>111</v>
      </c>
      <c r="B11" t="s">
        <v>53</v>
      </c>
      <c r="C11" t="s">
        <v>32</v>
      </c>
      <c r="D11" t="s">
        <v>41</v>
      </c>
      <c r="E11">
        <v>81749</v>
      </c>
      <c r="F11">
        <v>82201</v>
      </c>
      <c r="G11">
        <v>96749</v>
      </c>
      <c r="H11">
        <v>15000</v>
      </c>
      <c r="I11">
        <v>139319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86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36</v>
      </c>
      <c r="U11" t="s">
        <v>116</v>
      </c>
      <c r="V11" t="s">
        <v>36</v>
      </c>
      <c r="W11" t="s">
        <v>117</v>
      </c>
      <c r="X11" t="s">
        <v>118</v>
      </c>
      <c r="Y11" t="s">
        <v>119</v>
      </c>
      <c r="Z11" t="s">
        <v>36</v>
      </c>
    </row>
    <row r="12">
      <c r="A12" t="s">
        <v>111</v>
      </c>
      <c r="B12" t="s">
        <v>63</v>
      </c>
      <c r="C12" t="s">
        <v>28</v>
      </c>
      <c r="D12" t="s">
        <v>29</v>
      </c>
      <c r="E12">
        <v>12719</v>
      </c>
      <c r="F12">
        <v>82201</v>
      </c>
      <c r="G12">
        <v>39719</v>
      </c>
      <c r="H12">
        <v>27000</v>
      </c>
      <c r="I12">
        <v>57195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42</v>
      </c>
      <c r="M12" t="s">
        <v>86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123</v>
      </c>
      <c r="T12" t="s">
        <v>36</v>
      </c>
      <c r="U12" t="s">
        <v>124</v>
      </c>
      <c r="V12" t="s">
        <v>36</v>
      </c>
      <c r="W12" t="s">
        <v>125</v>
      </c>
      <c r="X12" t="s">
        <v>36</v>
      </c>
      <c r="Y12" t="s">
        <v>126</v>
      </c>
      <c r="Z12" t="s">
        <v>36</v>
      </c>
    </row>
    <row r="13">
      <c r="A13" t="s">
        <v>127</v>
      </c>
      <c r="B13" t="s">
        <v>63</v>
      </c>
      <c r="C13" t="s">
        <v>28</v>
      </c>
      <c r="D13" t="s">
        <v>29</v>
      </c>
      <c r="E13">
        <v>43339</v>
      </c>
      <c r="F13">
        <v>73066</v>
      </c>
      <c r="G13">
        <v>58339</v>
      </c>
      <c r="H13">
        <v>15000</v>
      </c>
      <c r="I13">
        <v>84008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30</v>
      </c>
      <c r="M13" t="s">
        <v>31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36</v>
      </c>
      <c r="T13" t="s">
        <v>36</v>
      </c>
      <c r="U13" t="s">
        <v>131</v>
      </c>
      <c r="V13" t="s">
        <v>36</v>
      </c>
      <c r="W13" t="s">
        <v>132</v>
      </c>
      <c r="X13" t="s">
        <v>36</v>
      </c>
      <c r="Y13" t="s">
        <v>133</v>
      </c>
      <c r="Z13" t="s">
        <v>36</v>
      </c>
    </row>
    <row r="14">
      <c r="A14" t="s">
        <v>134</v>
      </c>
      <c r="B14" t="s">
        <v>27</v>
      </c>
      <c r="C14" t="s">
        <v>28</v>
      </c>
      <c r="D14" t="s">
        <v>29</v>
      </c>
      <c r="E14">
        <v>93868</v>
      </c>
      <c r="F14">
        <v>131533</v>
      </c>
      <c r="G14">
        <v>108868</v>
      </c>
      <c r="H14">
        <v>15000</v>
      </c>
      <c r="I14">
        <v>156770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42</v>
      </c>
      <c r="M14" t="s">
        <v>72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138</v>
      </c>
      <c r="T14" t="s">
        <v>36</v>
      </c>
      <c r="U14" t="s">
        <v>36</v>
      </c>
      <c r="V14" t="s">
        <v>36</v>
      </c>
      <c r="W14" t="s">
        <v>139</v>
      </c>
      <c r="X14" t="s">
        <v>36</v>
      </c>
      <c r="Y14" t="s">
        <v>36</v>
      </c>
      <c r="Z14" t="s">
        <v>36</v>
      </c>
    </row>
    <row r="15">
      <c r="A15" t="s">
        <v>134</v>
      </c>
      <c r="B15" t="s">
        <v>63</v>
      </c>
      <c r="C15" t="s">
        <v>28</v>
      </c>
      <c r="D15" t="s">
        <v>29</v>
      </c>
      <c r="E15">
        <v>33449</v>
      </c>
      <c r="F15">
        <v>102299</v>
      </c>
      <c r="G15">
        <v>59276</v>
      </c>
      <c r="H15">
        <v>25827</v>
      </c>
      <c r="I15">
        <v>85357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42</v>
      </c>
      <c r="M15" t="s">
        <v>72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143</v>
      </c>
      <c r="T15" t="s">
        <v>36</v>
      </c>
      <c r="U15" t="s">
        <v>144</v>
      </c>
      <c r="V15" t="s">
        <v>36</v>
      </c>
      <c r="W15" t="s">
        <v>145</v>
      </c>
      <c r="X15" t="s">
        <v>36</v>
      </c>
      <c r="Y15" t="s">
        <v>146</v>
      </c>
      <c r="Z15" t="s">
        <v>36</v>
      </c>
    </row>
    <row r="16">
      <c r="A16" t="s">
        <v>147</v>
      </c>
      <c r="B16" t="s">
        <v>63</v>
      </c>
      <c r="C16" t="s">
        <v>28</v>
      </c>
      <c r="D16" t="s">
        <v>29</v>
      </c>
      <c r="E16">
        <v>20429</v>
      </c>
      <c r="F16">
        <v>63930</v>
      </c>
      <c r="G16">
        <v>39105</v>
      </c>
      <c r="H16">
        <v>18676</v>
      </c>
      <c r="I16">
        <v>56311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30</v>
      </c>
      <c r="M16" t="s">
        <v>86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36</v>
      </c>
      <c r="T16" t="s">
        <v>36</v>
      </c>
      <c r="U16" t="s">
        <v>151</v>
      </c>
      <c r="V16" t="s">
        <v>36</v>
      </c>
      <c r="W16" t="s">
        <v>152</v>
      </c>
      <c r="X16" t="s">
        <v>36</v>
      </c>
      <c r="Y16" t="s">
        <v>153</v>
      </c>
      <c r="Z16" t="s">
        <v>36</v>
      </c>
    </row>
    <row r="17">
      <c r="A17" t="s">
        <v>154</v>
      </c>
      <c r="B17" t="s">
        <v>53</v>
      </c>
      <c r="C17" t="s">
        <v>32</v>
      </c>
      <c r="D17" t="s">
        <v>41</v>
      </c>
      <c r="E17">
        <v>76172</v>
      </c>
      <c r="F17">
        <v>127879</v>
      </c>
      <c r="G17">
        <v>94150</v>
      </c>
      <c r="H17">
        <v>17978</v>
      </c>
      <c r="I17">
        <v>135576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36</v>
      </c>
      <c r="T17" t="s">
        <v>36</v>
      </c>
      <c r="U17" t="s">
        <v>158</v>
      </c>
      <c r="V17" t="s">
        <v>36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154</v>
      </c>
      <c r="B18" t="s">
        <v>63</v>
      </c>
      <c r="C18" t="s">
        <v>28</v>
      </c>
      <c r="D18" t="s">
        <v>29</v>
      </c>
      <c r="E18">
        <v>26212</v>
      </c>
      <c r="F18">
        <v>127879</v>
      </c>
      <c r="G18">
        <v>53212</v>
      </c>
      <c r="H18">
        <v>27000</v>
      </c>
      <c r="I18">
        <v>76625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166</v>
      </c>
      <c r="T18" t="s">
        <v>36</v>
      </c>
      <c r="U18" t="s">
        <v>167</v>
      </c>
      <c r="V18" t="s">
        <v>36</v>
      </c>
      <c r="W18" t="s">
        <v>168</v>
      </c>
      <c r="X18" t="s">
        <v>36</v>
      </c>
      <c r="Y18" t="s">
        <v>169</v>
      </c>
      <c r="Z18" t="s">
        <v>36</v>
      </c>
    </row>
    <row r="19">
      <c r="A19" t="s">
        <v>154</v>
      </c>
      <c r="B19" t="s">
        <v>170</v>
      </c>
      <c r="C19" t="s">
        <v>32</v>
      </c>
      <c r="D19" t="s">
        <v>41</v>
      </c>
      <c r="E19">
        <v>118042</v>
      </c>
      <c r="F19">
        <v>182692</v>
      </c>
      <c r="G19">
        <v>135428</v>
      </c>
      <c r="H19">
        <v>17386</v>
      </c>
      <c r="I19">
        <v>195016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36</v>
      </c>
      <c r="T19" t="s">
        <v>36</v>
      </c>
      <c r="U19" t="s">
        <v>174</v>
      </c>
      <c r="V19" t="s">
        <v>36</v>
      </c>
      <c r="W19" t="s">
        <v>175</v>
      </c>
      <c r="X19" t="s">
        <v>176</v>
      </c>
      <c r="Y19" t="s">
        <v>177</v>
      </c>
      <c r="Z19" t="s">
        <v>178</v>
      </c>
    </row>
    <row r="20">
      <c r="A20" t="s">
        <v>154</v>
      </c>
      <c r="B20" t="s">
        <v>179</v>
      </c>
      <c r="C20" t="s">
        <v>28</v>
      </c>
      <c r="D20" t="s">
        <v>29</v>
      </c>
      <c r="E20">
        <v>70752</v>
      </c>
      <c r="F20">
        <v>182692</v>
      </c>
      <c r="G20">
        <v>97752</v>
      </c>
      <c r="H20">
        <v>27000</v>
      </c>
      <c r="I20">
        <v>140763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42</v>
      </c>
      <c r="M20" t="s">
        <v>86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183</v>
      </c>
      <c r="T20" t="s">
        <v>36</v>
      </c>
      <c r="U20" t="s">
        <v>184</v>
      </c>
      <c r="V20" t="s">
        <v>36</v>
      </c>
      <c r="W20" t="s">
        <v>185</v>
      </c>
      <c r="X20" t="s">
        <v>36</v>
      </c>
      <c r="Y20" t="s">
        <v>186</v>
      </c>
      <c r="Z20" t="s">
        <v>36</v>
      </c>
    </row>
    <row r="21">
      <c r="A21" t="s">
        <v>187</v>
      </c>
      <c r="B21" t="s">
        <v>27</v>
      </c>
      <c r="C21" t="s">
        <v>28</v>
      </c>
      <c r="D21" t="s">
        <v>29</v>
      </c>
      <c r="E21">
        <v>79348</v>
      </c>
      <c r="F21">
        <v>127879</v>
      </c>
      <c r="G21">
        <v>94348</v>
      </c>
      <c r="H21">
        <v>15000</v>
      </c>
      <c r="I21">
        <v>135861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42</v>
      </c>
      <c r="M21" t="s">
        <v>86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191</v>
      </c>
      <c r="T21" t="s">
        <v>36</v>
      </c>
      <c r="U21" t="s">
        <v>36</v>
      </c>
      <c r="V21" t="s">
        <v>36</v>
      </c>
      <c r="W21" t="s">
        <v>192</v>
      </c>
      <c r="X21" t="s">
        <v>36</v>
      </c>
      <c r="Y21" t="s">
        <v>193</v>
      </c>
      <c r="Z21" t="s">
        <v>36</v>
      </c>
    </row>
    <row r="22">
      <c r="A22" t="s">
        <v>187</v>
      </c>
      <c r="B22" t="s">
        <v>53</v>
      </c>
      <c r="C22" t="s">
        <v>32</v>
      </c>
      <c r="D22" t="s">
        <v>41</v>
      </c>
      <c r="E22">
        <v>81022</v>
      </c>
      <c r="F22">
        <v>109608</v>
      </c>
      <c r="G22">
        <v>96022</v>
      </c>
      <c r="H22">
        <v>15000</v>
      </c>
      <c r="I22">
        <v>138272</v>
      </c>
      <c r="J22" t="str">
        <f>HYPERLINK("https://www.eneba.com/latam/steam-black-myth-wukong-pc-steam-key-global","Abrir compra")</f>
        <v>Abrir compra</v>
      </c>
      <c r="K22" t="str">
        <f>HYPERLINK("https://store.steampowered.com/app/2358720/Black_Myth_Wukong/","Abrir Steam")</f>
        <v>Abrir Steam</v>
      </c>
      <c r="L22" t="s">
        <v>194</v>
      </c>
      <c r="M22" t="s">
        <v>86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36</v>
      </c>
      <c r="T22" t="s">
        <v>198</v>
      </c>
      <c r="U22" t="s">
        <v>199</v>
      </c>
      <c r="V22" t="s">
        <v>200</v>
      </c>
      <c r="W22" t="s">
        <v>201</v>
      </c>
      <c r="X22" t="s">
        <v>202</v>
      </c>
      <c r="Y22" t="s">
        <v>203</v>
      </c>
      <c r="Z22" t="s">
        <v>204</v>
      </c>
    </row>
    <row r="23">
      <c r="A23" t="s">
        <v>187</v>
      </c>
      <c r="B23" t="s">
        <v>63</v>
      </c>
      <c r="C23" t="s">
        <v>28</v>
      </c>
      <c r="D23" t="s">
        <v>29</v>
      </c>
      <c r="E23">
        <v>48237</v>
      </c>
      <c r="F23">
        <v>109608</v>
      </c>
      <c r="G23">
        <v>68042</v>
      </c>
      <c r="H23">
        <v>19805</v>
      </c>
      <c r="I23">
        <v>97980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30</v>
      </c>
      <c r="M23" t="s">
        <v>86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212</v>
      </c>
      <c r="B24" t="s">
        <v>27</v>
      </c>
      <c r="C24" t="s">
        <v>28</v>
      </c>
      <c r="D24" t="s">
        <v>29</v>
      </c>
      <c r="E24">
        <v>62995</v>
      </c>
      <c r="F24">
        <v>182692</v>
      </c>
      <c r="G24">
        <v>89995</v>
      </c>
      <c r="H24">
        <v>27000</v>
      </c>
      <c r="I24">
        <v>129593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42</v>
      </c>
      <c r="M24" t="s">
        <v>72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36</v>
      </c>
      <c r="U24" t="s">
        <v>36</v>
      </c>
      <c r="V24" t="s">
        <v>36</v>
      </c>
      <c r="W24" t="s">
        <v>217</v>
      </c>
      <c r="X24" t="s">
        <v>36</v>
      </c>
      <c r="Y24" t="s">
        <v>36</v>
      </c>
      <c r="Z24" t="s">
        <v>36</v>
      </c>
    </row>
    <row r="25">
      <c r="A25" t="s">
        <v>212</v>
      </c>
      <c r="B25" t="s">
        <v>27</v>
      </c>
      <c r="C25" t="s">
        <v>28</v>
      </c>
      <c r="D25" t="s">
        <v>29</v>
      </c>
      <c r="E25">
        <v>131409</v>
      </c>
      <c r="F25">
        <v>182692</v>
      </c>
      <c r="G25">
        <v>146409</v>
      </c>
      <c r="H25">
        <v>15000</v>
      </c>
      <c r="I25">
        <v>210829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42</v>
      </c>
      <c r="M25" t="s">
        <v>72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36</v>
      </c>
      <c r="U25" t="s">
        <v>36</v>
      </c>
      <c r="V25" t="s">
        <v>36</v>
      </c>
      <c r="W25" t="s">
        <v>222</v>
      </c>
      <c r="X25" t="s">
        <v>36</v>
      </c>
      <c r="Y25" t="s">
        <v>36</v>
      </c>
      <c r="Z25" t="s">
        <v>36</v>
      </c>
    </row>
    <row r="26">
      <c r="A26" t="s">
        <v>212</v>
      </c>
      <c r="B26" t="s">
        <v>40</v>
      </c>
      <c r="C26" t="s">
        <v>32</v>
      </c>
      <c r="D26" t="s">
        <v>41</v>
      </c>
      <c r="E26">
        <v>63074</v>
      </c>
      <c r="F26">
        <v>182692</v>
      </c>
      <c r="G26">
        <v>90074</v>
      </c>
      <c r="H26">
        <v>27000</v>
      </c>
      <c r="I26">
        <v>129707</v>
      </c>
      <c r="J26" t="str">
        <f>HYPERLINK("https://driffle.com/es/borderlands-4-deluxe-edition-global-pc-steam-digital-key-p9941167","Abrir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86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226</v>
      </c>
      <c r="T26" t="s">
        <v>227</v>
      </c>
      <c r="U26" t="s">
        <v>228</v>
      </c>
      <c r="V26" t="s">
        <v>36</v>
      </c>
      <c r="W26" t="s">
        <v>229</v>
      </c>
      <c r="X26" t="s">
        <v>230</v>
      </c>
      <c r="Y26" t="s">
        <v>231</v>
      </c>
      <c r="Z26" t="s">
        <v>36</v>
      </c>
    </row>
    <row r="27">
      <c r="A27" t="s">
        <v>212</v>
      </c>
      <c r="B27" t="s">
        <v>53</v>
      </c>
      <c r="C27" t="s">
        <v>32</v>
      </c>
      <c r="D27" t="s">
        <v>41</v>
      </c>
      <c r="E27">
        <v>44856</v>
      </c>
      <c r="F27">
        <v>127879</v>
      </c>
      <c r="G27">
        <v>71856</v>
      </c>
      <c r="H27">
        <v>27000</v>
      </c>
      <c r="I27">
        <v>103473</v>
      </c>
      <c r="J27" t="str">
        <f>HYPERLINK("https://www.loaded.com/es_es/borderlands-4-pc-steam","Abrir compra")</f>
        <v>Abrir compra</v>
      </c>
      <c r="K27" t="str">
        <f>HYPERLINK("https://store.steampowered.com/app/1285190/Borderlands_4/","Abrir Steam")</f>
        <v>Abrir Steam</v>
      </c>
      <c r="L27" t="s">
        <v>96</v>
      </c>
      <c r="M27" t="s">
        <v>72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236</v>
      </c>
      <c r="U27" t="s">
        <v>237</v>
      </c>
      <c r="V27" t="s">
        <v>238</v>
      </c>
      <c r="W27" t="s">
        <v>239</v>
      </c>
      <c r="X27" t="s">
        <v>240</v>
      </c>
      <c r="Y27" t="s">
        <v>241</v>
      </c>
      <c r="Z27" t="s">
        <v>242</v>
      </c>
    </row>
    <row r="28">
      <c r="A28" t="s">
        <v>212</v>
      </c>
      <c r="B28" t="s">
        <v>63</v>
      </c>
      <c r="C28" t="s">
        <v>28</v>
      </c>
      <c r="D28" t="s">
        <v>29</v>
      </c>
      <c r="E28">
        <v>35108</v>
      </c>
      <c r="F28">
        <v>127879</v>
      </c>
      <c r="G28">
        <v>62108</v>
      </c>
      <c r="H28">
        <v>27000</v>
      </c>
      <c r="I28">
        <v>89436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42</v>
      </c>
      <c r="M28" t="s">
        <v>72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246</v>
      </c>
      <c r="T28" t="s">
        <v>36</v>
      </c>
      <c r="U28" t="s">
        <v>36</v>
      </c>
      <c r="V28" t="s">
        <v>36</v>
      </c>
      <c r="W28" t="s">
        <v>247</v>
      </c>
      <c r="X28" t="s">
        <v>36</v>
      </c>
      <c r="Y28" t="s">
        <v>36</v>
      </c>
      <c r="Z28" t="s">
        <v>36</v>
      </c>
    </row>
    <row r="29">
      <c r="A29" t="s">
        <v>212</v>
      </c>
      <c r="B29" t="s">
        <v>248</v>
      </c>
      <c r="C29" t="s">
        <v>32</v>
      </c>
      <c r="D29" t="s">
        <v>41</v>
      </c>
      <c r="E29">
        <v>85683</v>
      </c>
      <c r="F29">
        <v>237505</v>
      </c>
      <c r="G29">
        <v>112683</v>
      </c>
      <c r="H29">
        <v>27000</v>
      </c>
      <c r="I29">
        <v>162264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194</v>
      </c>
      <c r="M29" t="s">
        <v>86</v>
      </c>
      <c r="N29" t="s">
        <v>32</v>
      </c>
      <c r="O29" t="s">
        <v>249</v>
      </c>
      <c r="P29" t="s">
        <v>250</v>
      </c>
      <c r="Q29" t="s">
        <v>32</v>
      </c>
      <c r="R29" t="s">
        <v>251</v>
      </c>
      <c r="S29" t="s">
        <v>252</v>
      </c>
      <c r="T29" t="s">
        <v>253</v>
      </c>
      <c r="U29" t="s">
        <v>254</v>
      </c>
      <c r="V29" t="s">
        <v>36</v>
      </c>
      <c r="W29" t="s">
        <v>255</v>
      </c>
      <c r="X29" t="s">
        <v>256</v>
      </c>
      <c r="Y29" t="s">
        <v>257</v>
      </c>
      <c r="Z29" t="s">
        <v>36</v>
      </c>
    </row>
    <row r="30">
      <c r="A30" t="s">
        <v>258</v>
      </c>
      <c r="B30" t="s">
        <v>63</v>
      </c>
      <c r="C30" t="s">
        <v>28</v>
      </c>
      <c r="D30" t="s">
        <v>29</v>
      </c>
      <c r="E30">
        <v>43403</v>
      </c>
      <c r="F30">
        <v>127879</v>
      </c>
      <c r="G30">
        <v>70403</v>
      </c>
      <c r="H30">
        <v>27000</v>
      </c>
      <c r="I30">
        <v>101380</v>
      </c>
      <c r="J30" t="str">
        <f>HYPERLINK("https://driffle.com/es/call-of-duty-black-ops-7-global-pc-steam-account-p9971582","Abrir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262</v>
      </c>
      <c r="T30" t="s">
        <v>36</v>
      </c>
      <c r="U30" t="s">
        <v>263</v>
      </c>
      <c r="V30" t="s">
        <v>36</v>
      </c>
      <c r="W30" t="s">
        <v>264</v>
      </c>
      <c r="X30" t="s">
        <v>36</v>
      </c>
      <c r="Y30" t="s">
        <v>265</v>
      </c>
      <c r="Z30" t="s">
        <v>36</v>
      </c>
    </row>
    <row r="31">
      <c r="A31" t="s">
        <v>266</v>
      </c>
      <c r="B31" t="s">
        <v>267</v>
      </c>
      <c r="C31" t="s">
        <v>28</v>
      </c>
      <c r="D31" t="s">
        <v>29</v>
      </c>
      <c r="E31">
        <v>31805</v>
      </c>
      <c r="F31">
        <v>109608</v>
      </c>
      <c r="G31">
        <v>58805</v>
      </c>
      <c r="H31">
        <v>27000</v>
      </c>
      <c r="I31">
        <v>84679</v>
      </c>
      <c r="J31" t="str">
        <f>HYPERLINK("https://driffle.com/es/call-of-duty-black-ops-iii-zombies-chronicles-edition-global-pc-mac-steam-account-p9945601","Abrir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86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36</v>
      </c>
      <c r="U31" t="s">
        <v>272</v>
      </c>
      <c r="V31" t="s">
        <v>36</v>
      </c>
      <c r="W31" t="s">
        <v>273</v>
      </c>
      <c r="X31" t="s">
        <v>36</v>
      </c>
      <c r="Y31" t="s">
        <v>274</v>
      </c>
      <c r="Z31" t="s">
        <v>36</v>
      </c>
    </row>
    <row r="32">
      <c r="A32" t="s">
        <v>275</v>
      </c>
      <c r="B32" t="s">
        <v>27</v>
      </c>
      <c r="C32" t="s">
        <v>28</v>
      </c>
      <c r="D32" t="s">
        <v>29</v>
      </c>
      <c r="E32">
        <v>57623</v>
      </c>
      <c r="F32">
        <v>76720</v>
      </c>
      <c r="G32">
        <v>72623</v>
      </c>
      <c r="H32">
        <v>15000</v>
      </c>
      <c r="I32">
        <v>104577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42</v>
      </c>
      <c r="M32" t="s">
        <v>72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36</v>
      </c>
      <c r="U32" t="s">
        <v>280</v>
      </c>
      <c r="V32" t="s">
        <v>36</v>
      </c>
      <c r="W32" t="s">
        <v>281</v>
      </c>
      <c r="X32" t="s">
        <v>36</v>
      </c>
      <c r="Y32" t="s">
        <v>282</v>
      </c>
      <c r="Z32" t="s">
        <v>36</v>
      </c>
    </row>
    <row r="33">
      <c r="A33" t="s">
        <v>275</v>
      </c>
      <c r="B33" t="s">
        <v>40</v>
      </c>
      <c r="C33" t="s">
        <v>32</v>
      </c>
      <c r="D33" t="s">
        <v>41</v>
      </c>
      <c r="E33">
        <v>49596</v>
      </c>
      <c r="F33">
        <v>76720</v>
      </c>
      <c r="G33">
        <v>64596</v>
      </c>
      <c r="H33">
        <v>15000</v>
      </c>
      <c r="I33">
        <v>93018</v>
      </c>
      <c r="J33" t="str">
        <f>HYPERLINK("https://www.loaded.com/es_es/clair-obscur-expedition-33-deluxe-edition-pc-steam","Abrir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96</v>
      </c>
      <c r="M33" t="s">
        <v>72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286</v>
      </c>
      <c r="T33" t="s">
        <v>287</v>
      </c>
      <c r="U33" t="s">
        <v>288</v>
      </c>
      <c r="V33" t="s">
        <v>289</v>
      </c>
      <c r="W33" t="s">
        <v>290</v>
      </c>
      <c r="X33" t="s">
        <v>291</v>
      </c>
      <c r="Y33" t="s">
        <v>292</v>
      </c>
      <c r="Z33" t="s">
        <v>293</v>
      </c>
    </row>
    <row r="34">
      <c r="A34" t="s">
        <v>275</v>
      </c>
      <c r="B34" t="s">
        <v>53</v>
      </c>
      <c r="C34" t="s">
        <v>32</v>
      </c>
      <c r="D34" t="s">
        <v>41</v>
      </c>
      <c r="E34">
        <v>34744</v>
      </c>
      <c r="F34">
        <v>63930</v>
      </c>
      <c r="G34">
        <v>57254</v>
      </c>
      <c r="H34">
        <v>22510</v>
      </c>
      <c r="I34">
        <v>82446</v>
      </c>
      <c r="J34" t="str">
        <f>HYPERLINK("https://www.loaded.com/es_es/clair-obscur-expedition-33-pc-steam","Abrir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96</v>
      </c>
      <c r="M34" t="s">
        <v>72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298</v>
      </c>
      <c r="U34" t="s">
        <v>299</v>
      </c>
      <c r="V34" t="s">
        <v>300</v>
      </c>
      <c r="W34" t="s">
        <v>301</v>
      </c>
      <c r="X34" t="s">
        <v>302</v>
      </c>
      <c r="Y34" t="s">
        <v>303</v>
      </c>
      <c r="Z34" t="s">
        <v>304</v>
      </c>
    </row>
    <row r="35">
      <c r="A35" t="s">
        <v>275</v>
      </c>
      <c r="B35" t="s">
        <v>63</v>
      </c>
      <c r="C35" t="s">
        <v>28</v>
      </c>
      <c r="D35" t="s">
        <v>29</v>
      </c>
      <c r="E35">
        <v>34254</v>
      </c>
      <c r="F35">
        <v>63930</v>
      </c>
      <c r="G35">
        <v>49254</v>
      </c>
      <c r="H35">
        <v>15000</v>
      </c>
      <c r="I35">
        <v>70926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42</v>
      </c>
      <c r="M35" t="s">
        <v>72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308</v>
      </c>
      <c r="T35" t="s">
        <v>36</v>
      </c>
      <c r="U35" t="s">
        <v>309</v>
      </c>
      <c r="V35" t="s">
        <v>36</v>
      </c>
      <c r="W35" t="s">
        <v>310</v>
      </c>
      <c r="X35" t="s">
        <v>36</v>
      </c>
      <c r="Y35" t="s">
        <v>311</v>
      </c>
      <c r="Z35" t="s">
        <v>36</v>
      </c>
    </row>
    <row r="36">
      <c r="A36" t="s">
        <v>312</v>
      </c>
      <c r="B36" t="s">
        <v>27</v>
      </c>
      <c r="C36" t="s">
        <v>28</v>
      </c>
      <c r="D36" t="s">
        <v>29</v>
      </c>
      <c r="E36">
        <v>63769</v>
      </c>
      <c r="F36">
        <v>146150</v>
      </c>
      <c r="G36">
        <v>88506</v>
      </c>
      <c r="H36">
        <v>24737</v>
      </c>
      <c r="I36">
        <v>127449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36</v>
      </c>
      <c r="U36" t="s">
        <v>317</v>
      </c>
      <c r="V36" t="s">
        <v>36</v>
      </c>
      <c r="W36" t="s">
        <v>318</v>
      </c>
      <c r="X36" t="s">
        <v>36</v>
      </c>
      <c r="Y36" t="s">
        <v>319</v>
      </c>
      <c r="Z36" t="s">
        <v>36</v>
      </c>
    </row>
    <row r="37">
      <c r="A37" t="s">
        <v>312</v>
      </c>
      <c r="B37" t="s">
        <v>40</v>
      </c>
      <c r="C37" t="s">
        <v>32</v>
      </c>
      <c r="D37" t="s">
        <v>41</v>
      </c>
      <c r="E37">
        <v>52756</v>
      </c>
      <c r="F37">
        <v>146150</v>
      </c>
      <c r="G37">
        <v>79756</v>
      </c>
      <c r="H37">
        <v>27000</v>
      </c>
      <c r="I37">
        <v>114849</v>
      </c>
      <c r="J37" t="str">
        <f>HYPERLINK("https://www.loaded.com/es_es/crimson-desert-deluxe-edition-pc-steam-latam","Abrir compra")</f>
        <v>Abrir compra</v>
      </c>
      <c r="K37" t="str">
        <f>HYPERLINK("https://store.steampowered.com/app/3321460/Crimson_Desert/","Abrir Steam")</f>
        <v>Abrir Steam</v>
      </c>
      <c r="L37" t="s">
        <v>96</v>
      </c>
      <c r="M37" t="s">
        <v>31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324</v>
      </c>
      <c r="U37" t="s">
        <v>325</v>
      </c>
      <c r="V37" t="s">
        <v>91</v>
      </c>
      <c r="W37" t="s">
        <v>326</v>
      </c>
      <c r="X37" t="s">
        <v>327</v>
      </c>
      <c r="Y37" t="s">
        <v>328</v>
      </c>
      <c r="Z37" t="s">
        <v>329</v>
      </c>
    </row>
    <row r="38">
      <c r="A38" t="s">
        <v>312</v>
      </c>
      <c r="B38" t="s">
        <v>53</v>
      </c>
      <c r="C38" t="s">
        <v>32</v>
      </c>
      <c r="D38" t="s">
        <v>41</v>
      </c>
      <c r="E38">
        <v>48490</v>
      </c>
      <c r="F38">
        <v>127879</v>
      </c>
      <c r="G38">
        <v>83490</v>
      </c>
      <c r="H38">
        <v>35000</v>
      </c>
      <c r="I38">
        <v>120226</v>
      </c>
      <c r="J38" t="str">
        <f>HYPERLINK("https://www.loaded.com/es_es/crimson-desert-pc-steam-latam","Abrir compra")</f>
        <v>Abrir compra</v>
      </c>
      <c r="K38" t="str">
        <f>HYPERLINK("https://store.steampowered.com/app/3321460/Crimson_Desert/","Abrir Steam")</f>
        <v>Abrir Steam</v>
      </c>
      <c r="L38" t="s">
        <v>96</v>
      </c>
      <c r="M38" t="s">
        <v>31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334</v>
      </c>
      <c r="U38" t="s">
        <v>335</v>
      </c>
      <c r="V38" t="s">
        <v>336</v>
      </c>
      <c r="W38" t="s">
        <v>337</v>
      </c>
      <c r="X38" t="s">
        <v>338</v>
      </c>
      <c r="Y38" t="s">
        <v>339</v>
      </c>
      <c r="Z38" t="s">
        <v>340</v>
      </c>
    </row>
    <row r="39">
      <c r="A39" t="s">
        <v>312</v>
      </c>
      <c r="B39" t="s">
        <v>63</v>
      </c>
      <c r="C39" t="s">
        <v>28</v>
      </c>
      <c r="D39" t="s">
        <v>29</v>
      </c>
      <c r="E39">
        <v>52819</v>
      </c>
      <c r="F39">
        <v>127879</v>
      </c>
      <c r="G39">
        <v>77000</v>
      </c>
      <c r="H39">
        <v>24181</v>
      </c>
      <c r="I39">
        <v>110880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30</v>
      </c>
      <c r="M39" t="s">
        <v>31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344</v>
      </c>
      <c r="T39" t="s">
        <v>36</v>
      </c>
      <c r="U39" t="s">
        <v>345</v>
      </c>
      <c r="V39" t="s">
        <v>36</v>
      </c>
      <c r="W39" t="s">
        <v>346</v>
      </c>
      <c r="X39" t="s">
        <v>36</v>
      </c>
      <c r="Y39" t="s">
        <v>347</v>
      </c>
      <c r="Z39" t="s">
        <v>36</v>
      </c>
    </row>
    <row r="40">
      <c r="A40" t="s">
        <v>348</v>
      </c>
      <c r="B40" t="s">
        <v>349</v>
      </c>
      <c r="C40" t="s">
        <v>32</v>
      </c>
      <c r="D40" t="s">
        <v>41</v>
      </c>
      <c r="E40">
        <v>26655</v>
      </c>
      <c r="F40">
        <v>49313</v>
      </c>
      <c r="G40">
        <v>48264</v>
      </c>
      <c r="H40">
        <v>21609</v>
      </c>
      <c r="I40">
        <v>69500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86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36</v>
      </c>
      <c r="T40" t="s">
        <v>353</v>
      </c>
      <c r="U40" t="s">
        <v>354</v>
      </c>
      <c r="V40" t="s">
        <v>36</v>
      </c>
      <c r="W40" t="s">
        <v>355</v>
      </c>
      <c r="X40" t="s">
        <v>356</v>
      </c>
      <c r="Y40" t="s">
        <v>357</v>
      </c>
      <c r="Z40" t="s">
        <v>36</v>
      </c>
    </row>
    <row r="41">
      <c r="A41" t="s">
        <v>348</v>
      </c>
      <c r="B41" t="s">
        <v>358</v>
      </c>
      <c r="C41" t="s">
        <v>28</v>
      </c>
      <c r="D41" t="s">
        <v>29</v>
      </c>
      <c r="E41">
        <v>25264</v>
      </c>
      <c r="F41">
        <v>49313</v>
      </c>
      <c r="G41">
        <v>40264</v>
      </c>
      <c r="H41">
        <v>15000</v>
      </c>
      <c r="I41">
        <v>57980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42</v>
      </c>
      <c r="M41" t="s">
        <v>72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362</v>
      </c>
      <c r="T41" t="s">
        <v>36</v>
      </c>
      <c r="U41" t="s">
        <v>36</v>
      </c>
      <c r="V41" t="s">
        <v>36</v>
      </c>
      <c r="W41" t="s">
        <v>363</v>
      </c>
      <c r="X41" t="s">
        <v>36</v>
      </c>
      <c r="Y41" t="s">
        <v>36</v>
      </c>
      <c r="Z41" t="s">
        <v>36</v>
      </c>
    </row>
    <row r="42">
      <c r="A42" t="s">
        <v>348</v>
      </c>
      <c r="B42" t="s">
        <v>53</v>
      </c>
      <c r="C42" t="s">
        <v>32</v>
      </c>
      <c r="D42" t="s">
        <v>41</v>
      </c>
      <c r="E42">
        <v>22610</v>
      </c>
      <c r="F42">
        <v>36524</v>
      </c>
      <c r="G42">
        <v>38506</v>
      </c>
      <c r="H42">
        <v>15896</v>
      </c>
      <c r="I42">
        <v>55449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36</v>
      </c>
      <c r="T42" t="s">
        <v>367</v>
      </c>
      <c r="U42" t="s">
        <v>368</v>
      </c>
      <c r="V42" t="s">
        <v>36</v>
      </c>
      <c r="W42" t="s">
        <v>369</v>
      </c>
      <c r="X42" t="s">
        <v>370</v>
      </c>
      <c r="Y42" t="s">
        <v>371</v>
      </c>
      <c r="Z42" t="s">
        <v>36</v>
      </c>
    </row>
    <row r="43">
      <c r="A43" t="s">
        <v>348</v>
      </c>
      <c r="B43" t="s">
        <v>63</v>
      </c>
      <c r="C43" t="s">
        <v>28</v>
      </c>
      <c r="D43" t="s">
        <v>29</v>
      </c>
      <c r="E43">
        <v>6320</v>
      </c>
      <c r="F43">
        <v>36524</v>
      </c>
      <c r="G43">
        <v>22773</v>
      </c>
      <c r="H43">
        <v>16453</v>
      </c>
      <c r="I43">
        <v>32793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30</v>
      </c>
      <c r="M43" t="s">
        <v>31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36</v>
      </c>
      <c r="U43" t="s">
        <v>376</v>
      </c>
      <c r="V43" t="s">
        <v>36</v>
      </c>
      <c r="W43" t="s">
        <v>377</v>
      </c>
      <c r="X43" t="s">
        <v>36</v>
      </c>
      <c r="Y43" t="s">
        <v>378</v>
      </c>
      <c r="Z43" t="s">
        <v>36</v>
      </c>
    </row>
    <row r="44">
      <c r="A44" t="s">
        <v>379</v>
      </c>
      <c r="B44" t="s">
        <v>63</v>
      </c>
      <c r="C44" t="s">
        <v>28</v>
      </c>
      <c r="D44" t="s">
        <v>29</v>
      </c>
      <c r="E44">
        <v>13367</v>
      </c>
      <c r="F44">
        <v>82201</v>
      </c>
      <c r="G44">
        <v>40367</v>
      </c>
      <c r="H44">
        <v>27000</v>
      </c>
      <c r="I44">
        <v>58128</v>
      </c>
      <c r="J44" t="str">
        <f>HYPERLINK("https://www.kinguin.net/es/category/137554/cyberpunk-2077-steam-account","Abrir compra")</f>
        <v>Abrir compra</v>
      </c>
      <c r="K44" t="str">
        <f>HYPERLINK("https://store.steampowered.com/app/1091500/Cyberpunk_2077/","Abrir Steam")</f>
        <v>Abrir Steam</v>
      </c>
      <c r="L44" t="s">
        <v>42</v>
      </c>
      <c r="M44" t="s">
        <v>72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36</v>
      </c>
      <c r="U44" t="s">
        <v>384</v>
      </c>
      <c r="V44" t="s">
        <v>36</v>
      </c>
      <c r="W44" t="s">
        <v>385</v>
      </c>
      <c r="X44" t="s">
        <v>36</v>
      </c>
      <c r="Y44" t="s">
        <v>386</v>
      </c>
      <c r="Z44" t="s">
        <v>36</v>
      </c>
    </row>
    <row r="45">
      <c r="A45" t="s">
        <v>379</v>
      </c>
      <c r="B45" t="s">
        <v>387</v>
      </c>
      <c r="C45" t="s">
        <v>28</v>
      </c>
      <c r="D45" t="s">
        <v>29</v>
      </c>
      <c r="E45">
        <v>33322</v>
      </c>
      <c r="F45">
        <v>123293</v>
      </c>
      <c r="G45">
        <v>60322</v>
      </c>
      <c r="H45">
        <v>27000</v>
      </c>
      <c r="I45">
        <v>86864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30</v>
      </c>
      <c r="M45" t="s">
        <v>86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36</v>
      </c>
      <c r="T45" t="s">
        <v>36</v>
      </c>
      <c r="U45" t="s">
        <v>391</v>
      </c>
      <c r="V45" t="s">
        <v>36</v>
      </c>
      <c r="W45" t="s">
        <v>392</v>
      </c>
      <c r="X45" t="s">
        <v>36</v>
      </c>
      <c r="Y45" t="s">
        <v>393</v>
      </c>
      <c r="Z45" t="s">
        <v>36</v>
      </c>
    </row>
    <row r="46">
      <c r="A46" t="s">
        <v>394</v>
      </c>
      <c r="B46" t="s">
        <v>395</v>
      </c>
      <c r="C46" t="s">
        <v>32</v>
      </c>
      <c r="D46" t="s">
        <v>41</v>
      </c>
      <c r="E46">
        <v>109067</v>
      </c>
      <c r="F46">
        <v>127879</v>
      </c>
      <c r="G46">
        <v>124067</v>
      </c>
      <c r="H46">
        <v>15000</v>
      </c>
      <c r="I46">
        <v>178656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194</v>
      </c>
      <c r="M46" t="s">
        <v>86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36</v>
      </c>
      <c r="T46" t="s">
        <v>399</v>
      </c>
      <c r="U46" t="s">
        <v>400</v>
      </c>
      <c r="V46" t="s">
        <v>36</v>
      </c>
      <c r="W46" t="s">
        <v>36</v>
      </c>
      <c r="X46" t="s">
        <v>401</v>
      </c>
      <c r="Y46" t="s">
        <v>402</v>
      </c>
      <c r="Z46" t="s">
        <v>36</v>
      </c>
    </row>
    <row r="47">
      <c r="A47" t="s">
        <v>394</v>
      </c>
      <c r="B47" t="s">
        <v>403</v>
      </c>
      <c r="C47" t="s">
        <v>28</v>
      </c>
      <c r="D47" t="s">
        <v>29</v>
      </c>
      <c r="E47">
        <v>51366</v>
      </c>
      <c r="F47">
        <v>127879</v>
      </c>
      <c r="G47">
        <v>76419</v>
      </c>
      <c r="H47">
        <v>25053</v>
      </c>
      <c r="I47">
        <v>110043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42</v>
      </c>
      <c r="M47" t="s">
        <v>72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407</v>
      </c>
      <c r="T47" t="s">
        <v>36</v>
      </c>
      <c r="U47" t="s">
        <v>36</v>
      </c>
      <c r="V47" t="s">
        <v>36</v>
      </c>
      <c r="W47" t="s">
        <v>408</v>
      </c>
      <c r="X47" t="s">
        <v>36</v>
      </c>
      <c r="Y47" t="s">
        <v>36</v>
      </c>
      <c r="Z47" t="s">
        <v>36</v>
      </c>
    </row>
    <row r="48">
      <c r="A48" t="s">
        <v>394</v>
      </c>
      <c r="B48" t="s">
        <v>409</v>
      </c>
      <c r="C48" t="s">
        <v>32</v>
      </c>
      <c r="D48" t="s">
        <v>41</v>
      </c>
      <c r="E48">
        <v>38299</v>
      </c>
      <c r="F48">
        <v>109608</v>
      </c>
      <c r="G48">
        <v>65299</v>
      </c>
      <c r="H48">
        <v>27000</v>
      </c>
      <c r="I48">
        <v>94031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194</v>
      </c>
      <c r="M48" t="s">
        <v>31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36</v>
      </c>
      <c r="T48" t="s">
        <v>413</v>
      </c>
      <c r="U48" t="s">
        <v>414</v>
      </c>
      <c r="V48" t="s">
        <v>415</v>
      </c>
      <c r="W48" t="s">
        <v>416</v>
      </c>
      <c r="X48" t="s">
        <v>417</v>
      </c>
      <c r="Y48" t="s">
        <v>418</v>
      </c>
      <c r="Z48" t="s">
        <v>419</v>
      </c>
    </row>
    <row r="49">
      <c r="A49" t="s">
        <v>394</v>
      </c>
      <c r="B49" t="s">
        <v>27</v>
      </c>
      <c r="C49" t="s">
        <v>28</v>
      </c>
      <c r="D49" t="s">
        <v>29</v>
      </c>
      <c r="E49">
        <v>27887</v>
      </c>
      <c r="F49">
        <v>109608</v>
      </c>
      <c r="G49">
        <v>54887</v>
      </c>
      <c r="H49">
        <v>27000</v>
      </c>
      <c r="I49">
        <v>79037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42</v>
      </c>
      <c r="M49" t="s">
        <v>72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423</v>
      </c>
      <c r="T49" t="s">
        <v>36</v>
      </c>
      <c r="U49" t="s">
        <v>36</v>
      </c>
      <c r="V49" t="s">
        <v>36</v>
      </c>
      <c r="W49" t="s">
        <v>424</v>
      </c>
      <c r="X49" t="s">
        <v>36</v>
      </c>
      <c r="Y49" t="s">
        <v>36</v>
      </c>
      <c r="Z49" t="s">
        <v>36</v>
      </c>
    </row>
    <row r="50">
      <c r="A50" t="s">
        <v>394</v>
      </c>
      <c r="B50" t="s">
        <v>53</v>
      </c>
      <c r="C50" t="s">
        <v>32</v>
      </c>
      <c r="D50" t="s">
        <v>41</v>
      </c>
      <c r="E50">
        <v>24111</v>
      </c>
      <c r="F50">
        <v>91337</v>
      </c>
      <c r="G50">
        <v>56545</v>
      </c>
      <c r="H50">
        <v>32434</v>
      </c>
      <c r="I50">
        <v>81425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194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429</v>
      </c>
      <c r="U50" t="s">
        <v>430</v>
      </c>
      <c r="V50" t="s">
        <v>36</v>
      </c>
      <c r="W50" t="s">
        <v>431</v>
      </c>
      <c r="X50" t="s">
        <v>432</v>
      </c>
      <c r="Y50" t="s">
        <v>433</v>
      </c>
      <c r="Z50" t="s">
        <v>36</v>
      </c>
    </row>
    <row r="51">
      <c r="A51" t="s">
        <v>394</v>
      </c>
      <c r="B51" t="s">
        <v>63</v>
      </c>
      <c r="C51" t="s">
        <v>28</v>
      </c>
      <c r="D51" t="s">
        <v>29</v>
      </c>
      <c r="E51">
        <v>19197</v>
      </c>
      <c r="F51">
        <v>91337</v>
      </c>
      <c r="G51">
        <v>46197</v>
      </c>
      <c r="H51">
        <v>27000</v>
      </c>
      <c r="I51">
        <v>66524</v>
      </c>
      <c r="J51" t="str">
        <f>HYPERLINK("https://driffle.com/es/dayz-global-pc-steam-account-p9941452","Abrir compra")</f>
        <v>Abrir compra</v>
      </c>
      <c r="K51" t="str">
        <f>HYPERLINK("https://store.steampowered.com/app/221100/DayZ/","Abrir Steam")</f>
        <v>Abrir Steam</v>
      </c>
      <c r="L51" t="s">
        <v>30</v>
      </c>
      <c r="M51" t="s">
        <v>86</v>
      </c>
      <c r="N51" t="s">
        <v>32</v>
      </c>
      <c r="O51" t="s">
        <v>434</v>
      </c>
      <c r="P51" t="s">
        <v>435</v>
      </c>
      <c r="Q51" t="s">
        <v>32</v>
      </c>
      <c r="R51" t="s">
        <v>436</v>
      </c>
      <c r="S51" t="s">
        <v>437</v>
      </c>
      <c r="T51" t="s">
        <v>36</v>
      </c>
      <c r="U51" t="s">
        <v>438</v>
      </c>
      <c r="V51" t="s">
        <v>36</v>
      </c>
      <c r="W51" t="s">
        <v>439</v>
      </c>
      <c r="X51" t="s">
        <v>36</v>
      </c>
      <c r="Y51" t="s">
        <v>440</v>
      </c>
      <c r="Z51" t="s">
        <v>36</v>
      </c>
    </row>
    <row r="52">
      <c r="A52" t="s">
        <v>441</v>
      </c>
      <c r="B52" t="s">
        <v>53</v>
      </c>
      <c r="C52" t="s">
        <v>32</v>
      </c>
      <c r="D52" t="s">
        <v>41</v>
      </c>
      <c r="E52">
        <v>26354</v>
      </c>
      <c r="F52">
        <v>27388</v>
      </c>
      <c r="G52">
        <v>41354</v>
      </c>
      <c r="H52">
        <v>15000</v>
      </c>
      <c r="I52">
        <v>59550</v>
      </c>
      <c r="J52" t="str">
        <f>HYPERLINK("https://www.kinguin.net/es/category/322745/dead-by-daylight-latam-pc-steam-cd-key","Abrir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42</v>
      </c>
      <c r="M52" t="s">
        <v>31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445</v>
      </c>
      <c r="T52" t="s">
        <v>36</v>
      </c>
      <c r="U52" t="s">
        <v>36</v>
      </c>
      <c r="V52" t="s">
        <v>36</v>
      </c>
      <c r="W52" t="s">
        <v>446</v>
      </c>
      <c r="X52" t="s">
        <v>447</v>
      </c>
      <c r="Y52" t="s">
        <v>36</v>
      </c>
      <c r="Z52" t="s">
        <v>36</v>
      </c>
    </row>
    <row r="53">
      <c r="A53" t="s">
        <v>441</v>
      </c>
      <c r="B53" t="s">
        <v>63</v>
      </c>
      <c r="C53" t="s">
        <v>28</v>
      </c>
      <c r="D53" t="s">
        <v>29</v>
      </c>
      <c r="E53">
        <v>5593</v>
      </c>
      <c r="F53">
        <v>27388</v>
      </c>
      <c r="G53">
        <v>20593</v>
      </c>
      <c r="H53">
        <v>15000</v>
      </c>
      <c r="I53">
        <v>29654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42</v>
      </c>
      <c r="M53" t="s">
        <v>72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36</v>
      </c>
      <c r="U53" t="s">
        <v>452</v>
      </c>
      <c r="V53" t="s">
        <v>36</v>
      </c>
      <c r="W53" t="s">
        <v>453</v>
      </c>
      <c r="X53" t="s">
        <v>36</v>
      </c>
      <c r="Y53" t="s">
        <v>454</v>
      </c>
      <c r="Z53" t="s">
        <v>36</v>
      </c>
    </row>
    <row r="54">
      <c r="A54" t="s">
        <v>441</v>
      </c>
      <c r="B54" t="s">
        <v>455</v>
      </c>
      <c r="C54" t="s">
        <v>28</v>
      </c>
      <c r="D54" t="s">
        <v>29</v>
      </c>
      <c r="E54">
        <v>71305</v>
      </c>
      <c r="F54">
        <v>95904</v>
      </c>
      <c r="G54">
        <v>86305</v>
      </c>
      <c r="H54">
        <v>15000</v>
      </c>
      <c r="I54">
        <v>124279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42</v>
      </c>
      <c r="M54" t="s">
        <v>86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36</v>
      </c>
      <c r="U54" t="s">
        <v>36</v>
      </c>
      <c r="V54" t="s">
        <v>36</v>
      </c>
      <c r="W54" t="s">
        <v>460</v>
      </c>
      <c r="X54" t="s">
        <v>36</v>
      </c>
      <c r="Y54" t="s">
        <v>36</v>
      </c>
      <c r="Z54" t="s">
        <v>36</v>
      </c>
    </row>
    <row r="55">
      <c r="A55" t="s">
        <v>461</v>
      </c>
      <c r="B55" t="s">
        <v>53</v>
      </c>
      <c r="C55" t="s">
        <v>32</v>
      </c>
      <c r="D55" t="s">
        <v>41</v>
      </c>
      <c r="E55">
        <v>88180</v>
      </c>
      <c r="F55">
        <v>127879</v>
      </c>
      <c r="G55">
        <v>103397</v>
      </c>
      <c r="H55">
        <v>15217</v>
      </c>
      <c r="I55">
        <v>148892</v>
      </c>
      <c r="J55" t="str">
        <f>HYPERLINK("https://www.eneba.com/latam/steam-death-stranding-2-on-the-beach-steam-key-pc-global","Abrir compra")</f>
        <v>Abrir compra</v>
      </c>
      <c r="K55" t="str">
        <f>HYPERLINK("https://store.steampowered.com/app/3280350/DEATH_STRANDING_2_ON_THE_BEACH/","Abrir Steam")</f>
        <v>Abrir Steam</v>
      </c>
      <c r="L55" t="s">
        <v>194</v>
      </c>
      <c r="M55" t="s">
        <v>31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465</v>
      </c>
      <c r="T55" t="s">
        <v>466</v>
      </c>
      <c r="U55" t="s">
        <v>467</v>
      </c>
      <c r="V55" t="s">
        <v>36</v>
      </c>
      <c r="W55" t="s">
        <v>468</v>
      </c>
      <c r="X55" t="s">
        <v>469</v>
      </c>
      <c r="Y55" t="s">
        <v>470</v>
      </c>
      <c r="Z55" t="s">
        <v>36</v>
      </c>
    </row>
    <row r="56">
      <c r="A56" t="s">
        <v>461</v>
      </c>
      <c r="B56" t="s">
        <v>63</v>
      </c>
      <c r="C56" t="s">
        <v>28</v>
      </c>
      <c r="D56" t="s">
        <v>29</v>
      </c>
      <c r="E56">
        <v>47748</v>
      </c>
      <c r="F56">
        <v>127879</v>
      </c>
      <c r="G56">
        <v>74748</v>
      </c>
      <c r="H56">
        <v>27000</v>
      </c>
      <c r="I56">
        <v>107637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30</v>
      </c>
      <c r="M56" t="s">
        <v>31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36</v>
      </c>
      <c r="T56" t="s">
        <v>36</v>
      </c>
      <c r="U56" t="s">
        <v>474</v>
      </c>
      <c r="V56" t="s">
        <v>36</v>
      </c>
      <c r="W56" t="s">
        <v>36</v>
      </c>
      <c r="X56" t="s">
        <v>36</v>
      </c>
      <c r="Y56" t="s">
        <v>475</v>
      </c>
      <c r="Z56" t="s">
        <v>36</v>
      </c>
    </row>
    <row r="57">
      <c r="A57" t="s">
        <v>476</v>
      </c>
      <c r="B57" t="s">
        <v>53</v>
      </c>
      <c r="C57" t="s">
        <v>32</v>
      </c>
      <c r="D57" t="s">
        <v>41</v>
      </c>
      <c r="E57">
        <v>8090</v>
      </c>
      <c r="F57">
        <v>58449</v>
      </c>
      <c r="G57">
        <v>38533</v>
      </c>
      <c r="H57">
        <v>30443</v>
      </c>
      <c r="I57">
        <v>55488</v>
      </c>
      <c r="J57" t="str">
        <f>HYPERLINK("https://www.eneba.com/latam/steam-detroit-become-human-steam-key-latam","Abrir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194</v>
      </c>
      <c r="M57" t="s">
        <v>31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36</v>
      </c>
      <c r="T57" t="s">
        <v>480</v>
      </c>
      <c r="U57" t="s">
        <v>481</v>
      </c>
      <c r="V57" t="s">
        <v>482</v>
      </c>
      <c r="W57" t="s">
        <v>483</v>
      </c>
      <c r="X57" t="s">
        <v>484</v>
      </c>
      <c r="Y57" t="s">
        <v>485</v>
      </c>
      <c r="Z57" t="s">
        <v>486</v>
      </c>
    </row>
    <row r="58">
      <c r="A58" t="s">
        <v>476</v>
      </c>
      <c r="B58" t="s">
        <v>63</v>
      </c>
      <c r="C58" t="s">
        <v>28</v>
      </c>
      <c r="D58" t="s">
        <v>29</v>
      </c>
      <c r="E58">
        <v>4345</v>
      </c>
      <c r="F58">
        <v>58449</v>
      </c>
      <c r="G58">
        <v>30533</v>
      </c>
      <c r="H58">
        <v>26188</v>
      </c>
      <c r="I58">
        <v>43968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30</v>
      </c>
      <c r="M58" t="s">
        <v>31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490</v>
      </c>
      <c r="T58" t="s">
        <v>36</v>
      </c>
      <c r="U58" t="s">
        <v>491</v>
      </c>
      <c r="V58" t="s">
        <v>36</v>
      </c>
      <c r="W58" t="s">
        <v>492</v>
      </c>
      <c r="X58" t="s">
        <v>36</v>
      </c>
      <c r="Y58" t="s">
        <v>493</v>
      </c>
      <c r="Z58" t="s">
        <v>36</v>
      </c>
    </row>
    <row r="59">
      <c r="A59" t="s">
        <v>494</v>
      </c>
      <c r="B59" t="s">
        <v>495</v>
      </c>
      <c r="C59" t="s">
        <v>28</v>
      </c>
      <c r="D59" t="s">
        <v>29</v>
      </c>
      <c r="E59">
        <v>85984</v>
      </c>
      <c r="F59">
        <v>127879</v>
      </c>
      <c r="G59">
        <v>100984</v>
      </c>
      <c r="H59">
        <v>15000</v>
      </c>
      <c r="I59">
        <v>145417</v>
      </c>
      <c r="J59" t="str">
        <f>HYPERLINK("https://driffle.com/es/diablo-iv-age-of-hatred-collection-global-pc-steam-account-p9977572","Abrir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36</v>
      </c>
      <c r="U59" t="s">
        <v>500</v>
      </c>
      <c r="V59" t="s">
        <v>36</v>
      </c>
      <c r="W59" t="s">
        <v>501</v>
      </c>
      <c r="X59" t="s">
        <v>36</v>
      </c>
      <c r="Y59" t="s">
        <v>502</v>
      </c>
      <c r="Z59" t="s">
        <v>36</v>
      </c>
    </row>
    <row r="60">
      <c r="A60" t="s">
        <v>494</v>
      </c>
      <c r="B60" t="s">
        <v>63</v>
      </c>
      <c r="C60" t="s">
        <v>28</v>
      </c>
      <c r="D60" t="s">
        <v>29</v>
      </c>
      <c r="E60">
        <v>37462</v>
      </c>
      <c r="F60">
        <v>91337</v>
      </c>
      <c r="G60">
        <v>56606</v>
      </c>
      <c r="H60">
        <v>19144</v>
      </c>
      <c r="I60">
        <v>81513</v>
      </c>
      <c r="J60" t="str">
        <f>HYPERLINK("https://driffle.com/es/diablo-iv-global-pc-steam-account-p9979483","Abrir compra")</f>
        <v>Abrir compra</v>
      </c>
      <c r="K60" t="str">
        <f>HYPERLINK("https://store.steampowered.com/app/2344520/Diablo_IV/","Abrir Steam")</f>
        <v>Abrir Steam</v>
      </c>
      <c r="L60" t="s">
        <v>30</v>
      </c>
      <c r="M60" t="s">
        <v>31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506</v>
      </c>
      <c r="T60" t="s">
        <v>36</v>
      </c>
      <c r="U60" t="s">
        <v>507</v>
      </c>
      <c r="V60" t="s">
        <v>36</v>
      </c>
      <c r="W60" t="s">
        <v>508</v>
      </c>
      <c r="X60" t="s">
        <v>36</v>
      </c>
      <c r="Y60" t="s">
        <v>509</v>
      </c>
      <c r="Z60" t="s">
        <v>36</v>
      </c>
    </row>
    <row r="61">
      <c r="A61" t="s">
        <v>510</v>
      </c>
      <c r="B61" t="s">
        <v>63</v>
      </c>
      <c r="C61" t="s">
        <v>28</v>
      </c>
      <c r="D61" t="s">
        <v>29</v>
      </c>
      <c r="E61">
        <v>11076</v>
      </c>
      <c r="F61">
        <v>27388</v>
      </c>
      <c r="G61">
        <v>26076</v>
      </c>
      <c r="H61">
        <v>15000</v>
      </c>
      <c r="I61">
        <v>37549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30</v>
      </c>
      <c r="M61" t="s">
        <v>86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514</v>
      </c>
      <c r="T61" t="s">
        <v>36</v>
      </c>
      <c r="U61" t="s">
        <v>515</v>
      </c>
      <c r="V61" t="s">
        <v>36</v>
      </c>
      <c r="W61" t="s">
        <v>516</v>
      </c>
      <c r="X61" t="s">
        <v>36</v>
      </c>
      <c r="Y61" t="s">
        <v>517</v>
      </c>
      <c r="Z61" t="s">
        <v>36</v>
      </c>
    </row>
    <row r="62">
      <c r="A62" t="s">
        <v>518</v>
      </c>
      <c r="B62" t="s">
        <v>409</v>
      </c>
      <c r="C62" t="s">
        <v>32</v>
      </c>
      <c r="D62" t="s">
        <v>41</v>
      </c>
      <c r="E62">
        <v>76551</v>
      </c>
      <c r="F62">
        <v>73066</v>
      </c>
      <c r="G62">
        <v>91551</v>
      </c>
      <c r="H62">
        <v>15000</v>
      </c>
      <c r="I62">
        <v>131833</v>
      </c>
      <c r="J62" t="str">
        <f>HYPERLINK("https://www.eneba.com/latam/steam-dragon-ball-sparking-zero-deluxe-edition-pc-steam-key-latam","Abrir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194</v>
      </c>
      <c r="M62" t="s">
        <v>31</v>
      </c>
      <c r="N62" t="s">
        <v>32</v>
      </c>
      <c r="O62" t="s">
        <v>519</v>
      </c>
      <c r="P62" t="s">
        <v>520</v>
      </c>
      <c r="Q62" t="s">
        <v>32</v>
      </c>
      <c r="R62" t="s">
        <v>521</v>
      </c>
      <c r="S62" t="s">
        <v>36</v>
      </c>
      <c r="T62" t="s">
        <v>522</v>
      </c>
      <c r="U62" t="s">
        <v>36</v>
      </c>
      <c r="V62" t="s">
        <v>36</v>
      </c>
      <c r="W62" t="s">
        <v>523</v>
      </c>
      <c r="X62" t="s">
        <v>524</v>
      </c>
      <c r="Y62" t="s">
        <v>36</v>
      </c>
      <c r="Z62" t="s">
        <v>36</v>
      </c>
    </row>
    <row r="63">
      <c r="A63" t="s">
        <v>518</v>
      </c>
      <c r="B63" t="s">
        <v>53</v>
      </c>
      <c r="C63" t="s">
        <v>32</v>
      </c>
      <c r="D63" t="s">
        <v>41</v>
      </c>
      <c r="E63">
        <v>51334</v>
      </c>
      <c r="F63">
        <v>73066</v>
      </c>
      <c r="G63">
        <v>75148</v>
      </c>
      <c r="H63">
        <v>23814</v>
      </c>
      <c r="I63">
        <v>108213</v>
      </c>
      <c r="J63" t="str">
        <f>HYPERLINK("https://www.eneba.com/latam/steam-dragon-ball-sparking-zero-pc-steam-key-latam","Abrir compra")</f>
        <v>Abrir compra</v>
      </c>
      <c r="K63" t="str">
        <f>HYPERLINK("https://store.steampowered.com/app/1790600/DRAGON_BALL_Sparking_ZERO/","Abrir Steam")</f>
        <v>Abrir Steam</v>
      </c>
      <c r="L63" t="s">
        <v>194</v>
      </c>
      <c r="M63" t="s">
        <v>31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528</v>
      </c>
      <c r="T63" t="s">
        <v>529</v>
      </c>
      <c r="U63" t="s">
        <v>36</v>
      </c>
      <c r="V63" t="s">
        <v>36</v>
      </c>
      <c r="W63" t="s">
        <v>530</v>
      </c>
      <c r="X63" t="s">
        <v>531</v>
      </c>
      <c r="Y63" t="s">
        <v>36</v>
      </c>
      <c r="Z63" t="s">
        <v>36</v>
      </c>
    </row>
    <row r="64">
      <c r="A64" t="s">
        <v>518</v>
      </c>
      <c r="B64" t="s">
        <v>63</v>
      </c>
      <c r="C64" t="s">
        <v>28</v>
      </c>
      <c r="D64" t="s">
        <v>29</v>
      </c>
      <c r="E64">
        <v>48000</v>
      </c>
      <c r="F64">
        <v>73066</v>
      </c>
      <c r="G64">
        <v>63000</v>
      </c>
      <c r="H64">
        <v>15000</v>
      </c>
      <c r="I64">
        <v>90720</v>
      </c>
      <c r="J64" t="str">
        <f>HYPERLINK("https://driffle.com/es/dragon-ball-sparking-zero-global-pc-steam-account-p9971483","Abrir compra")</f>
        <v>Abrir compra</v>
      </c>
      <c r="K64" t="str">
        <f>HYPERLINK("https://store.steampowered.com/app/1790600/DRAGON_BALL_Sparking_ZERO/","Abrir Steam")</f>
        <v>Abrir Steam</v>
      </c>
      <c r="L64" t="s">
        <v>30</v>
      </c>
      <c r="M64" t="s">
        <v>31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535</v>
      </c>
      <c r="T64" t="s">
        <v>36</v>
      </c>
      <c r="U64" t="s">
        <v>536</v>
      </c>
      <c r="V64" t="s">
        <v>36</v>
      </c>
      <c r="W64" t="s">
        <v>537</v>
      </c>
      <c r="X64" t="s">
        <v>36</v>
      </c>
      <c r="Y64" t="s">
        <v>538</v>
      </c>
      <c r="Z64" t="s">
        <v>36</v>
      </c>
    </row>
    <row r="65">
      <c r="A65" t="s">
        <v>518</v>
      </c>
      <c r="B65" t="s">
        <v>539</v>
      </c>
      <c r="C65" t="s">
        <v>32</v>
      </c>
      <c r="D65" t="s">
        <v>41</v>
      </c>
      <c r="E65">
        <v>83661</v>
      </c>
      <c r="F65">
        <v>73066</v>
      </c>
      <c r="G65">
        <v>98661</v>
      </c>
      <c r="H65">
        <v>15000</v>
      </c>
      <c r="I65">
        <v>142072</v>
      </c>
      <c r="J65" t="str">
        <f>HYPERLINK("https://www.eneba.com/latam/steam-dragon-ball-sparking-zero-ultimate-edition-pc-steam-key-latam","Abrir compra")</f>
        <v>Abrir compra</v>
      </c>
      <c r="K65" t="str">
        <f>HYPERLINK("https://store.steampowered.com/app/1790600/DRAGON_BALL_Sparking_ZERO/","Abrir Steam")</f>
        <v>Abrir Steam</v>
      </c>
      <c r="L65" t="s">
        <v>194</v>
      </c>
      <c r="M65" t="s">
        <v>31</v>
      </c>
      <c r="N65" t="s">
        <v>32</v>
      </c>
      <c r="O65" t="s">
        <v>540</v>
      </c>
      <c r="P65" t="s">
        <v>541</v>
      </c>
      <c r="Q65" t="s">
        <v>32</v>
      </c>
      <c r="R65" t="s">
        <v>542</v>
      </c>
      <c r="S65" t="s">
        <v>36</v>
      </c>
      <c r="T65" t="s">
        <v>543</v>
      </c>
      <c r="U65" t="s">
        <v>36</v>
      </c>
      <c r="V65" t="s">
        <v>36</v>
      </c>
      <c r="W65" t="s">
        <v>544</v>
      </c>
      <c r="X65" t="s">
        <v>545</v>
      </c>
      <c r="Y65" t="s">
        <v>36</v>
      </c>
      <c r="Z65" t="s">
        <v>36</v>
      </c>
    </row>
    <row r="66">
      <c r="A66" t="s">
        <v>546</v>
      </c>
      <c r="B66" t="s">
        <v>409</v>
      </c>
      <c r="C66" t="s">
        <v>32</v>
      </c>
      <c r="D66" t="s">
        <v>41</v>
      </c>
      <c r="E66">
        <v>83582</v>
      </c>
      <c r="F66">
        <v>94991</v>
      </c>
      <c r="G66">
        <v>98690</v>
      </c>
      <c r="H66">
        <v>15108</v>
      </c>
      <c r="I66">
        <v>142114</v>
      </c>
      <c r="J66" t="str">
        <f>HYPERLINK("https://driffle.com/es/dying-light-the-beast-deluxe-edition-global-pc-steam-digital-key-p9958591","Abrir compra")</f>
        <v>Abrir compra</v>
      </c>
      <c r="K66" t="str">
        <f>HYPERLINK("https://store.steampowered.com/app/3008130/Dying_Light_The_Beast/","Abrir Steam")</f>
        <v>Abrir Steam</v>
      </c>
      <c r="L66" t="s">
        <v>30</v>
      </c>
      <c r="M66" t="s">
        <v>31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36</v>
      </c>
      <c r="T66" t="s">
        <v>550</v>
      </c>
      <c r="U66" t="s">
        <v>551</v>
      </c>
      <c r="V66" t="s">
        <v>36</v>
      </c>
      <c r="W66" t="s">
        <v>552</v>
      </c>
      <c r="X66" t="s">
        <v>553</v>
      </c>
      <c r="Y66" t="s">
        <v>554</v>
      </c>
      <c r="Z66" t="s">
        <v>555</v>
      </c>
    </row>
    <row r="67">
      <c r="A67" t="s">
        <v>546</v>
      </c>
      <c r="B67" t="s">
        <v>27</v>
      </c>
      <c r="C67" t="s">
        <v>28</v>
      </c>
      <c r="D67" t="s">
        <v>29</v>
      </c>
      <c r="E67">
        <v>54984</v>
      </c>
      <c r="F67">
        <v>94991</v>
      </c>
      <c r="G67">
        <v>69984</v>
      </c>
      <c r="H67">
        <v>15000</v>
      </c>
      <c r="I67">
        <v>100777</v>
      </c>
      <c r="J67" t="str">
        <f>HYPERLINK("https://driffle.com/es/dying-light-the-beast-deluxe-edition-global-pc-steam-account-p9962273","Abrir compra")</f>
        <v>Abrir compra</v>
      </c>
      <c r="K67" t="str">
        <f>HYPERLINK("https://store.steampowered.com/app/3008130/Dying_Light_The_Beast/","Abrir Steam")</f>
        <v>Abrir Steam</v>
      </c>
      <c r="L67" t="s">
        <v>30</v>
      </c>
      <c r="M67" t="s">
        <v>31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559</v>
      </c>
      <c r="T67" t="s">
        <v>36</v>
      </c>
      <c r="U67" t="s">
        <v>560</v>
      </c>
      <c r="V67" t="s">
        <v>36</v>
      </c>
      <c r="W67" t="s">
        <v>561</v>
      </c>
      <c r="X67" t="s">
        <v>36</v>
      </c>
      <c r="Y67" t="s">
        <v>562</v>
      </c>
      <c r="Z67" t="s">
        <v>36</v>
      </c>
    </row>
    <row r="68">
      <c r="A68" t="s">
        <v>546</v>
      </c>
      <c r="B68" t="s">
        <v>53</v>
      </c>
      <c r="C68" t="s">
        <v>32</v>
      </c>
      <c r="D68" t="s">
        <v>41</v>
      </c>
      <c r="E68">
        <v>61968</v>
      </c>
      <c r="F68">
        <v>82201</v>
      </c>
      <c r="G68">
        <v>79133</v>
      </c>
      <c r="H68">
        <v>17165</v>
      </c>
      <c r="I68">
        <v>113952</v>
      </c>
      <c r="J68" t="str">
        <f>HYPERLINK("https://www.eneba.com/latam/steam-dying-light-the-beast-steam-pc-key-global","Abrir compra")</f>
        <v>Abrir compra</v>
      </c>
      <c r="K68" t="str">
        <f>HYPERLINK("https://store.steampowered.com/app/3008130/Dying_Light_The_Beast/","Abrir Steam")</f>
        <v>Abrir Steam</v>
      </c>
      <c r="L68" t="s">
        <v>194</v>
      </c>
      <c r="M68" t="s">
        <v>86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566</v>
      </c>
      <c r="T68" t="s">
        <v>567</v>
      </c>
      <c r="U68" t="s">
        <v>568</v>
      </c>
      <c r="V68" t="s">
        <v>569</v>
      </c>
      <c r="W68" t="s">
        <v>570</v>
      </c>
      <c r="X68" t="s">
        <v>571</v>
      </c>
      <c r="Y68" t="s">
        <v>572</v>
      </c>
      <c r="Z68" t="s">
        <v>573</v>
      </c>
    </row>
    <row r="69">
      <c r="A69" t="s">
        <v>546</v>
      </c>
      <c r="B69" t="s">
        <v>63</v>
      </c>
      <c r="C69" t="s">
        <v>28</v>
      </c>
      <c r="D69" t="s">
        <v>29</v>
      </c>
      <c r="E69">
        <v>34081</v>
      </c>
      <c r="F69">
        <v>82201</v>
      </c>
      <c r="G69">
        <v>51691</v>
      </c>
      <c r="H69">
        <v>17610</v>
      </c>
      <c r="I69">
        <v>74435</v>
      </c>
      <c r="J69" t="str">
        <f>HYPERLINK("https://driffle.com/es/dying-light-the-beast-global-pc-steam-account-p9961930","Abrir compra")</f>
        <v>Abrir compra</v>
      </c>
      <c r="K69" t="str">
        <f>HYPERLINK("https://store.steampowered.com/app/3008130/Dying_Light_The_Beast/","Abrir Steam")</f>
        <v>Abrir Steam</v>
      </c>
      <c r="L69" t="s">
        <v>30</v>
      </c>
      <c r="M69" t="s">
        <v>31</v>
      </c>
      <c r="N69" t="s">
        <v>32</v>
      </c>
      <c r="O69" t="s">
        <v>574</v>
      </c>
      <c r="P69" t="s">
        <v>575</v>
      </c>
      <c r="Q69" t="s">
        <v>32</v>
      </c>
      <c r="R69" t="s">
        <v>576</v>
      </c>
      <c r="S69" t="s">
        <v>577</v>
      </c>
      <c r="T69" t="s">
        <v>36</v>
      </c>
      <c r="U69" t="s">
        <v>578</v>
      </c>
      <c r="V69" t="s">
        <v>36</v>
      </c>
      <c r="W69" t="s">
        <v>579</v>
      </c>
      <c r="X69" t="s">
        <v>36</v>
      </c>
      <c r="Y69" t="s">
        <v>580</v>
      </c>
      <c r="Z69" t="s">
        <v>36</v>
      </c>
    </row>
    <row r="70">
      <c r="A70" t="s">
        <v>581</v>
      </c>
      <c r="B70" t="s">
        <v>53</v>
      </c>
      <c r="C70" t="s">
        <v>32</v>
      </c>
      <c r="D70" t="s">
        <v>41</v>
      </c>
      <c r="E70">
        <v>60340</v>
      </c>
      <c r="F70">
        <v>106502</v>
      </c>
      <c r="G70">
        <v>79877</v>
      </c>
      <c r="H70">
        <v>19537</v>
      </c>
      <c r="I70">
        <v>115023</v>
      </c>
      <c r="J70" t="str">
        <f>HYPERLINK("https://driffle.com/es/dynasty-warriors-origins-global-pc-steam-digital-key-p9926207","Abrir compra")</f>
        <v>Abrir compra</v>
      </c>
      <c r="K70" t="str">
        <f>HYPERLINK("https://store.steampowered.com/app/2384580/DYNASTY_WARRIORS_ORIGINS/","Abrir Steam")</f>
        <v>Abrir Steam</v>
      </c>
      <c r="L70" t="s">
        <v>30</v>
      </c>
      <c r="M70" t="s">
        <v>86</v>
      </c>
      <c r="N70" t="s">
        <v>32</v>
      </c>
      <c r="O70" t="s">
        <v>582</v>
      </c>
      <c r="P70" t="s">
        <v>583</v>
      </c>
      <c r="Q70" t="s">
        <v>32</v>
      </c>
      <c r="R70" t="s">
        <v>584</v>
      </c>
      <c r="S70" t="s">
        <v>36</v>
      </c>
      <c r="T70" t="s">
        <v>585</v>
      </c>
      <c r="U70" t="s">
        <v>586</v>
      </c>
      <c r="V70" t="s">
        <v>587</v>
      </c>
      <c r="W70" t="s">
        <v>588</v>
      </c>
      <c r="X70" t="s">
        <v>589</v>
      </c>
      <c r="Y70" t="s">
        <v>590</v>
      </c>
      <c r="Z70" t="s">
        <v>591</v>
      </c>
    </row>
    <row r="71">
      <c r="A71" t="s">
        <v>581</v>
      </c>
      <c r="B71" t="s">
        <v>63</v>
      </c>
      <c r="C71" t="s">
        <v>28</v>
      </c>
      <c r="D71" t="s">
        <v>29</v>
      </c>
      <c r="E71">
        <v>61889</v>
      </c>
      <c r="F71">
        <v>106502</v>
      </c>
      <c r="G71">
        <v>76889</v>
      </c>
      <c r="H71">
        <v>15000</v>
      </c>
      <c r="I71">
        <v>110720</v>
      </c>
      <c r="J71" t="str">
        <f>HYPERLINK("https://www.kinguin.net/es/category/308192/dynasty-warriors-origins-pc-steam-account","Abrir compra")</f>
        <v>Abrir compra</v>
      </c>
      <c r="K71" t="str">
        <f>HYPERLINK("https://store.steampowered.com/app/2384580/DYNASTY_WARRIORS_ORIGINS/","Abrir Steam")</f>
        <v>Abrir Steam</v>
      </c>
      <c r="L71" t="s">
        <v>42</v>
      </c>
      <c r="M71" t="s">
        <v>72</v>
      </c>
      <c r="N71" t="s">
        <v>32</v>
      </c>
      <c r="O71" t="s">
        <v>592</v>
      </c>
      <c r="P71" t="s">
        <v>593</v>
      </c>
      <c r="Q71" t="s">
        <v>32</v>
      </c>
      <c r="R71" t="s">
        <v>594</v>
      </c>
      <c r="S71" t="s">
        <v>595</v>
      </c>
      <c r="T71" t="s">
        <v>36</v>
      </c>
      <c r="U71" t="s">
        <v>36</v>
      </c>
      <c r="V71" t="s">
        <v>36</v>
      </c>
      <c r="W71" t="s">
        <v>596</v>
      </c>
      <c r="X71" t="s">
        <v>36</v>
      </c>
      <c r="Y71" t="s">
        <v>36</v>
      </c>
      <c r="Z71" t="s">
        <v>36</v>
      </c>
    </row>
    <row r="72">
      <c r="A72" t="s">
        <v>597</v>
      </c>
      <c r="B72" t="s">
        <v>63</v>
      </c>
      <c r="C72" t="s">
        <v>28</v>
      </c>
      <c r="D72" t="s">
        <v>29</v>
      </c>
      <c r="E72">
        <v>5498</v>
      </c>
      <c r="F72">
        <v>127879</v>
      </c>
      <c r="G72">
        <v>32498</v>
      </c>
      <c r="H72">
        <v>27000</v>
      </c>
      <c r="I72">
        <v>46797</v>
      </c>
      <c r="J72" t="str">
        <f>HYPERLINK("https://www.kinguin.net/es/category/365634/ea-sports-fc-26-pc-steam-account","Abrir compra")</f>
        <v>Abrir compra</v>
      </c>
      <c r="K72" t="str">
        <f>HYPERLINK("https://store.steampowered.com/app/3405690/EA_SPORTS_FC_26/","Abrir Steam")</f>
        <v>Abrir Steam</v>
      </c>
      <c r="L72" t="s">
        <v>42</v>
      </c>
      <c r="M72" t="s">
        <v>72</v>
      </c>
      <c r="N72" t="s">
        <v>32</v>
      </c>
      <c r="O72" t="s">
        <v>598</v>
      </c>
      <c r="P72" t="s">
        <v>599</v>
      </c>
      <c r="Q72" t="s">
        <v>32</v>
      </c>
      <c r="R72" t="s">
        <v>600</v>
      </c>
      <c r="S72" t="s">
        <v>601</v>
      </c>
      <c r="T72" t="s">
        <v>36</v>
      </c>
      <c r="U72" t="s">
        <v>602</v>
      </c>
      <c r="V72" t="s">
        <v>36</v>
      </c>
      <c r="W72" t="s">
        <v>603</v>
      </c>
      <c r="X72" t="s">
        <v>36</v>
      </c>
      <c r="Y72" t="s">
        <v>604</v>
      </c>
      <c r="Z72" t="s">
        <v>36</v>
      </c>
    </row>
    <row r="73">
      <c r="A73" t="s">
        <v>597</v>
      </c>
      <c r="B73" t="s">
        <v>605</v>
      </c>
      <c r="C73" t="s">
        <v>28</v>
      </c>
      <c r="D73" t="s">
        <v>29</v>
      </c>
      <c r="E73">
        <v>14315</v>
      </c>
      <c r="F73">
        <v>164421</v>
      </c>
      <c r="G73">
        <v>41315</v>
      </c>
      <c r="H73">
        <v>27000</v>
      </c>
      <c r="I73">
        <v>59494</v>
      </c>
      <c r="J73" t="str">
        <f>HYPERLINK("https://driffle.com/es/ea-sports-fc-26-the-worlds-game-edition-global-pc-steam-account-p9996215","Abrir compra")</f>
        <v>Abrir compra</v>
      </c>
      <c r="K73" t="str">
        <f>HYPERLINK("https://store.steampowered.com/app/3405690/EA_SPORTS_FC_26/","Abrir Steam")</f>
        <v>Abrir Steam</v>
      </c>
      <c r="L73" t="s">
        <v>30</v>
      </c>
      <c r="M73" t="s">
        <v>31</v>
      </c>
      <c r="N73" t="s">
        <v>32</v>
      </c>
      <c r="O73" t="s">
        <v>606</v>
      </c>
      <c r="P73" t="s">
        <v>607</v>
      </c>
      <c r="Q73" t="s">
        <v>32</v>
      </c>
      <c r="R73" t="s">
        <v>608</v>
      </c>
      <c r="S73" t="s">
        <v>609</v>
      </c>
      <c r="T73" t="s">
        <v>36</v>
      </c>
      <c r="U73" t="s">
        <v>610</v>
      </c>
      <c r="V73" t="s">
        <v>36</v>
      </c>
      <c r="W73" t="s">
        <v>611</v>
      </c>
      <c r="X73" t="s">
        <v>36</v>
      </c>
      <c r="Y73" t="s">
        <v>612</v>
      </c>
      <c r="Z73" t="s">
        <v>36</v>
      </c>
    </row>
    <row r="74">
      <c r="A74" t="s">
        <v>613</v>
      </c>
      <c r="B74" t="s">
        <v>63</v>
      </c>
      <c r="C74" t="s">
        <v>28</v>
      </c>
      <c r="D74" t="s">
        <v>29</v>
      </c>
      <c r="E74">
        <v>49596</v>
      </c>
      <c r="F74">
        <v>127879</v>
      </c>
      <c r="G74">
        <v>75711</v>
      </c>
      <c r="H74">
        <v>26115</v>
      </c>
      <c r="I74">
        <v>109024</v>
      </c>
      <c r="J74" t="str">
        <f>HYPERLINK("https://driffle.com/es/ea-sports-fc-27-global-pc-steam-account-p9998646","Abrir compra")</f>
        <v>Abrir compra</v>
      </c>
      <c r="K74" t="str">
        <f>HYPERLINK("https://store.steampowered.com/app/4080220/EA_SPORTS_FC_27/","Abrir Steam")</f>
        <v>Abrir Steam</v>
      </c>
      <c r="L74" t="s">
        <v>30</v>
      </c>
      <c r="M74" t="s">
        <v>31</v>
      </c>
      <c r="N74" t="s">
        <v>32</v>
      </c>
      <c r="O74" t="s">
        <v>614</v>
      </c>
      <c r="P74" t="s">
        <v>615</v>
      </c>
      <c r="Q74" t="s">
        <v>32</v>
      </c>
      <c r="R74" t="s">
        <v>616</v>
      </c>
      <c r="S74" t="s">
        <v>617</v>
      </c>
      <c r="T74" t="s">
        <v>36</v>
      </c>
      <c r="U74" t="s">
        <v>289</v>
      </c>
      <c r="V74" t="s">
        <v>36</v>
      </c>
      <c r="W74" t="s">
        <v>618</v>
      </c>
      <c r="X74" t="s">
        <v>36</v>
      </c>
      <c r="Y74" t="s">
        <v>619</v>
      </c>
      <c r="Z74" t="s">
        <v>36</v>
      </c>
    </row>
    <row r="75">
      <c r="A75" t="s">
        <v>613</v>
      </c>
      <c r="B75" t="s">
        <v>387</v>
      </c>
      <c r="C75" t="s">
        <v>28</v>
      </c>
      <c r="D75" t="s">
        <v>29</v>
      </c>
      <c r="E75">
        <v>86679</v>
      </c>
      <c r="F75">
        <v>182692</v>
      </c>
      <c r="G75">
        <v>111922</v>
      </c>
      <c r="H75">
        <v>25243</v>
      </c>
      <c r="I75">
        <v>161168</v>
      </c>
      <c r="J75" t="str">
        <f>HYPERLINK("https://www.kinguin.net/es/category/609624/ea-sports-fc-27-ultimate-edition-pc-steam-account","Abrir compra")</f>
        <v>Abrir compra</v>
      </c>
      <c r="K75" t="str">
        <f>HYPERLINK("https://store.steampowered.com/app/4080220/EA_SPORTS_FC_27/","Abrir Steam")</f>
        <v>Abrir Steam</v>
      </c>
      <c r="L75" t="s">
        <v>42</v>
      </c>
      <c r="M75" t="s">
        <v>72</v>
      </c>
      <c r="N75" t="s">
        <v>32</v>
      </c>
      <c r="O75" t="s">
        <v>620</v>
      </c>
      <c r="P75" t="s">
        <v>621</v>
      </c>
      <c r="Q75" t="s">
        <v>32</v>
      </c>
      <c r="R75" t="s">
        <v>622</v>
      </c>
      <c r="S75" t="s">
        <v>623</v>
      </c>
      <c r="T75" t="s">
        <v>36</v>
      </c>
      <c r="U75" t="s">
        <v>36</v>
      </c>
      <c r="V75" t="s">
        <v>36</v>
      </c>
      <c r="W75" t="s">
        <v>624</v>
      </c>
      <c r="X75" t="s">
        <v>36</v>
      </c>
      <c r="Y75" t="s">
        <v>36</v>
      </c>
      <c r="Z75" t="s">
        <v>36</v>
      </c>
    </row>
    <row r="76">
      <c r="A76" t="s">
        <v>613</v>
      </c>
      <c r="B76" t="s">
        <v>625</v>
      </c>
      <c r="C76" t="s">
        <v>28</v>
      </c>
      <c r="D76" t="s">
        <v>29</v>
      </c>
      <c r="E76">
        <v>130192</v>
      </c>
      <c r="F76">
        <v>274047</v>
      </c>
      <c r="G76">
        <v>157192</v>
      </c>
      <c r="H76">
        <v>27000</v>
      </c>
      <c r="I76">
        <v>226356</v>
      </c>
      <c r="J76" t="str">
        <f>HYPERLINK("https://www.kinguin.net/es/category/609638/ea-sports-fc-27-ultimate-edition-plus-pc-steam-account","Abrir compra")</f>
        <v>Abrir compra</v>
      </c>
      <c r="K76" t="str">
        <f>HYPERLINK("https://store.steampowered.com/app/4080220/EA_SPORTS_FC_27/","Abrir Steam")</f>
        <v>Abrir Steam</v>
      </c>
      <c r="L76" t="s">
        <v>42</v>
      </c>
      <c r="M76" t="s">
        <v>72</v>
      </c>
      <c r="N76" t="s">
        <v>32</v>
      </c>
      <c r="O76" t="s">
        <v>626</v>
      </c>
      <c r="P76" t="s">
        <v>627</v>
      </c>
      <c r="Q76" t="s">
        <v>32</v>
      </c>
      <c r="R76" t="s">
        <v>628</v>
      </c>
      <c r="S76" t="s">
        <v>629</v>
      </c>
      <c r="T76" t="s">
        <v>36</v>
      </c>
      <c r="U76" t="s">
        <v>36</v>
      </c>
      <c r="V76" t="s">
        <v>36</v>
      </c>
      <c r="W76" t="s">
        <v>630</v>
      </c>
      <c r="X76" t="s">
        <v>36</v>
      </c>
      <c r="Y76" t="s">
        <v>36</v>
      </c>
      <c r="Z76" t="s">
        <v>36</v>
      </c>
    </row>
    <row r="77">
      <c r="A77" t="s">
        <v>631</v>
      </c>
      <c r="B77" t="s">
        <v>27</v>
      </c>
      <c r="C77" t="s">
        <v>28</v>
      </c>
      <c r="D77" t="s">
        <v>29</v>
      </c>
      <c r="E77">
        <v>80580</v>
      </c>
      <c r="F77">
        <v>182692</v>
      </c>
      <c r="G77">
        <v>107580</v>
      </c>
      <c r="H77">
        <v>27000</v>
      </c>
      <c r="I77">
        <v>154915</v>
      </c>
      <c r="J77" t="str">
        <f>HYPERLINK("https://www.kinguin.net/es/category/563378/ea-sports-college-football-27-deluxe-edition-pc-steam-account","Abrir compra")</f>
        <v>Abrir compra</v>
      </c>
      <c r="K77" t="str">
        <f>HYPERLINK("https://store.steampowered.com/app/4032350/EA_SPORTS_College_Football_27/?curator_clanid=4777282","Abrir Steam")</f>
        <v>Abrir Steam</v>
      </c>
      <c r="L77" t="s">
        <v>42</v>
      </c>
      <c r="M77" t="s">
        <v>72</v>
      </c>
      <c r="N77" t="s">
        <v>32</v>
      </c>
      <c r="O77" t="s">
        <v>632</v>
      </c>
      <c r="P77" t="s">
        <v>633</v>
      </c>
      <c r="Q77" t="s">
        <v>32</v>
      </c>
      <c r="R77" t="s">
        <v>634</v>
      </c>
      <c r="S77" t="s">
        <v>635</v>
      </c>
      <c r="T77" t="s">
        <v>36</v>
      </c>
      <c r="U77" t="s">
        <v>36</v>
      </c>
      <c r="V77" t="s">
        <v>36</v>
      </c>
      <c r="W77" t="s">
        <v>636</v>
      </c>
      <c r="X77" t="s">
        <v>36</v>
      </c>
      <c r="Y77" t="s">
        <v>36</v>
      </c>
      <c r="Z77" t="s">
        <v>36</v>
      </c>
    </row>
    <row r="78">
      <c r="A78" t="s">
        <v>631</v>
      </c>
      <c r="B78" t="s">
        <v>63</v>
      </c>
      <c r="C78" t="s">
        <v>28</v>
      </c>
      <c r="D78" t="s">
        <v>29</v>
      </c>
      <c r="E78">
        <v>69978</v>
      </c>
      <c r="F78">
        <v>127879</v>
      </c>
      <c r="G78">
        <v>84978</v>
      </c>
      <c r="H78">
        <v>15000</v>
      </c>
      <c r="I78">
        <v>122368</v>
      </c>
      <c r="J78" t="str">
        <f>HYPERLINK("https://www.kinguin.net/es/category/563380/ea-sports-college-football-27-pc-steam-account","Abrir compra")</f>
        <v>Abrir compra</v>
      </c>
      <c r="K78" t="str">
        <f>HYPERLINK("https://store.steampowered.com/app/4032350/EA_SPORTS_College_Football_27/?curator_clanid=4777282","Abrir Steam")</f>
        <v>Abrir Steam</v>
      </c>
      <c r="L78" t="s">
        <v>42</v>
      </c>
      <c r="M78" t="s">
        <v>72</v>
      </c>
      <c r="N78" t="s">
        <v>32</v>
      </c>
      <c r="O78" t="s">
        <v>637</v>
      </c>
      <c r="P78" t="s">
        <v>638</v>
      </c>
      <c r="Q78" t="s">
        <v>32</v>
      </c>
      <c r="R78" t="s">
        <v>639</v>
      </c>
      <c r="S78" t="s">
        <v>640</v>
      </c>
      <c r="T78" t="s">
        <v>36</v>
      </c>
      <c r="U78" t="s">
        <v>36</v>
      </c>
      <c r="V78" t="s">
        <v>36</v>
      </c>
      <c r="W78" t="s">
        <v>641</v>
      </c>
      <c r="X78" t="s">
        <v>36</v>
      </c>
      <c r="Y78" t="s">
        <v>36</v>
      </c>
      <c r="Z78" t="s">
        <v>36</v>
      </c>
    </row>
    <row r="79">
      <c r="A79" t="s">
        <v>642</v>
      </c>
      <c r="B79" t="s">
        <v>27</v>
      </c>
      <c r="C79" t="s">
        <v>28</v>
      </c>
      <c r="D79" t="s">
        <v>29</v>
      </c>
      <c r="E79">
        <v>110205</v>
      </c>
      <c r="F79">
        <v>146150</v>
      </c>
      <c r="G79">
        <v>125205</v>
      </c>
      <c r="H79">
        <v>15000</v>
      </c>
      <c r="I79">
        <v>180295</v>
      </c>
      <c r="J79" t="str">
        <f>HYPERLINK("https://www.kinguin.net/es/category/217210/elden-ring-shadow-of-the-erdtree-deluxe-edition-steam-account","Abrir compra")</f>
        <v>Abrir compra</v>
      </c>
      <c r="K79" t="str">
        <f>HYPERLINK("https://store.steampowered.com/app/1245620/ELDEN_RING/","Abrir Steam")</f>
        <v>Abrir Steam</v>
      </c>
      <c r="L79" t="s">
        <v>42</v>
      </c>
      <c r="M79" t="s">
        <v>72</v>
      </c>
      <c r="N79" t="s">
        <v>32</v>
      </c>
      <c r="O79" t="s">
        <v>643</v>
      </c>
      <c r="P79" t="s">
        <v>644</v>
      </c>
      <c r="Q79" t="s">
        <v>32</v>
      </c>
      <c r="R79" t="s">
        <v>645</v>
      </c>
      <c r="S79" t="s">
        <v>646</v>
      </c>
      <c r="T79" t="s">
        <v>36</v>
      </c>
      <c r="U79" t="s">
        <v>36</v>
      </c>
      <c r="V79" t="s">
        <v>36</v>
      </c>
      <c r="W79" t="s">
        <v>647</v>
      </c>
      <c r="X79" t="s">
        <v>36</v>
      </c>
      <c r="Y79" t="s">
        <v>36</v>
      </c>
      <c r="Z79" t="s">
        <v>36</v>
      </c>
    </row>
    <row r="80">
      <c r="A80" t="s">
        <v>642</v>
      </c>
      <c r="B80" t="s">
        <v>53</v>
      </c>
      <c r="C80" t="s">
        <v>32</v>
      </c>
      <c r="D80" t="s">
        <v>41</v>
      </c>
      <c r="E80">
        <v>90882</v>
      </c>
      <c r="F80">
        <v>87683</v>
      </c>
      <c r="G80">
        <v>105882</v>
      </c>
      <c r="H80">
        <v>15000</v>
      </c>
      <c r="I80">
        <v>152470</v>
      </c>
      <c r="J80" t="str">
        <f>HYPERLINK("https://www.eneba.com/latam/steam-elden-ring-pc-steam-key-latam","Abrir compra")</f>
        <v>Abrir compra</v>
      </c>
      <c r="K80" t="str">
        <f>HYPERLINK("https://store.steampowered.com/app/1245620/ELDEN_RING/","Abrir Steam")</f>
        <v>Abrir Steam</v>
      </c>
      <c r="L80" t="s">
        <v>194</v>
      </c>
      <c r="M80" t="s">
        <v>31</v>
      </c>
      <c r="N80" t="s">
        <v>32</v>
      </c>
      <c r="O80" t="s">
        <v>648</v>
      </c>
      <c r="P80" t="s">
        <v>649</v>
      </c>
      <c r="Q80" t="s">
        <v>32</v>
      </c>
      <c r="R80" t="s">
        <v>650</v>
      </c>
      <c r="S80" t="s">
        <v>36</v>
      </c>
      <c r="T80" t="s">
        <v>651</v>
      </c>
      <c r="U80" t="s">
        <v>36</v>
      </c>
      <c r="V80" t="s">
        <v>36</v>
      </c>
      <c r="W80" t="s">
        <v>652</v>
      </c>
      <c r="X80" t="s">
        <v>653</v>
      </c>
      <c r="Y80" t="s">
        <v>654</v>
      </c>
      <c r="Z80" t="s">
        <v>36</v>
      </c>
    </row>
    <row r="81">
      <c r="A81" t="s">
        <v>642</v>
      </c>
      <c r="B81" t="s">
        <v>63</v>
      </c>
      <c r="C81" t="s">
        <v>28</v>
      </c>
      <c r="D81" t="s">
        <v>29</v>
      </c>
      <c r="E81">
        <v>49486</v>
      </c>
      <c r="F81">
        <v>87683</v>
      </c>
      <c r="G81">
        <v>64486</v>
      </c>
      <c r="H81">
        <v>15000</v>
      </c>
      <c r="I81">
        <v>92860</v>
      </c>
      <c r="J81" t="str">
        <f>HYPERLINK("https://driffle.com/es/elden-ring-global-pc-steam-account-p9943442","Abrir compra")</f>
        <v>Abrir compra</v>
      </c>
      <c r="K81" t="str">
        <f>HYPERLINK("https://store.steampowered.com/app/1245620/ELDEN_RING/","Abrir Steam")</f>
        <v>Abrir Steam</v>
      </c>
      <c r="L81" t="s">
        <v>30</v>
      </c>
      <c r="M81" t="s">
        <v>86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658</v>
      </c>
      <c r="T81" t="s">
        <v>36</v>
      </c>
      <c r="U81" t="s">
        <v>659</v>
      </c>
      <c r="V81" t="s">
        <v>36</v>
      </c>
      <c r="W81" t="s">
        <v>660</v>
      </c>
      <c r="X81" t="s">
        <v>36</v>
      </c>
      <c r="Y81" t="s">
        <v>661</v>
      </c>
      <c r="Z81" t="s">
        <v>36</v>
      </c>
    </row>
    <row r="82">
      <c r="A82" t="s">
        <v>642</v>
      </c>
      <c r="B82" t="s">
        <v>662</v>
      </c>
      <c r="C82" t="s">
        <v>32</v>
      </c>
      <c r="D82" t="s">
        <v>41</v>
      </c>
      <c r="E82">
        <v>144854</v>
      </c>
      <c r="F82">
        <v>146150</v>
      </c>
      <c r="G82">
        <v>159854</v>
      </c>
      <c r="H82">
        <v>15000</v>
      </c>
      <c r="I82">
        <v>230190</v>
      </c>
      <c r="J82" t="str">
        <f>HYPERLINK("https://www.eneba.com/latam/steam-elden-ring-shadow-of-the-erdtree-deluxe-edition-pc-steam-key-latam","Abrir compra")</f>
        <v>Abrir compra</v>
      </c>
      <c r="K82" t="str">
        <f>HYPERLINK("https://store.steampowered.com/app/1245620/ELDEN_RING/","Abrir Steam")</f>
        <v>Abrir Steam</v>
      </c>
      <c r="L82" t="s">
        <v>194</v>
      </c>
      <c r="M82" t="s">
        <v>31</v>
      </c>
      <c r="N82" t="s">
        <v>32</v>
      </c>
      <c r="O82" t="s">
        <v>663</v>
      </c>
      <c r="P82" t="s">
        <v>664</v>
      </c>
      <c r="Q82" t="s">
        <v>32</v>
      </c>
      <c r="R82" t="s">
        <v>665</v>
      </c>
      <c r="S82" t="s">
        <v>36</v>
      </c>
      <c r="T82" t="s">
        <v>666</v>
      </c>
      <c r="U82" t="s">
        <v>36</v>
      </c>
      <c r="V82" t="s">
        <v>36</v>
      </c>
      <c r="W82" t="s">
        <v>36</v>
      </c>
      <c r="X82" t="s">
        <v>667</v>
      </c>
      <c r="Y82" t="s">
        <v>36</v>
      </c>
      <c r="Z82" t="s">
        <v>36</v>
      </c>
    </row>
    <row r="83">
      <c r="A83" t="s">
        <v>642</v>
      </c>
      <c r="B83" t="s">
        <v>668</v>
      </c>
      <c r="C83" t="s">
        <v>28</v>
      </c>
      <c r="D83" t="s">
        <v>29</v>
      </c>
      <c r="E83">
        <v>86126</v>
      </c>
      <c r="F83">
        <v>116916</v>
      </c>
      <c r="G83">
        <v>101126</v>
      </c>
      <c r="H83">
        <v>15000</v>
      </c>
      <c r="I83">
        <v>145621</v>
      </c>
      <c r="J83" t="str">
        <f>HYPERLINK("https://www.kinguin.net/es/category/217207/elden-ring-shadow-of-the-erdtree-edition-steam-account","Abrir compra")</f>
        <v>Abrir compra</v>
      </c>
      <c r="K83" t="str">
        <f>HYPERLINK("https://store.steampowered.com/app/1245620/ELDEN_RING/","Abrir Steam")</f>
        <v>Abrir Steam</v>
      </c>
      <c r="L83" t="s">
        <v>42</v>
      </c>
      <c r="M83" t="s">
        <v>72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672</v>
      </c>
      <c r="T83" t="s">
        <v>36</v>
      </c>
      <c r="U83" t="s">
        <v>673</v>
      </c>
      <c r="V83" t="s">
        <v>36</v>
      </c>
      <c r="W83" t="s">
        <v>674</v>
      </c>
      <c r="X83" t="s">
        <v>36</v>
      </c>
      <c r="Y83" t="s">
        <v>675</v>
      </c>
      <c r="Z83" t="s">
        <v>36</v>
      </c>
    </row>
    <row r="84">
      <c r="A84" t="s">
        <v>676</v>
      </c>
      <c r="B84" t="s">
        <v>409</v>
      </c>
      <c r="C84" t="s">
        <v>32</v>
      </c>
      <c r="D84" t="s">
        <v>41</v>
      </c>
      <c r="E84">
        <v>62868</v>
      </c>
      <c r="F84">
        <v>80374</v>
      </c>
      <c r="G84">
        <v>79864</v>
      </c>
      <c r="H84">
        <v>16996</v>
      </c>
      <c r="I84">
        <v>115004</v>
      </c>
      <c r="J84" t="str">
        <f>HYPERLINK("https://www.eneba.com/latam/steam-elden-ring-nightreign-deluxe-edition-steam-key-pc-latam","Abrir compra")</f>
        <v>Abrir compra</v>
      </c>
      <c r="K84" t="str">
        <f>HYPERLINK("https://store.steampowered.com/app/2622380/ELDEN_RING_NIGHTREIGN/","Abrir Steam")</f>
        <v>Abrir Steam</v>
      </c>
      <c r="L84" t="s">
        <v>194</v>
      </c>
      <c r="M84" t="s">
        <v>31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680</v>
      </c>
      <c r="T84" t="s">
        <v>681</v>
      </c>
      <c r="U84" t="s">
        <v>682</v>
      </c>
      <c r="V84" t="s">
        <v>36</v>
      </c>
      <c r="W84" t="s">
        <v>683</v>
      </c>
      <c r="X84" t="s">
        <v>684</v>
      </c>
      <c r="Y84" t="s">
        <v>685</v>
      </c>
      <c r="Z84" t="s">
        <v>36</v>
      </c>
    </row>
    <row r="85">
      <c r="A85" t="s">
        <v>676</v>
      </c>
      <c r="B85" t="s">
        <v>27</v>
      </c>
      <c r="C85" t="s">
        <v>28</v>
      </c>
      <c r="D85" t="s">
        <v>29</v>
      </c>
      <c r="E85">
        <v>54447</v>
      </c>
      <c r="F85">
        <v>80374</v>
      </c>
      <c r="G85">
        <v>69447</v>
      </c>
      <c r="H85">
        <v>15000</v>
      </c>
      <c r="I85">
        <v>100004</v>
      </c>
      <c r="J85" t="str">
        <f>HYPERLINK("https://www.kinguin.net/es/category/311954/elden-ring-nightreign-deluxe-edition-pc-steam-account","Abrir compra")</f>
        <v>Abrir compra</v>
      </c>
      <c r="K85" t="str">
        <f>HYPERLINK("https://store.steampowered.com/app/2622380/ELDEN_RING_NIGHTREIGN/","Abrir Steam")</f>
        <v>Abrir Steam</v>
      </c>
      <c r="L85" t="s">
        <v>42</v>
      </c>
      <c r="M85" t="s">
        <v>72</v>
      </c>
      <c r="N85" t="s">
        <v>32</v>
      </c>
      <c r="O85" t="s">
        <v>686</v>
      </c>
      <c r="P85" t="s">
        <v>687</v>
      </c>
      <c r="Q85" t="s">
        <v>32</v>
      </c>
      <c r="R85" t="s">
        <v>688</v>
      </c>
      <c r="S85" t="s">
        <v>689</v>
      </c>
      <c r="T85" t="s">
        <v>36</v>
      </c>
      <c r="U85" t="s">
        <v>36</v>
      </c>
      <c r="V85" t="s">
        <v>36</v>
      </c>
      <c r="W85" t="s">
        <v>690</v>
      </c>
      <c r="X85" t="s">
        <v>36</v>
      </c>
      <c r="Y85" t="s">
        <v>36</v>
      </c>
      <c r="Z85" t="s">
        <v>36</v>
      </c>
    </row>
    <row r="86">
      <c r="A86" t="s">
        <v>676</v>
      </c>
      <c r="B86" t="s">
        <v>53</v>
      </c>
      <c r="C86" t="s">
        <v>32</v>
      </c>
      <c r="D86" t="s">
        <v>41</v>
      </c>
      <c r="E86">
        <v>45409</v>
      </c>
      <c r="F86">
        <v>58449</v>
      </c>
      <c r="G86">
        <v>60409</v>
      </c>
      <c r="H86">
        <v>15000</v>
      </c>
      <c r="I86">
        <v>86989</v>
      </c>
      <c r="J86" t="str">
        <f>HYPERLINK("https://www.eneba.com/latam/steam-elden-ring-nightreign-steam-key-pc-latam","Abrir compra")</f>
        <v>Abrir compra</v>
      </c>
      <c r="K86" t="str">
        <f>HYPERLINK("https://store.steampowered.com/app/2622380/ELDEN_RING_NIGHTREIGN/","Abrir Steam")</f>
        <v>Abrir Steam</v>
      </c>
      <c r="L86" t="s">
        <v>194</v>
      </c>
      <c r="M86" t="s">
        <v>31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694</v>
      </c>
      <c r="T86" t="s">
        <v>695</v>
      </c>
      <c r="U86" t="s">
        <v>696</v>
      </c>
      <c r="V86" t="s">
        <v>36</v>
      </c>
      <c r="W86" t="s">
        <v>697</v>
      </c>
      <c r="X86" t="s">
        <v>698</v>
      </c>
      <c r="Y86" t="s">
        <v>699</v>
      </c>
      <c r="Z86" t="s">
        <v>36</v>
      </c>
    </row>
    <row r="87">
      <c r="A87" t="s">
        <v>676</v>
      </c>
      <c r="B87" t="s">
        <v>63</v>
      </c>
      <c r="C87" t="s">
        <v>28</v>
      </c>
      <c r="D87" t="s">
        <v>29</v>
      </c>
      <c r="E87">
        <v>32769</v>
      </c>
      <c r="F87">
        <v>58449</v>
      </c>
      <c r="G87">
        <v>47769</v>
      </c>
      <c r="H87">
        <v>15000</v>
      </c>
      <c r="I87">
        <v>68787</v>
      </c>
      <c r="J87" t="str">
        <f>HYPERLINK("https://driffle.com/es/elden-ring-nightreign-global-pc-steam-account-p9945661","Abrir compra")</f>
        <v>Abrir compra</v>
      </c>
      <c r="K87" t="str">
        <f>HYPERLINK("https://store.steampowered.com/app/2622380/ELDEN_RING_NIGHTREIGN/","Abrir Steam")</f>
        <v>Abrir Steam</v>
      </c>
      <c r="L87" t="s">
        <v>30</v>
      </c>
      <c r="M87" t="s">
        <v>31</v>
      </c>
      <c r="N87" t="s">
        <v>32</v>
      </c>
      <c r="O87" t="s">
        <v>700</v>
      </c>
      <c r="P87" t="s">
        <v>701</v>
      </c>
      <c r="Q87" t="s">
        <v>32</v>
      </c>
      <c r="R87" t="s">
        <v>702</v>
      </c>
      <c r="S87" t="s">
        <v>703</v>
      </c>
      <c r="T87" t="s">
        <v>36</v>
      </c>
      <c r="U87" t="s">
        <v>704</v>
      </c>
      <c r="V87" t="s">
        <v>36</v>
      </c>
      <c r="W87" t="s">
        <v>705</v>
      </c>
      <c r="X87" t="s">
        <v>36</v>
      </c>
      <c r="Y87" t="s">
        <v>706</v>
      </c>
      <c r="Z87" t="s">
        <v>36</v>
      </c>
    </row>
    <row r="88">
      <c r="A88" t="s">
        <v>707</v>
      </c>
      <c r="B88" t="s">
        <v>708</v>
      </c>
      <c r="C88" t="s">
        <v>32</v>
      </c>
      <c r="D88" t="s">
        <v>41</v>
      </c>
      <c r="E88">
        <v>47021</v>
      </c>
      <c r="F88">
        <v>91337</v>
      </c>
      <c r="G88">
        <v>68503</v>
      </c>
      <c r="H88">
        <v>21482</v>
      </c>
      <c r="I88">
        <v>98644</v>
      </c>
      <c r="J88" t="str">
        <f>HYPERLINK("https://www.kinguin.net/es/category/549472/f1-25-2026-season-edition-pc-steam-cd-key","Abrir compra")</f>
        <v>Abrir compra</v>
      </c>
      <c r="K88" t="str">
        <f>HYPERLINK("https://store.steampowered.com/app/3059520/F1_25/","Abrir Steam")</f>
        <v>Abrir Steam</v>
      </c>
      <c r="L88" t="s">
        <v>42</v>
      </c>
      <c r="M88" t="s">
        <v>709</v>
      </c>
      <c r="N88" t="s">
        <v>32</v>
      </c>
      <c r="O88" t="s">
        <v>710</v>
      </c>
      <c r="P88" t="s">
        <v>711</v>
      </c>
      <c r="Q88" t="s">
        <v>32</v>
      </c>
      <c r="R88" t="s">
        <v>712</v>
      </c>
      <c r="S88" t="s">
        <v>713</v>
      </c>
      <c r="T88" t="s">
        <v>36</v>
      </c>
      <c r="U88" t="s">
        <v>36</v>
      </c>
      <c r="V88" t="s">
        <v>36</v>
      </c>
      <c r="W88" t="s">
        <v>714</v>
      </c>
      <c r="X88" t="s">
        <v>36</v>
      </c>
      <c r="Y88" t="s">
        <v>36</v>
      </c>
      <c r="Z88" t="s">
        <v>36</v>
      </c>
    </row>
    <row r="89">
      <c r="A89" t="s">
        <v>707</v>
      </c>
      <c r="B89" t="s">
        <v>715</v>
      </c>
      <c r="C89" t="s">
        <v>28</v>
      </c>
      <c r="D89" t="s">
        <v>29</v>
      </c>
      <c r="E89">
        <v>45062</v>
      </c>
      <c r="F89">
        <v>91337</v>
      </c>
      <c r="G89">
        <v>60062</v>
      </c>
      <c r="H89">
        <v>15000</v>
      </c>
      <c r="I89">
        <v>86489</v>
      </c>
      <c r="J89" t="str">
        <f>HYPERLINK("https://www.kinguin.net/es/category/541795/f1-25-2026-season-edition-pc-steam-account","Abrir compra")</f>
        <v>Abrir compra</v>
      </c>
      <c r="K89" t="str">
        <f>HYPERLINK("https://store.steampowered.com/app/3059520/F1_25/","Abrir Steam")</f>
        <v>Abrir Steam</v>
      </c>
      <c r="L89" t="s">
        <v>42</v>
      </c>
      <c r="M89" t="s">
        <v>86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719</v>
      </c>
      <c r="T89" t="s">
        <v>36</v>
      </c>
      <c r="U89" t="s">
        <v>720</v>
      </c>
      <c r="V89" t="s">
        <v>36</v>
      </c>
      <c r="W89" t="s">
        <v>721</v>
      </c>
      <c r="X89" t="s">
        <v>36</v>
      </c>
      <c r="Y89" t="s">
        <v>722</v>
      </c>
      <c r="Z89" t="s">
        <v>36</v>
      </c>
    </row>
    <row r="90">
      <c r="A90" t="s">
        <v>723</v>
      </c>
      <c r="B90" t="s">
        <v>53</v>
      </c>
      <c r="C90" t="s">
        <v>32</v>
      </c>
      <c r="D90" t="s">
        <v>41</v>
      </c>
      <c r="E90">
        <v>13430</v>
      </c>
      <c r="F90">
        <v>43832</v>
      </c>
      <c r="G90">
        <v>32874</v>
      </c>
      <c r="H90">
        <v>19444</v>
      </c>
      <c r="I90">
        <v>47339</v>
      </c>
      <c r="J90" t="str">
        <f>HYPERLINK("https://www.eneba.com/latam/steam-fallout-76-steam-key-pc-latam","Abrir compra")</f>
        <v>Abrir compra</v>
      </c>
      <c r="K90" t="str">
        <f>HYPERLINK("https://store.steampowered.com/app/1151340/Fallout_76/?curator_clanid=4777282","Abrir Steam")</f>
        <v>Abrir Steam</v>
      </c>
      <c r="L90" t="s">
        <v>194</v>
      </c>
      <c r="M90" t="s">
        <v>31</v>
      </c>
      <c r="N90" t="s">
        <v>32</v>
      </c>
      <c r="O90" t="s">
        <v>724</v>
      </c>
      <c r="P90" t="s">
        <v>725</v>
      </c>
      <c r="Q90" t="s">
        <v>32</v>
      </c>
      <c r="R90" t="s">
        <v>726</v>
      </c>
      <c r="S90" t="s">
        <v>727</v>
      </c>
      <c r="T90" t="s">
        <v>728</v>
      </c>
      <c r="U90" t="s">
        <v>729</v>
      </c>
      <c r="V90" t="s">
        <v>730</v>
      </c>
      <c r="W90" t="s">
        <v>731</v>
      </c>
      <c r="X90" t="s">
        <v>732</v>
      </c>
      <c r="Y90" t="s">
        <v>733</v>
      </c>
      <c r="Z90" t="s">
        <v>734</v>
      </c>
    </row>
    <row r="91">
      <c r="A91" t="s">
        <v>723</v>
      </c>
      <c r="B91" t="s">
        <v>63</v>
      </c>
      <c r="C91" t="s">
        <v>28</v>
      </c>
      <c r="D91" t="s">
        <v>29</v>
      </c>
      <c r="E91">
        <v>5641</v>
      </c>
      <c r="F91">
        <v>43832</v>
      </c>
      <c r="G91">
        <v>25351</v>
      </c>
      <c r="H91">
        <v>19710</v>
      </c>
      <c r="I91">
        <v>36505</v>
      </c>
      <c r="J91" t="str">
        <f>HYPERLINK("https://www.kinguin.net/es/category/138395/fallout-76-steam-account","Abrir compra")</f>
        <v>Abrir compra</v>
      </c>
      <c r="K91" t="str">
        <f>HYPERLINK("https://store.steampowered.com/app/1151340/Fallout_76/?curator_clanid=4777282","Abrir Steam")</f>
        <v>Abrir Steam</v>
      </c>
      <c r="L91" t="s">
        <v>42</v>
      </c>
      <c r="M91" t="s">
        <v>72</v>
      </c>
      <c r="N91" t="s">
        <v>32</v>
      </c>
      <c r="O91" t="s">
        <v>735</v>
      </c>
      <c r="P91" t="s">
        <v>736</v>
      </c>
      <c r="Q91" t="s">
        <v>32</v>
      </c>
      <c r="R91" t="s">
        <v>737</v>
      </c>
      <c r="S91" t="s">
        <v>738</v>
      </c>
      <c r="T91" t="s">
        <v>36</v>
      </c>
      <c r="U91" t="s">
        <v>739</v>
      </c>
      <c r="V91" t="s">
        <v>36</v>
      </c>
      <c r="W91" t="s">
        <v>740</v>
      </c>
      <c r="X91" t="s">
        <v>36</v>
      </c>
      <c r="Y91" t="s">
        <v>741</v>
      </c>
      <c r="Z91" t="s">
        <v>36</v>
      </c>
    </row>
    <row r="92">
      <c r="A92" t="s">
        <v>742</v>
      </c>
      <c r="B92" t="s">
        <v>53</v>
      </c>
      <c r="C92" t="s">
        <v>32</v>
      </c>
      <c r="D92" t="s">
        <v>41</v>
      </c>
      <c r="E92">
        <v>26228</v>
      </c>
      <c r="F92">
        <v>58449</v>
      </c>
      <c r="G92">
        <v>42793</v>
      </c>
      <c r="H92">
        <v>16565</v>
      </c>
      <c r="I92">
        <v>61622</v>
      </c>
      <c r="J92" t="str">
        <f>HYPERLINK("https://www.eneba.com/latam/steam-final-fantasy-vii-remake-intergrade-pc-steam-key-global","Abrir compra")</f>
        <v>Abrir compra</v>
      </c>
      <c r="K92" t="str">
        <f>HYPERLINK("https://store.steampowered.com/app/1462040/FINAL_FANTASY_VII_REMAKE_INTERGRADE/?curator_clanid=4777282","Abrir Steam")</f>
        <v>Abrir Steam</v>
      </c>
      <c r="L92" t="s">
        <v>194</v>
      </c>
      <c r="M92" t="s">
        <v>31</v>
      </c>
      <c r="N92" t="s">
        <v>32</v>
      </c>
      <c r="O92" t="s">
        <v>743</v>
      </c>
      <c r="P92" t="s">
        <v>744</v>
      </c>
      <c r="Q92" t="s">
        <v>32</v>
      </c>
      <c r="R92" t="s">
        <v>745</v>
      </c>
      <c r="S92" t="s">
        <v>746</v>
      </c>
      <c r="T92" t="s">
        <v>747</v>
      </c>
      <c r="U92" t="s">
        <v>748</v>
      </c>
      <c r="V92" t="s">
        <v>749</v>
      </c>
      <c r="W92" t="s">
        <v>750</v>
      </c>
      <c r="X92" t="s">
        <v>751</v>
      </c>
      <c r="Y92" t="s">
        <v>752</v>
      </c>
      <c r="Z92" t="s">
        <v>753</v>
      </c>
    </row>
    <row r="93">
      <c r="A93" t="s">
        <v>754</v>
      </c>
      <c r="B93" t="s">
        <v>27</v>
      </c>
      <c r="C93" t="s">
        <v>28</v>
      </c>
      <c r="D93" t="s">
        <v>29</v>
      </c>
      <c r="E93">
        <v>30194</v>
      </c>
      <c r="F93">
        <v>74619</v>
      </c>
      <c r="G93">
        <v>47179</v>
      </c>
      <c r="H93">
        <v>16985</v>
      </c>
      <c r="I93">
        <v>67938</v>
      </c>
      <c r="J93" t="str">
        <f>HYPERLINK("https://www.kinguin.net/es/category/153247/forza-horizon-5-deluxe-edition-steam-account","Abrir compra")</f>
        <v>Abrir compra</v>
      </c>
      <c r="K93" t="str">
        <f>HYPERLINK("https://store.steampowered.com/app/1551360/Forza_Horizon_5/?curator_clanid=4777282","Abrir Steam")</f>
        <v>Abrir Steam</v>
      </c>
      <c r="L93" t="s">
        <v>42</v>
      </c>
      <c r="M93" t="s">
        <v>86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758</v>
      </c>
      <c r="T93" t="s">
        <v>36</v>
      </c>
      <c r="U93" t="s">
        <v>759</v>
      </c>
      <c r="V93" t="s">
        <v>36</v>
      </c>
      <c r="W93" t="s">
        <v>760</v>
      </c>
      <c r="X93" t="s">
        <v>36</v>
      </c>
      <c r="Y93" t="s">
        <v>761</v>
      </c>
      <c r="Z93" t="s">
        <v>36</v>
      </c>
    </row>
    <row r="94">
      <c r="A94" t="s">
        <v>754</v>
      </c>
      <c r="B94" t="s">
        <v>63</v>
      </c>
      <c r="C94" t="s">
        <v>28</v>
      </c>
      <c r="D94" t="s">
        <v>29</v>
      </c>
      <c r="E94">
        <v>20303</v>
      </c>
      <c r="F94">
        <v>59892</v>
      </c>
      <c r="G94">
        <v>37479</v>
      </c>
      <c r="H94">
        <v>17176</v>
      </c>
      <c r="I94">
        <v>53970</v>
      </c>
      <c r="J94" t="str">
        <f>HYPERLINK("https://driffle.com/es/forza-horizon-5-global-pc-steam-account-p9943443","Abrir compra")</f>
        <v>Abrir compra</v>
      </c>
      <c r="K94" t="str">
        <f>HYPERLINK("https://store.steampowered.com/app/1551360/Forza_Horizon_5/?curator_clanid=4777282","Abrir Steam")</f>
        <v>Abrir Steam</v>
      </c>
      <c r="L94" t="s">
        <v>30</v>
      </c>
      <c r="M94" t="s">
        <v>31</v>
      </c>
      <c r="N94" t="s">
        <v>32</v>
      </c>
      <c r="O94" t="s">
        <v>762</v>
      </c>
      <c r="P94" t="s">
        <v>763</v>
      </c>
      <c r="Q94" t="s">
        <v>32</v>
      </c>
      <c r="R94" t="s">
        <v>764</v>
      </c>
      <c r="S94" t="s">
        <v>765</v>
      </c>
      <c r="T94" t="s">
        <v>36</v>
      </c>
      <c r="U94" t="s">
        <v>766</v>
      </c>
      <c r="V94" t="s">
        <v>36</v>
      </c>
      <c r="W94" t="s">
        <v>767</v>
      </c>
      <c r="X94" t="s">
        <v>36</v>
      </c>
      <c r="Y94" t="s">
        <v>768</v>
      </c>
      <c r="Z94" t="s">
        <v>36</v>
      </c>
    </row>
    <row r="95">
      <c r="A95" t="s">
        <v>754</v>
      </c>
      <c r="B95" t="s">
        <v>769</v>
      </c>
      <c r="C95" t="s">
        <v>28</v>
      </c>
      <c r="D95" t="s">
        <v>29</v>
      </c>
      <c r="E95">
        <v>33638</v>
      </c>
      <c r="F95">
        <v>93931</v>
      </c>
      <c r="G95">
        <v>56088</v>
      </c>
      <c r="H95">
        <v>22450</v>
      </c>
      <c r="I95">
        <v>80767</v>
      </c>
      <c r="J95" t="str">
        <f>HYPERLINK("https://www.kinguin.net/es/category/153246/forza-horizon-5-premium-edition-steam-account","Abrir compra")</f>
        <v>Abrir compra</v>
      </c>
      <c r="K95" t="str">
        <f>HYPERLINK("https://store.steampowered.com/app/1551360/Forza_Horizon_5/?curator_clanid=4777282","Abrir Steam")</f>
        <v>Abrir Steam</v>
      </c>
      <c r="L95" t="s">
        <v>42</v>
      </c>
      <c r="M95" t="s">
        <v>72</v>
      </c>
      <c r="N95" t="s">
        <v>32</v>
      </c>
      <c r="O95" t="s">
        <v>770</v>
      </c>
      <c r="P95" t="s">
        <v>771</v>
      </c>
      <c r="Q95" t="s">
        <v>32</v>
      </c>
      <c r="R95" t="s">
        <v>772</v>
      </c>
      <c r="S95" t="s">
        <v>773</v>
      </c>
      <c r="T95" t="s">
        <v>36</v>
      </c>
      <c r="U95" t="s">
        <v>774</v>
      </c>
      <c r="V95" t="s">
        <v>36</v>
      </c>
      <c r="W95" t="s">
        <v>775</v>
      </c>
      <c r="X95" t="s">
        <v>36</v>
      </c>
      <c r="Y95" t="s">
        <v>776</v>
      </c>
      <c r="Z95" t="s">
        <v>36</v>
      </c>
    </row>
    <row r="96">
      <c r="A96" t="s">
        <v>777</v>
      </c>
      <c r="B96" t="s">
        <v>27</v>
      </c>
      <c r="C96" t="s">
        <v>28</v>
      </c>
      <c r="D96" t="s">
        <v>29</v>
      </c>
      <c r="E96">
        <v>72980</v>
      </c>
      <c r="F96">
        <v>127879</v>
      </c>
      <c r="G96">
        <v>87980</v>
      </c>
      <c r="H96">
        <v>15000</v>
      </c>
      <c r="I96">
        <v>126691</v>
      </c>
      <c r="J96" t="str">
        <f>HYPERLINK("https://driffle.com/es/forza-horizon-6-deluxe-edition-global-pc-steam-account-p9980950","Abrir compra")</f>
        <v>Abrir compra</v>
      </c>
      <c r="K96" t="str">
        <f>HYPERLINK("https://store.steampowered.com/app/2483190/Forza_Horizon_6/","Abrir Steam")</f>
        <v>Abrir Steam</v>
      </c>
      <c r="L96" t="s">
        <v>30</v>
      </c>
      <c r="M96" t="s">
        <v>31</v>
      </c>
      <c r="N96" t="s">
        <v>32</v>
      </c>
      <c r="O96" t="s">
        <v>778</v>
      </c>
      <c r="P96" t="s">
        <v>779</v>
      </c>
      <c r="Q96" t="s">
        <v>32</v>
      </c>
      <c r="R96" t="s">
        <v>780</v>
      </c>
      <c r="S96" t="s">
        <v>781</v>
      </c>
      <c r="T96" t="s">
        <v>36</v>
      </c>
      <c r="U96" t="s">
        <v>782</v>
      </c>
      <c r="V96" t="s">
        <v>36</v>
      </c>
      <c r="W96" t="s">
        <v>783</v>
      </c>
      <c r="X96" t="s">
        <v>36</v>
      </c>
      <c r="Y96" t="s">
        <v>784</v>
      </c>
      <c r="Z96" t="s">
        <v>36</v>
      </c>
    </row>
    <row r="97">
      <c r="A97" t="s">
        <v>777</v>
      </c>
      <c r="B97" t="s">
        <v>769</v>
      </c>
      <c r="C97" t="s">
        <v>28</v>
      </c>
      <c r="D97" t="s">
        <v>29</v>
      </c>
      <c r="E97">
        <v>91672</v>
      </c>
      <c r="F97">
        <v>153458</v>
      </c>
      <c r="G97">
        <v>106672</v>
      </c>
      <c r="H97">
        <v>15000</v>
      </c>
      <c r="I97">
        <v>153608</v>
      </c>
      <c r="J97" t="str">
        <f>HYPERLINK("https://driffle.com/es/forza-horizon-6-premium-edition-global-pc-steam-account-p9980955","Abrir compra")</f>
        <v>Abrir compra</v>
      </c>
      <c r="K97" t="str">
        <f>HYPERLINK("https://store.steampowered.com/app/2483190/Forza_Horizon_6/","Abrir Steam")</f>
        <v>Abrir Steam</v>
      </c>
      <c r="L97" t="s">
        <v>30</v>
      </c>
      <c r="M97" t="s">
        <v>31</v>
      </c>
      <c r="N97" t="s">
        <v>32</v>
      </c>
      <c r="O97" t="s">
        <v>785</v>
      </c>
      <c r="P97" t="s">
        <v>786</v>
      </c>
      <c r="Q97" t="s">
        <v>32</v>
      </c>
      <c r="R97" t="s">
        <v>787</v>
      </c>
      <c r="S97" t="s">
        <v>788</v>
      </c>
      <c r="T97" t="s">
        <v>36</v>
      </c>
      <c r="U97" t="s">
        <v>789</v>
      </c>
      <c r="V97" t="s">
        <v>36</v>
      </c>
      <c r="W97" t="s">
        <v>790</v>
      </c>
      <c r="X97" t="s">
        <v>36</v>
      </c>
      <c r="Y97" t="s">
        <v>791</v>
      </c>
      <c r="Z97" t="s">
        <v>36</v>
      </c>
    </row>
    <row r="98">
      <c r="A98" t="s">
        <v>792</v>
      </c>
      <c r="B98" t="s">
        <v>63</v>
      </c>
      <c r="C98" t="s">
        <v>28</v>
      </c>
      <c r="D98" t="s">
        <v>29</v>
      </c>
      <c r="E98">
        <v>88717</v>
      </c>
      <c r="F98">
        <v>89510</v>
      </c>
      <c r="G98">
        <v>103717</v>
      </c>
      <c r="H98">
        <v>15000</v>
      </c>
      <c r="I98">
        <v>149352</v>
      </c>
      <c r="J98" t="str">
        <f>HYPERLINK("https://www.kinguin.net/es/category/542407/gears-of-war-e-day-pc-steam-account","Abrir compra")</f>
        <v>Abrir compra</v>
      </c>
      <c r="K98" t="str">
        <f>HYPERLINK("https://store.steampowered.com/app/3010850/Gears_of_War_EDay/","Abrir Steam")</f>
        <v>Abrir Steam</v>
      </c>
      <c r="L98" t="s">
        <v>42</v>
      </c>
      <c r="M98" t="s">
        <v>86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796</v>
      </c>
      <c r="T98" t="s">
        <v>36</v>
      </c>
      <c r="U98" t="s">
        <v>36</v>
      </c>
      <c r="V98" t="s">
        <v>36</v>
      </c>
      <c r="W98" t="s">
        <v>797</v>
      </c>
      <c r="X98" t="s">
        <v>36</v>
      </c>
      <c r="Y98" t="s">
        <v>798</v>
      </c>
      <c r="Z98" t="s">
        <v>36</v>
      </c>
    </row>
    <row r="99">
      <c r="A99" t="s">
        <v>792</v>
      </c>
      <c r="B99" t="s">
        <v>769</v>
      </c>
      <c r="C99" t="s">
        <v>28</v>
      </c>
      <c r="D99" t="s">
        <v>29</v>
      </c>
      <c r="E99">
        <v>125910</v>
      </c>
      <c r="F99">
        <v>127879</v>
      </c>
      <c r="G99">
        <v>140910</v>
      </c>
      <c r="H99">
        <v>15000</v>
      </c>
      <c r="I99">
        <v>202910</v>
      </c>
      <c r="J99" t="str">
        <f>HYPERLINK("https://www.kinguin.net/es/category/542436/gears-of-war-e-day-premium-edition-pc-steam-account","Abrir compra")</f>
        <v>Abrir compra</v>
      </c>
      <c r="K99" t="str">
        <f>HYPERLINK("https://store.steampowered.com/app/3010850/Gears_of_War_EDay/","Abrir Steam")</f>
        <v>Abrir Steam</v>
      </c>
      <c r="L99" t="s">
        <v>42</v>
      </c>
      <c r="M99" t="s">
        <v>86</v>
      </c>
      <c r="N99" t="s">
        <v>32</v>
      </c>
      <c r="O99" t="s">
        <v>799</v>
      </c>
      <c r="P99" t="s">
        <v>800</v>
      </c>
      <c r="Q99" t="s">
        <v>32</v>
      </c>
      <c r="R99" t="s">
        <v>801</v>
      </c>
      <c r="S99" t="s">
        <v>802</v>
      </c>
      <c r="T99" t="s">
        <v>36</v>
      </c>
      <c r="U99" t="s">
        <v>803</v>
      </c>
      <c r="V99" t="s">
        <v>36</v>
      </c>
      <c r="W99" t="s">
        <v>804</v>
      </c>
      <c r="X99" t="s">
        <v>36</v>
      </c>
      <c r="Y99" t="s">
        <v>805</v>
      </c>
      <c r="Z99" t="s">
        <v>36</v>
      </c>
    </row>
    <row r="100">
      <c r="A100" t="s">
        <v>806</v>
      </c>
      <c r="B100" t="s">
        <v>807</v>
      </c>
      <c r="C100" t="s">
        <v>32</v>
      </c>
      <c r="D100" t="s">
        <v>41</v>
      </c>
      <c r="E100">
        <v>37809</v>
      </c>
      <c r="F100">
        <v>91337</v>
      </c>
      <c r="G100">
        <v>62225</v>
      </c>
      <c r="H100">
        <v>24416</v>
      </c>
      <c r="I100">
        <v>89604</v>
      </c>
      <c r="J100" t="str">
        <f>HYPERLINK("https://driffle.com/es/ghost-of-tsushima-directors-cut-latam-pc-steam-digital-key-p9944724","Abrir compra")</f>
        <v>Abrir compra</v>
      </c>
      <c r="K100" t="str">
        <f>HYPERLINK("https://store.steampowered.com/app/2215430/Ghost_of_Tsushima_VERSIN_DEL_DIRECTOR/?l=spanish","Abrir Steam")</f>
        <v>Abrir Steam</v>
      </c>
      <c r="L100" t="s">
        <v>30</v>
      </c>
      <c r="M100" t="s">
        <v>31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811</v>
      </c>
      <c r="T100" t="s">
        <v>812</v>
      </c>
      <c r="U100" t="s">
        <v>506</v>
      </c>
      <c r="V100" t="s">
        <v>91</v>
      </c>
      <c r="W100" t="s">
        <v>813</v>
      </c>
      <c r="X100" t="s">
        <v>814</v>
      </c>
      <c r="Y100" t="s">
        <v>815</v>
      </c>
      <c r="Z100" t="s">
        <v>816</v>
      </c>
    </row>
    <row r="101">
      <c r="A101" t="s">
        <v>817</v>
      </c>
      <c r="B101" t="s">
        <v>53</v>
      </c>
      <c r="C101" t="s">
        <v>32</v>
      </c>
      <c r="D101" t="s">
        <v>41</v>
      </c>
      <c r="E101">
        <v>24174</v>
      </c>
      <c r="F101">
        <v>91337</v>
      </c>
      <c r="G101">
        <v>52807</v>
      </c>
      <c r="H101">
        <v>28633</v>
      </c>
      <c r="I101">
        <v>76042</v>
      </c>
      <c r="J101" t="str">
        <f>HYPERLINK("https://driffle.com/es/god-of-war-pc-steam-digital-code-p9878708","Abrir compra")</f>
        <v>Abrir compra</v>
      </c>
      <c r="K101" t="str">
        <f>HYPERLINK("https://store.steampowered.com/app/1593500/God_of_War/","Abrir Steam")</f>
        <v>Abrir Steam</v>
      </c>
      <c r="L101" t="s">
        <v>30</v>
      </c>
      <c r="M101" t="s">
        <v>31</v>
      </c>
      <c r="N101" t="s">
        <v>32</v>
      </c>
      <c r="O101" t="s">
        <v>818</v>
      </c>
      <c r="P101" t="s">
        <v>819</v>
      </c>
      <c r="Q101" t="s">
        <v>32</v>
      </c>
      <c r="R101" t="s">
        <v>820</v>
      </c>
      <c r="S101" t="s">
        <v>36</v>
      </c>
      <c r="T101" t="s">
        <v>821</v>
      </c>
      <c r="U101" t="s">
        <v>822</v>
      </c>
      <c r="V101" t="s">
        <v>36</v>
      </c>
      <c r="W101" t="s">
        <v>36</v>
      </c>
      <c r="X101" t="s">
        <v>823</v>
      </c>
      <c r="Y101" t="s">
        <v>824</v>
      </c>
      <c r="Z101" t="s">
        <v>36</v>
      </c>
    </row>
    <row r="102">
      <c r="A102" t="s">
        <v>817</v>
      </c>
      <c r="B102" t="s">
        <v>63</v>
      </c>
      <c r="C102" t="s">
        <v>28</v>
      </c>
      <c r="D102" t="s">
        <v>29</v>
      </c>
      <c r="E102">
        <v>17807</v>
      </c>
      <c r="F102">
        <v>91337</v>
      </c>
      <c r="G102">
        <v>44807</v>
      </c>
      <c r="H102">
        <v>27000</v>
      </c>
      <c r="I102">
        <v>64522</v>
      </c>
      <c r="J102" t="str">
        <f>HYPERLINK("https://www.kinguin.net/es/category/152417/god-of-war-steam-account","Abrir compra")</f>
        <v>Abrir compra</v>
      </c>
      <c r="K102" t="str">
        <f>HYPERLINK("https://store.steampowered.com/app/1593500/God_of_War/","Abrir Steam")</f>
        <v>Abrir Steam</v>
      </c>
      <c r="L102" t="s">
        <v>42</v>
      </c>
      <c r="M102" t="s">
        <v>72</v>
      </c>
      <c r="N102" t="s">
        <v>32</v>
      </c>
      <c r="O102" t="s">
        <v>825</v>
      </c>
      <c r="P102" t="s">
        <v>826</v>
      </c>
      <c r="Q102" t="s">
        <v>32</v>
      </c>
      <c r="R102" t="s">
        <v>827</v>
      </c>
      <c r="S102" t="s">
        <v>828</v>
      </c>
      <c r="T102" t="s">
        <v>36</v>
      </c>
      <c r="U102" t="s">
        <v>829</v>
      </c>
      <c r="V102" t="s">
        <v>36</v>
      </c>
      <c r="W102" t="s">
        <v>830</v>
      </c>
      <c r="X102" t="s">
        <v>36</v>
      </c>
      <c r="Y102" t="s">
        <v>831</v>
      </c>
      <c r="Z102" t="s">
        <v>36</v>
      </c>
    </row>
    <row r="103">
      <c r="A103" t="s">
        <v>832</v>
      </c>
      <c r="B103" t="s">
        <v>409</v>
      </c>
      <c r="C103" t="s">
        <v>32</v>
      </c>
      <c r="D103" t="s">
        <v>41</v>
      </c>
      <c r="E103">
        <v>60767</v>
      </c>
      <c r="F103">
        <v>91337</v>
      </c>
      <c r="G103">
        <v>75767</v>
      </c>
      <c r="H103">
        <v>15000</v>
      </c>
      <c r="I103">
        <v>109104</v>
      </c>
      <c r="J103" t="str">
        <f>HYPERLINK("https://driffle.com/es/god-of-war-ragnarok-deluxe-edition-pc-steam-digital-code-p9910056","Abrir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30</v>
      </c>
      <c r="M103" t="s">
        <v>31</v>
      </c>
      <c r="N103" t="s">
        <v>32</v>
      </c>
      <c r="O103" t="s">
        <v>833</v>
      </c>
      <c r="P103" t="s">
        <v>834</v>
      </c>
      <c r="Q103" t="s">
        <v>32</v>
      </c>
      <c r="R103" t="s">
        <v>835</v>
      </c>
      <c r="S103" t="s">
        <v>36</v>
      </c>
      <c r="T103" t="s">
        <v>36</v>
      </c>
      <c r="U103" t="s">
        <v>836</v>
      </c>
      <c r="V103" t="s">
        <v>36</v>
      </c>
      <c r="W103" t="s">
        <v>837</v>
      </c>
      <c r="X103" t="s">
        <v>838</v>
      </c>
      <c r="Y103" t="s">
        <v>839</v>
      </c>
      <c r="Z103" t="s">
        <v>36</v>
      </c>
    </row>
    <row r="104">
      <c r="A104" t="s">
        <v>832</v>
      </c>
      <c r="B104" t="s">
        <v>53</v>
      </c>
      <c r="C104" t="s">
        <v>32</v>
      </c>
      <c r="D104" t="s">
        <v>41</v>
      </c>
      <c r="E104">
        <v>44129</v>
      </c>
      <c r="F104">
        <v>91337</v>
      </c>
      <c r="G104">
        <v>68503</v>
      </c>
      <c r="H104">
        <v>24374</v>
      </c>
      <c r="I104">
        <v>98644</v>
      </c>
      <c r="J104" t="str">
        <f>HYPERLINK("https://www.eneba.com/latam/steam-god-of-war-ragnarok-pc-steam-key-latam","Abrir compra")</f>
        <v>Abrir compra</v>
      </c>
      <c r="K104" t="str">
        <f>HYPERLINK("https://store.steampowered.com/app/2322010/God_of_War_Ragnark/?curator_clanid=4777282","Abrir Steam")</f>
        <v>Abrir Steam</v>
      </c>
      <c r="L104" t="s">
        <v>194</v>
      </c>
      <c r="M104" t="s">
        <v>31</v>
      </c>
      <c r="N104" t="s">
        <v>32</v>
      </c>
      <c r="O104" t="s">
        <v>840</v>
      </c>
      <c r="P104" t="s">
        <v>841</v>
      </c>
      <c r="Q104" t="s">
        <v>32</v>
      </c>
      <c r="R104" t="s">
        <v>842</v>
      </c>
      <c r="S104" t="s">
        <v>36</v>
      </c>
      <c r="T104" t="s">
        <v>843</v>
      </c>
      <c r="U104" t="s">
        <v>844</v>
      </c>
      <c r="V104" t="s">
        <v>36</v>
      </c>
      <c r="W104" t="s">
        <v>845</v>
      </c>
      <c r="X104" t="s">
        <v>846</v>
      </c>
      <c r="Y104" t="s">
        <v>847</v>
      </c>
      <c r="Z104" t="s">
        <v>36</v>
      </c>
    </row>
    <row r="105">
      <c r="A105" t="s">
        <v>848</v>
      </c>
      <c r="B105" t="s">
        <v>53</v>
      </c>
      <c r="C105" t="s">
        <v>32</v>
      </c>
      <c r="D105" t="s">
        <v>41</v>
      </c>
      <c r="E105">
        <v>37177</v>
      </c>
      <c r="F105">
        <v>62103</v>
      </c>
      <c r="G105">
        <v>65024</v>
      </c>
      <c r="H105">
        <v>27847</v>
      </c>
      <c r="I105">
        <v>93635</v>
      </c>
      <c r="J105" t="str">
        <f>HYPERLINK("https://www.eneba.com/latam/steam-gothic-1-remake-steam-key-pc-latam","Abrir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194</v>
      </c>
      <c r="M105" t="s">
        <v>31</v>
      </c>
      <c r="N105" t="s">
        <v>32</v>
      </c>
      <c r="O105" t="s">
        <v>849</v>
      </c>
      <c r="P105" t="s">
        <v>850</v>
      </c>
      <c r="Q105" t="s">
        <v>32</v>
      </c>
      <c r="R105" t="s">
        <v>851</v>
      </c>
      <c r="S105" t="s">
        <v>84</v>
      </c>
      <c r="T105" t="s">
        <v>852</v>
      </c>
      <c r="U105" t="s">
        <v>853</v>
      </c>
      <c r="V105" t="s">
        <v>854</v>
      </c>
      <c r="W105" t="s">
        <v>855</v>
      </c>
      <c r="X105" t="s">
        <v>856</v>
      </c>
      <c r="Y105" t="s">
        <v>857</v>
      </c>
      <c r="Z105" t="s">
        <v>858</v>
      </c>
    </row>
    <row r="106">
      <c r="A106" t="s">
        <v>848</v>
      </c>
      <c r="B106" t="s">
        <v>63</v>
      </c>
      <c r="C106" t="s">
        <v>28</v>
      </c>
      <c r="D106" t="s">
        <v>29</v>
      </c>
      <c r="E106">
        <v>41522</v>
      </c>
      <c r="F106">
        <v>62103</v>
      </c>
      <c r="G106">
        <v>56522</v>
      </c>
      <c r="H106">
        <v>15000</v>
      </c>
      <c r="I106">
        <v>81392</v>
      </c>
      <c r="J106" t="str">
        <f>HYPERLINK("https://driffle.com/es/gothic-1-remake-global-pc-steam-account-p9995855","Abrir compra")</f>
        <v>Abrir compra</v>
      </c>
      <c r="K106" t="str">
        <f>HYPERLINK("https://store.steampowered.com/app/1297900/Gothic_1_Remake/?curator_clanid=4777282","Abrir Steam")</f>
        <v>Abrir Steam</v>
      </c>
      <c r="L106" t="s">
        <v>30</v>
      </c>
      <c r="M106" t="s">
        <v>86</v>
      </c>
      <c r="N106" t="s">
        <v>32</v>
      </c>
      <c r="O106" t="s">
        <v>859</v>
      </c>
      <c r="P106" t="s">
        <v>860</v>
      </c>
      <c r="Q106" t="s">
        <v>32</v>
      </c>
      <c r="R106" t="s">
        <v>861</v>
      </c>
      <c r="S106" t="s">
        <v>36</v>
      </c>
      <c r="T106" t="s">
        <v>36</v>
      </c>
      <c r="U106" t="s">
        <v>862</v>
      </c>
      <c r="V106" t="s">
        <v>36</v>
      </c>
      <c r="W106" t="s">
        <v>36</v>
      </c>
      <c r="X106" t="s">
        <v>36</v>
      </c>
      <c r="Y106" t="s">
        <v>863</v>
      </c>
      <c r="Z106" t="s">
        <v>36</v>
      </c>
    </row>
    <row r="107">
      <c r="A107" t="s">
        <v>864</v>
      </c>
      <c r="B107" t="s">
        <v>865</v>
      </c>
      <c r="C107" t="s">
        <v>28</v>
      </c>
      <c r="D107" t="s">
        <v>29</v>
      </c>
      <c r="E107">
        <v>15089</v>
      </c>
      <c r="F107">
        <v>54795</v>
      </c>
      <c r="G107">
        <v>33406</v>
      </c>
      <c r="H107">
        <v>18317</v>
      </c>
      <c r="I107">
        <v>48105</v>
      </c>
      <c r="J107" t="str">
        <f>HYPERLINK("https://driffle.com/es/grand-theft-auto-v-enhanced-global-pc-steam-account-p9962285","Abrir compra")</f>
        <v>Abrir compra</v>
      </c>
      <c r="K107" t="str">
        <f>HYPERLINK("https://store.steampowered.com/app/3240220/Grand_Theft_Auto_V_Enhanced/","Abrir Steam")</f>
        <v>Abrir Steam</v>
      </c>
      <c r="L107" t="s">
        <v>30</v>
      </c>
      <c r="M107" t="s">
        <v>31</v>
      </c>
      <c r="N107" t="s">
        <v>32</v>
      </c>
      <c r="O107" t="s">
        <v>866</v>
      </c>
      <c r="P107" t="s">
        <v>867</v>
      </c>
      <c r="Q107" t="s">
        <v>32</v>
      </c>
      <c r="R107" t="s">
        <v>868</v>
      </c>
      <c r="S107" t="s">
        <v>869</v>
      </c>
      <c r="T107" t="s">
        <v>36</v>
      </c>
      <c r="U107" t="s">
        <v>870</v>
      </c>
      <c r="V107" t="s">
        <v>36</v>
      </c>
      <c r="W107" t="s">
        <v>871</v>
      </c>
      <c r="X107" t="s">
        <v>36</v>
      </c>
      <c r="Y107" t="s">
        <v>872</v>
      </c>
      <c r="Z107" t="s">
        <v>36</v>
      </c>
    </row>
    <row r="108">
      <c r="A108" t="s">
        <v>873</v>
      </c>
      <c r="B108" t="s">
        <v>63</v>
      </c>
      <c r="C108" t="s">
        <v>28</v>
      </c>
      <c r="D108" t="s">
        <v>29</v>
      </c>
      <c r="E108">
        <v>55221</v>
      </c>
      <c r="F108">
        <v>73066</v>
      </c>
      <c r="G108">
        <v>70221</v>
      </c>
      <c r="H108">
        <v>15000</v>
      </c>
      <c r="I108">
        <v>101118</v>
      </c>
      <c r="J108" t="str">
        <f>HYPERLINK("https://driffle.com/es/halo-campaign-evolved-global-pc-steam-account-p9996349","Abrir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874</v>
      </c>
      <c r="P108" t="s">
        <v>875</v>
      </c>
      <c r="Q108" t="s">
        <v>32</v>
      </c>
      <c r="R108" t="s">
        <v>876</v>
      </c>
      <c r="S108" t="s">
        <v>877</v>
      </c>
      <c r="T108" t="s">
        <v>36</v>
      </c>
      <c r="U108" t="s">
        <v>878</v>
      </c>
      <c r="V108" t="s">
        <v>36</v>
      </c>
      <c r="W108" t="s">
        <v>879</v>
      </c>
      <c r="X108" t="s">
        <v>36</v>
      </c>
      <c r="Y108" t="s">
        <v>880</v>
      </c>
      <c r="Z108" t="s">
        <v>36</v>
      </c>
    </row>
    <row r="109">
      <c r="A109" t="s">
        <v>873</v>
      </c>
      <c r="B109" t="s">
        <v>769</v>
      </c>
      <c r="C109" t="s">
        <v>28</v>
      </c>
      <c r="D109" t="s">
        <v>29</v>
      </c>
      <c r="E109">
        <v>80264</v>
      </c>
      <c r="F109">
        <v>109608</v>
      </c>
      <c r="G109">
        <v>95264</v>
      </c>
      <c r="H109">
        <v>15000</v>
      </c>
      <c r="I109">
        <v>137180</v>
      </c>
      <c r="J109" t="str">
        <f>HYPERLINK("https://www.kinguin.net/es/category/542838/halo-campaign-evolved-premium-edition-pc-steam-account","Abrir compra")</f>
        <v>Abrir compra</v>
      </c>
      <c r="K109" t="str">
        <f>HYPERLINK("https://store.steampowered.com/app/2806050/Halo_Campaign_Evolved/","Abrir Steam")</f>
        <v>Abrir Steam</v>
      </c>
      <c r="L109" t="s">
        <v>42</v>
      </c>
      <c r="M109" t="s">
        <v>72</v>
      </c>
      <c r="N109" t="s">
        <v>32</v>
      </c>
      <c r="O109" t="s">
        <v>881</v>
      </c>
      <c r="P109" t="s">
        <v>882</v>
      </c>
      <c r="Q109" t="s">
        <v>32</v>
      </c>
      <c r="R109" t="s">
        <v>883</v>
      </c>
      <c r="S109" t="s">
        <v>884</v>
      </c>
      <c r="T109" t="s">
        <v>36</v>
      </c>
      <c r="U109" t="s">
        <v>885</v>
      </c>
      <c r="V109" t="s">
        <v>36</v>
      </c>
      <c r="W109" t="s">
        <v>886</v>
      </c>
      <c r="X109" t="s">
        <v>36</v>
      </c>
      <c r="Y109" t="s">
        <v>887</v>
      </c>
      <c r="Z109" t="s">
        <v>36</v>
      </c>
    </row>
    <row r="110">
      <c r="A110" t="s">
        <v>888</v>
      </c>
      <c r="B110" t="s">
        <v>53</v>
      </c>
      <c r="C110" t="s">
        <v>32</v>
      </c>
      <c r="D110" t="s">
        <v>41</v>
      </c>
      <c r="E110">
        <v>37873</v>
      </c>
      <c r="F110">
        <v>73066</v>
      </c>
      <c r="G110">
        <v>54800</v>
      </c>
      <c r="H110">
        <v>16927</v>
      </c>
      <c r="I110">
        <v>78912</v>
      </c>
      <c r="J110" t="str">
        <f>HYPERLINK("https://driffle.com/es/helldivers-2-latam-pc-steam-digital-key-p9967079","Abrir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889</v>
      </c>
      <c r="P110" t="s">
        <v>890</v>
      </c>
      <c r="Q110" t="s">
        <v>32</v>
      </c>
      <c r="R110" t="s">
        <v>891</v>
      </c>
      <c r="S110" t="s">
        <v>892</v>
      </c>
      <c r="T110" t="s">
        <v>893</v>
      </c>
      <c r="U110" t="s">
        <v>894</v>
      </c>
      <c r="V110" t="s">
        <v>895</v>
      </c>
      <c r="W110" t="s">
        <v>896</v>
      </c>
      <c r="X110" t="s">
        <v>897</v>
      </c>
      <c r="Y110" t="s">
        <v>898</v>
      </c>
      <c r="Z110" t="s">
        <v>899</v>
      </c>
    </row>
    <row r="111">
      <c r="A111" t="s">
        <v>888</v>
      </c>
      <c r="B111" t="s">
        <v>63</v>
      </c>
      <c r="C111" t="s">
        <v>28</v>
      </c>
      <c r="D111" t="s">
        <v>29</v>
      </c>
      <c r="E111">
        <v>33370</v>
      </c>
      <c r="F111">
        <v>73066</v>
      </c>
      <c r="G111">
        <v>48370</v>
      </c>
      <c r="H111">
        <v>15000</v>
      </c>
      <c r="I111">
        <v>69653</v>
      </c>
      <c r="J111" t="str">
        <f>HYPERLINK("https://www.kinguin.net/es/category/208502/helldivers-2-steam-account","Abrir compra")</f>
        <v>Abrir compra</v>
      </c>
      <c r="K111" t="str">
        <f>HYPERLINK("https://store.steampowered.com/app/553850/HELLDIVERS_2/","Abrir Steam")</f>
        <v>Abrir Steam</v>
      </c>
      <c r="L111" t="s">
        <v>42</v>
      </c>
      <c r="M111" t="s">
        <v>72</v>
      </c>
      <c r="N111" t="s">
        <v>32</v>
      </c>
      <c r="O111" t="s">
        <v>900</v>
      </c>
      <c r="P111" t="s">
        <v>901</v>
      </c>
      <c r="Q111" t="s">
        <v>32</v>
      </c>
      <c r="R111" t="s">
        <v>902</v>
      </c>
      <c r="S111" t="s">
        <v>903</v>
      </c>
      <c r="T111" t="s">
        <v>36</v>
      </c>
      <c r="U111" t="s">
        <v>904</v>
      </c>
      <c r="V111" t="s">
        <v>36</v>
      </c>
      <c r="W111" t="s">
        <v>905</v>
      </c>
      <c r="X111" t="s">
        <v>36</v>
      </c>
      <c r="Y111" t="s">
        <v>906</v>
      </c>
      <c r="Z111" t="s">
        <v>36</v>
      </c>
    </row>
    <row r="112">
      <c r="A112" t="s">
        <v>888</v>
      </c>
      <c r="B112" t="s">
        <v>907</v>
      </c>
      <c r="C112" t="s">
        <v>32</v>
      </c>
      <c r="D112" t="s">
        <v>41</v>
      </c>
      <c r="E112">
        <v>57465</v>
      </c>
      <c r="F112">
        <v>73066</v>
      </c>
      <c r="G112">
        <v>72465</v>
      </c>
      <c r="H112">
        <v>15000</v>
      </c>
      <c r="I112">
        <v>104350</v>
      </c>
      <c r="J112" t="str">
        <f>HYPERLINK("https://www.eneba.com/latam/steam-helldivers-2-super-citizen-edition-pc-steam-key-latam","Abrir compra")</f>
        <v>Abrir compra</v>
      </c>
      <c r="K112" t="str">
        <f>HYPERLINK("https://store.steampowered.com/app/553850/HELLDIVERS_2/","Abrir Steam")</f>
        <v>Abrir Steam</v>
      </c>
      <c r="L112" t="s">
        <v>194</v>
      </c>
      <c r="M112" t="s">
        <v>31</v>
      </c>
      <c r="N112" t="s">
        <v>32</v>
      </c>
      <c r="O112" t="s">
        <v>908</v>
      </c>
      <c r="P112" t="s">
        <v>909</v>
      </c>
      <c r="Q112" t="s">
        <v>32</v>
      </c>
      <c r="R112" t="s">
        <v>910</v>
      </c>
      <c r="S112" t="s">
        <v>324</v>
      </c>
      <c r="T112" t="s">
        <v>911</v>
      </c>
      <c r="U112" t="s">
        <v>912</v>
      </c>
      <c r="V112" t="s">
        <v>415</v>
      </c>
      <c r="W112" t="s">
        <v>913</v>
      </c>
      <c r="X112" t="s">
        <v>914</v>
      </c>
      <c r="Y112" t="s">
        <v>915</v>
      </c>
      <c r="Z112" t="s">
        <v>916</v>
      </c>
    </row>
    <row r="113">
      <c r="A113" t="s">
        <v>917</v>
      </c>
      <c r="B113" t="s">
        <v>27</v>
      </c>
      <c r="C113" t="s">
        <v>28</v>
      </c>
      <c r="D113" t="s">
        <v>29</v>
      </c>
      <c r="E113">
        <v>33812</v>
      </c>
      <c r="F113">
        <v>84028</v>
      </c>
      <c r="G113">
        <v>52296</v>
      </c>
      <c r="H113">
        <v>18484</v>
      </c>
      <c r="I113">
        <v>75306</v>
      </c>
      <c r="J113" t="str">
        <f>HYPERLINK("https://driffle.com/es/hitman-world-of-assassination-deluxe-edition-global-pc-steam-account-p9979540","Abrir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30</v>
      </c>
      <c r="M113" t="s">
        <v>86</v>
      </c>
      <c r="N113" t="s">
        <v>32</v>
      </c>
      <c r="O113" t="s">
        <v>918</v>
      </c>
      <c r="P113" t="s">
        <v>919</v>
      </c>
      <c r="Q113" t="s">
        <v>32</v>
      </c>
      <c r="R113" t="s">
        <v>920</v>
      </c>
      <c r="S113" t="s">
        <v>921</v>
      </c>
      <c r="T113" t="s">
        <v>36</v>
      </c>
      <c r="U113" t="s">
        <v>922</v>
      </c>
      <c r="V113" t="s">
        <v>36</v>
      </c>
      <c r="W113" t="s">
        <v>923</v>
      </c>
      <c r="X113" t="s">
        <v>36</v>
      </c>
      <c r="Y113" t="s">
        <v>924</v>
      </c>
      <c r="Z113" t="s">
        <v>36</v>
      </c>
    </row>
    <row r="114">
      <c r="A114" t="s">
        <v>925</v>
      </c>
      <c r="B114" t="s">
        <v>409</v>
      </c>
      <c r="C114" t="s">
        <v>32</v>
      </c>
      <c r="D114" t="s">
        <v>41</v>
      </c>
      <c r="E114">
        <v>11897</v>
      </c>
      <c r="F114">
        <v>73066</v>
      </c>
      <c r="G114">
        <v>44670</v>
      </c>
      <c r="H114">
        <v>32773</v>
      </c>
      <c r="I114">
        <v>64325</v>
      </c>
      <c r="J114" t="str">
        <f>HYPERLINK("https://www.eneba.com/latam/steam-hogwarts-legacy-deluxe-edition-pc-steam-key-latam","Abrir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194</v>
      </c>
      <c r="M114" t="s">
        <v>31</v>
      </c>
      <c r="N114" t="s">
        <v>32</v>
      </c>
      <c r="O114" t="s">
        <v>926</v>
      </c>
      <c r="P114" t="s">
        <v>927</v>
      </c>
      <c r="Q114" t="s">
        <v>32</v>
      </c>
      <c r="R114" t="s">
        <v>928</v>
      </c>
      <c r="S114" t="s">
        <v>929</v>
      </c>
      <c r="T114" t="s">
        <v>930</v>
      </c>
      <c r="U114" t="s">
        <v>931</v>
      </c>
      <c r="V114" t="s">
        <v>932</v>
      </c>
      <c r="W114" t="s">
        <v>933</v>
      </c>
      <c r="X114" t="s">
        <v>934</v>
      </c>
      <c r="Y114" t="s">
        <v>935</v>
      </c>
      <c r="Z114" t="s">
        <v>936</v>
      </c>
    </row>
    <row r="115">
      <c r="A115" t="s">
        <v>925</v>
      </c>
      <c r="B115" t="s">
        <v>27</v>
      </c>
      <c r="C115" t="s">
        <v>28</v>
      </c>
      <c r="D115" t="s">
        <v>29</v>
      </c>
      <c r="E115">
        <v>9670</v>
      </c>
      <c r="F115">
        <v>73066</v>
      </c>
      <c r="G115">
        <v>36670</v>
      </c>
      <c r="H115">
        <v>27000</v>
      </c>
      <c r="I115">
        <v>52805</v>
      </c>
      <c r="J115" t="str">
        <f>HYPERLINK("https://www.kinguin.net/es/category/148234/hogwarts-legacy-deluxe-edition-steam-account","Abrir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42</v>
      </c>
      <c r="M115" t="s">
        <v>86</v>
      </c>
      <c r="N115" t="s">
        <v>32</v>
      </c>
      <c r="O115" t="s">
        <v>937</v>
      </c>
      <c r="P115" t="s">
        <v>938</v>
      </c>
      <c r="Q115" t="s">
        <v>32</v>
      </c>
      <c r="R115" t="s">
        <v>939</v>
      </c>
      <c r="S115" t="s">
        <v>940</v>
      </c>
      <c r="T115" t="s">
        <v>36</v>
      </c>
      <c r="U115" t="s">
        <v>941</v>
      </c>
      <c r="V115" t="s">
        <v>36</v>
      </c>
      <c r="W115" t="s">
        <v>942</v>
      </c>
      <c r="X115" t="s">
        <v>36</v>
      </c>
      <c r="Y115" t="s">
        <v>943</v>
      </c>
      <c r="Z115" t="s">
        <v>36</v>
      </c>
    </row>
    <row r="116">
      <c r="A116" t="s">
        <v>925</v>
      </c>
      <c r="B116" t="s">
        <v>53</v>
      </c>
      <c r="C116" t="s">
        <v>32</v>
      </c>
      <c r="D116" t="s">
        <v>41</v>
      </c>
      <c r="E116">
        <v>7853</v>
      </c>
      <c r="F116">
        <v>54813</v>
      </c>
      <c r="G116">
        <v>37620</v>
      </c>
      <c r="H116">
        <v>29767</v>
      </c>
      <c r="I116">
        <v>54173</v>
      </c>
      <c r="J116" t="str">
        <f>HYPERLINK("https://www.eneba.com/latam/steam-hogwarts-legacy-pc-steam-key-latam","Abrir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194</v>
      </c>
      <c r="M116" t="s">
        <v>31</v>
      </c>
      <c r="N116" t="s">
        <v>32</v>
      </c>
      <c r="O116" t="s">
        <v>944</v>
      </c>
      <c r="P116" t="s">
        <v>945</v>
      </c>
      <c r="Q116" t="s">
        <v>32</v>
      </c>
      <c r="R116" t="s">
        <v>946</v>
      </c>
      <c r="S116" t="s">
        <v>947</v>
      </c>
      <c r="T116" t="s">
        <v>948</v>
      </c>
      <c r="U116" t="s">
        <v>949</v>
      </c>
      <c r="V116" t="s">
        <v>950</v>
      </c>
      <c r="W116" t="s">
        <v>951</v>
      </c>
      <c r="X116" t="s">
        <v>952</v>
      </c>
      <c r="Y116" t="s">
        <v>953</v>
      </c>
      <c r="Z116" t="s">
        <v>954</v>
      </c>
    </row>
    <row r="117">
      <c r="A117" t="s">
        <v>925</v>
      </c>
      <c r="B117" t="s">
        <v>63</v>
      </c>
      <c r="C117" t="s">
        <v>28</v>
      </c>
      <c r="D117" t="s">
        <v>29</v>
      </c>
      <c r="E117">
        <v>5609</v>
      </c>
      <c r="F117">
        <v>54813</v>
      </c>
      <c r="G117">
        <v>29620</v>
      </c>
      <c r="H117">
        <v>24011</v>
      </c>
      <c r="I117">
        <v>42653</v>
      </c>
      <c r="J117" t="str">
        <f>HYPERLINK("https://driffle.com/es/hogwarts-legacy-global-pc-steam-account-p9971523","Abrir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30</v>
      </c>
      <c r="M117" t="s">
        <v>86</v>
      </c>
      <c r="N117" t="s">
        <v>32</v>
      </c>
      <c r="O117" t="s">
        <v>955</v>
      </c>
      <c r="P117" t="s">
        <v>956</v>
      </c>
      <c r="Q117" t="s">
        <v>32</v>
      </c>
      <c r="R117" t="s">
        <v>957</v>
      </c>
      <c r="S117" t="s">
        <v>958</v>
      </c>
      <c r="T117" t="s">
        <v>36</v>
      </c>
      <c r="U117" t="s">
        <v>959</v>
      </c>
      <c r="V117" t="s">
        <v>36</v>
      </c>
      <c r="W117" t="s">
        <v>960</v>
      </c>
      <c r="X117" t="s">
        <v>36</v>
      </c>
      <c r="Y117" t="s">
        <v>961</v>
      </c>
      <c r="Z117" t="s">
        <v>36</v>
      </c>
    </row>
    <row r="118">
      <c r="A118" t="s">
        <v>962</v>
      </c>
      <c r="B118" t="s">
        <v>963</v>
      </c>
      <c r="C118" t="s">
        <v>32</v>
      </c>
      <c r="D118" t="s">
        <v>41</v>
      </c>
      <c r="E118">
        <v>90676</v>
      </c>
      <c r="F118">
        <v>103231</v>
      </c>
      <c r="G118">
        <v>105676</v>
      </c>
      <c r="H118">
        <v>15000</v>
      </c>
      <c r="I118">
        <v>152173</v>
      </c>
      <c r="J118" t="str">
        <f>HYPERLINK("https://www.loaded.com/es_es/invincible-vs-deluxe-edition-pc-steam","Abrir compra")</f>
        <v>Abrir compra</v>
      </c>
      <c r="K118" t="str">
        <f>HYPERLINK("https://store.steampowered.com/app/2353060/Invincible_VS/","Abrir Steam")</f>
        <v>Abrir Steam</v>
      </c>
      <c r="L118" t="s">
        <v>96</v>
      </c>
      <c r="M118" t="s">
        <v>72</v>
      </c>
      <c r="N118" t="s">
        <v>32</v>
      </c>
      <c r="O118" t="s">
        <v>964</v>
      </c>
      <c r="P118" t="s">
        <v>965</v>
      </c>
      <c r="Q118" t="s">
        <v>32</v>
      </c>
      <c r="R118" t="s">
        <v>966</v>
      </c>
      <c r="S118" t="s">
        <v>36</v>
      </c>
      <c r="T118" t="s">
        <v>36</v>
      </c>
      <c r="U118" t="s">
        <v>36</v>
      </c>
      <c r="V118" t="s">
        <v>967</v>
      </c>
      <c r="W118" t="s">
        <v>36</v>
      </c>
      <c r="X118" t="s">
        <v>36</v>
      </c>
      <c r="Y118" t="s">
        <v>36</v>
      </c>
      <c r="Z118" t="s">
        <v>968</v>
      </c>
    </row>
    <row r="119">
      <c r="A119" t="s">
        <v>962</v>
      </c>
      <c r="B119" t="s">
        <v>27</v>
      </c>
      <c r="C119" t="s">
        <v>28</v>
      </c>
      <c r="D119" t="s">
        <v>29</v>
      </c>
      <c r="E119">
        <v>47937</v>
      </c>
      <c r="F119">
        <v>103231</v>
      </c>
      <c r="G119">
        <v>65435</v>
      </c>
      <c r="H119">
        <v>17498</v>
      </c>
      <c r="I119">
        <v>94226</v>
      </c>
      <c r="J119" t="str">
        <f>HYPERLINK("https://www.kinguin.net/es/category/440609/invincible-vs-deluxe-edition-pc-steam-account","Abrir compra")</f>
        <v>Abrir compra</v>
      </c>
      <c r="K119" t="str">
        <f>HYPERLINK("https://store.steampowered.com/app/2353060/Invincible_VS/","Abrir Steam")</f>
        <v>Abrir Steam</v>
      </c>
      <c r="L119" t="s">
        <v>42</v>
      </c>
      <c r="M119" t="s">
        <v>86</v>
      </c>
      <c r="N119" t="s">
        <v>32</v>
      </c>
      <c r="O119" t="s">
        <v>969</v>
      </c>
      <c r="P119" t="s">
        <v>970</v>
      </c>
      <c r="Q119" t="s">
        <v>32</v>
      </c>
      <c r="R119" t="s">
        <v>971</v>
      </c>
      <c r="S119" t="s">
        <v>972</v>
      </c>
      <c r="T119" t="s">
        <v>36</v>
      </c>
      <c r="U119" t="s">
        <v>973</v>
      </c>
      <c r="V119" t="s">
        <v>36</v>
      </c>
      <c r="W119" t="s">
        <v>974</v>
      </c>
      <c r="X119" t="s">
        <v>36</v>
      </c>
      <c r="Y119" t="s">
        <v>975</v>
      </c>
      <c r="Z119" t="s">
        <v>36</v>
      </c>
    </row>
    <row r="120">
      <c r="A120" t="s">
        <v>962</v>
      </c>
      <c r="B120" t="s">
        <v>53</v>
      </c>
      <c r="C120" t="s">
        <v>32</v>
      </c>
      <c r="D120" t="s">
        <v>41</v>
      </c>
      <c r="E120">
        <v>67450</v>
      </c>
      <c r="F120">
        <v>68516</v>
      </c>
      <c r="G120">
        <v>82672</v>
      </c>
      <c r="H120">
        <v>15222</v>
      </c>
      <c r="I120">
        <v>119048</v>
      </c>
      <c r="J120" t="str">
        <f>HYPERLINK("https://www.loaded.com/es_es/invincible-vs-pc-steam","Abrir compra")</f>
        <v>Abrir compra</v>
      </c>
      <c r="K120" t="str">
        <f>HYPERLINK("https://store.steampowered.com/app/2353060/Invincible_VS/","Abrir Steam")</f>
        <v>Abrir Steam</v>
      </c>
      <c r="L120" t="s">
        <v>96</v>
      </c>
      <c r="M120" t="s">
        <v>72</v>
      </c>
      <c r="N120" t="s">
        <v>32</v>
      </c>
      <c r="O120" t="s">
        <v>976</v>
      </c>
      <c r="P120" t="s">
        <v>977</v>
      </c>
      <c r="Q120" t="s">
        <v>32</v>
      </c>
      <c r="R120" t="s">
        <v>978</v>
      </c>
      <c r="S120" t="s">
        <v>36</v>
      </c>
      <c r="T120" t="s">
        <v>36</v>
      </c>
      <c r="U120" t="s">
        <v>36</v>
      </c>
      <c r="V120" t="s">
        <v>979</v>
      </c>
      <c r="W120" t="s">
        <v>36</v>
      </c>
      <c r="X120" t="s">
        <v>980</v>
      </c>
      <c r="Y120" t="s">
        <v>36</v>
      </c>
      <c r="Z120" t="s">
        <v>981</v>
      </c>
    </row>
    <row r="121">
      <c r="A121" t="s">
        <v>962</v>
      </c>
      <c r="B121" t="s">
        <v>63</v>
      </c>
      <c r="C121" t="s">
        <v>28</v>
      </c>
      <c r="D121" t="s">
        <v>29</v>
      </c>
      <c r="E121">
        <v>22262</v>
      </c>
      <c r="F121">
        <v>68516</v>
      </c>
      <c r="G121">
        <v>41626</v>
      </c>
      <c r="H121">
        <v>19364</v>
      </c>
      <c r="I121">
        <v>59941</v>
      </c>
      <c r="J121" t="str">
        <f>HYPERLINK("https://driffle.com/es/invincible-vs-global-pc-steam-account-p9994202","Abrir compra")</f>
        <v>Abrir compra</v>
      </c>
      <c r="K121" t="str">
        <f>HYPERLINK("https://store.steampowered.com/app/2353060/Invincible_VS/","Abrir Steam")</f>
        <v>Abrir Steam</v>
      </c>
      <c r="L121" t="s">
        <v>30</v>
      </c>
      <c r="M121" t="s">
        <v>86</v>
      </c>
      <c r="N121" t="s">
        <v>32</v>
      </c>
      <c r="O121" t="s">
        <v>982</v>
      </c>
      <c r="P121" t="s">
        <v>983</v>
      </c>
      <c r="Q121" t="s">
        <v>32</v>
      </c>
      <c r="R121" t="s">
        <v>984</v>
      </c>
      <c r="S121" t="s">
        <v>985</v>
      </c>
      <c r="T121" t="s">
        <v>36</v>
      </c>
      <c r="U121" t="s">
        <v>986</v>
      </c>
      <c r="V121" t="s">
        <v>36</v>
      </c>
      <c r="W121" t="s">
        <v>987</v>
      </c>
      <c r="X121" t="s">
        <v>36</v>
      </c>
      <c r="Y121" t="s">
        <v>988</v>
      </c>
      <c r="Z121" t="s">
        <v>36</v>
      </c>
    </row>
    <row r="122">
      <c r="A122" t="s">
        <v>989</v>
      </c>
      <c r="B122" t="s">
        <v>53</v>
      </c>
      <c r="C122" t="s">
        <v>32</v>
      </c>
      <c r="D122" t="s">
        <v>41</v>
      </c>
      <c r="E122">
        <v>68477</v>
      </c>
      <c r="F122">
        <v>73066</v>
      </c>
      <c r="G122">
        <v>85901</v>
      </c>
      <c r="H122">
        <v>17424</v>
      </c>
      <c r="I122">
        <v>123697</v>
      </c>
      <c r="J122" t="str">
        <f>HYPERLINK("https://driffle.com/es/it-takes-two-steam-altergift-p53426","Abrir compra")</f>
        <v>Abrir compra</v>
      </c>
      <c r="K122" t="str">
        <f>HYPERLINK("https://store.steampowered.com/app/1426210/It_Takes_Two/?curator_clanid=4777282","Abrir Steam")</f>
        <v>Abrir Steam</v>
      </c>
      <c r="L122" t="s">
        <v>30</v>
      </c>
      <c r="M122" t="s">
        <v>86</v>
      </c>
      <c r="N122" t="s">
        <v>32</v>
      </c>
      <c r="O122" t="s">
        <v>990</v>
      </c>
      <c r="P122" t="s">
        <v>991</v>
      </c>
      <c r="Q122" t="s">
        <v>32</v>
      </c>
      <c r="R122" t="s">
        <v>992</v>
      </c>
      <c r="S122" t="s">
        <v>36</v>
      </c>
      <c r="T122" t="s">
        <v>993</v>
      </c>
      <c r="U122" t="s">
        <v>994</v>
      </c>
      <c r="V122" t="s">
        <v>36</v>
      </c>
      <c r="W122" t="s">
        <v>995</v>
      </c>
      <c r="X122" t="s">
        <v>996</v>
      </c>
      <c r="Y122" t="s">
        <v>997</v>
      </c>
      <c r="Z122" t="s">
        <v>36</v>
      </c>
    </row>
    <row r="123">
      <c r="A123" t="s">
        <v>989</v>
      </c>
      <c r="B123" t="s">
        <v>63</v>
      </c>
      <c r="C123" t="s">
        <v>28</v>
      </c>
      <c r="D123" t="s">
        <v>29</v>
      </c>
      <c r="E123">
        <v>9512</v>
      </c>
      <c r="F123">
        <v>73066</v>
      </c>
      <c r="G123">
        <v>36512</v>
      </c>
      <c r="H123">
        <v>27000</v>
      </c>
      <c r="I123">
        <v>52577</v>
      </c>
      <c r="J123" t="str">
        <f>HYPERLINK("https://driffle.com/es/it-takes-two-global-pc-steam-account-p9945671","Abrir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30</v>
      </c>
      <c r="M123" t="s">
        <v>86</v>
      </c>
      <c r="N123" t="s">
        <v>32</v>
      </c>
      <c r="O123" t="s">
        <v>998</v>
      </c>
      <c r="P123" t="s">
        <v>999</v>
      </c>
      <c r="Q123" t="s">
        <v>32</v>
      </c>
      <c r="R123" t="s">
        <v>1000</v>
      </c>
      <c r="S123" t="s">
        <v>1001</v>
      </c>
      <c r="T123" t="s">
        <v>36</v>
      </c>
      <c r="U123" t="s">
        <v>1002</v>
      </c>
      <c r="V123" t="s">
        <v>36</v>
      </c>
      <c r="W123" t="s">
        <v>1003</v>
      </c>
      <c r="X123" t="s">
        <v>36</v>
      </c>
      <c r="Y123" t="s">
        <v>1004</v>
      </c>
      <c r="Z123" t="s">
        <v>36</v>
      </c>
    </row>
    <row r="124">
      <c r="A124" t="s">
        <v>1005</v>
      </c>
      <c r="B124" t="s">
        <v>409</v>
      </c>
      <c r="C124" t="s">
        <v>32</v>
      </c>
      <c r="D124" t="s">
        <v>41</v>
      </c>
      <c r="E124">
        <v>78036</v>
      </c>
      <c r="F124">
        <v>146150</v>
      </c>
      <c r="G124">
        <v>109021</v>
      </c>
      <c r="H124">
        <v>30985</v>
      </c>
      <c r="I124">
        <v>156990</v>
      </c>
      <c r="J124" t="str">
        <f>HYPERLINK("https://www.loaded.com/es_es/lego-batman-legacy-of-the-dark-knight-deluxe-edition-pc-latam-steam","Abrir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96</v>
      </c>
      <c r="M124" t="s">
        <v>31</v>
      </c>
      <c r="N124" t="s">
        <v>32</v>
      </c>
      <c r="O124" t="s">
        <v>1006</v>
      </c>
      <c r="P124" t="s">
        <v>1007</v>
      </c>
      <c r="Q124" t="s">
        <v>32</v>
      </c>
      <c r="R124" t="s">
        <v>1008</v>
      </c>
      <c r="S124" t="s">
        <v>36</v>
      </c>
      <c r="T124" t="s">
        <v>1009</v>
      </c>
      <c r="U124" t="s">
        <v>1010</v>
      </c>
      <c r="V124" t="s">
        <v>1011</v>
      </c>
      <c r="W124" t="s">
        <v>1012</v>
      </c>
      <c r="X124" t="s">
        <v>1013</v>
      </c>
      <c r="Y124" t="s">
        <v>1014</v>
      </c>
      <c r="Z124" t="s">
        <v>1015</v>
      </c>
    </row>
    <row r="125">
      <c r="A125" t="s">
        <v>1005</v>
      </c>
      <c r="B125" t="s">
        <v>27</v>
      </c>
      <c r="C125" t="s">
        <v>28</v>
      </c>
      <c r="D125" t="s">
        <v>29</v>
      </c>
      <c r="E125">
        <v>79506</v>
      </c>
      <c r="F125">
        <v>146150</v>
      </c>
      <c r="G125">
        <v>94801</v>
      </c>
      <c r="H125">
        <v>15295</v>
      </c>
      <c r="I125">
        <v>136513</v>
      </c>
      <c r="J125" t="str">
        <f>HYPERLINK("https://www.kinguin.net/es/category/439223/lego-batman-legacy-of-the-dark-knight-deluxe-edition-pc-steam-account","Abrir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42</v>
      </c>
      <c r="M125" t="s">
        <v>72</v>
      </c>
      <c r="N125" t="s">
        <v>32</v>
      </c>
      <c r="O125" t="s">
        <v>1016</v>
      </c>
      <c r="P125" t="s">
        <v>1017</v>
      </c>
      <c r="Q125" t="s">
        <v>32</v>
      </c>
      <c r="R125" t="s">
        <v>1018</v>
      </c>
      <c r="S125" t="s">
        <v>781</v>
      </c>
      <c r="T125" t="s">
        <v>36</v>
      </c>
      <c r="U125" t="s">
        <v>36</v>
      </c>
      <c r="V125" t="s">
        <v>36</v>
      </c>
      <c r="W125" t="s">
        <v>1019</v>
      </c>
      <c r="X125" t="s">
        <v>36</v>
      </c>
      <c r="Y125" t="s">
        <v>36</v>
      </c>
      <c r="Z125" t="s">
        <v>36</v>
      </c>
    </row>
    <row r="126">
      <c r="A126" t="s">
        <v>1005</v>
      </c>
      <c r="B126" t="s">
        <v>53</v>
      </c>
      <c r="C126" t="s">
        <v>32</v>
      </c>
      <c r="D126" t="s">
        <v>41</v>
      </c>
      <c r="E126">
        <v>59076</v>
      </c>
      <c r="F126">
        <v>109608</v>
      </c>
      <c r="G126">
        <v>79491</v>
      </c>
      <c r="H126">
        <v>20415</v>
      </c>
      <c r="I126">
        <v>114467</v>
      </c>
      <c r="J126" t="str">
        <f>HYPERLINK("https://www.loaded.com/es_es/lego-batman-legacy-of-the-dark-knight-pc-latam-steam","Abrir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96</v>
      </c>
      <c r="M126" t="s">
        <v>31</v>
      </c>
      <c r="N126" t="s">
        <v>32</v>
      </c>
      <c r="O126" t="s">
        <v>1020</v>
      </c>
      <c r="P126" t="s">
        <v>1021</v>
      </c>
      <c r="Q126" t="s">
        <v>32</v>
      </c>
      <c r="R126" t="s">
        <v>1022</v>
      </c>
      <c r="S126" t="s">
        <v>36</v>
      </c>
      <c r="T126" t="s">
        <v>1023</v>
      </c>
      <c r="U126" t="s">
        <v>1024</v>
      </c>
      <c r="V126" t="s">
        <v>415</v>
      </c>
      <c r="W126" t="s">
        <v>1025</v>
      </c>
      <c r="X126" t="s">
        <v>1026</v>
      </c>
      <c r="Y126" t="s">
        <v>1027</v>
      </c>
      <c r="Z126" t="s">
        <v>1028</v>
      </c>
    </row>
    <row r="127">
      <c r="A127" t="s">
        <v>1005</v>
      </c>
      <c r="B127" t="s">
        <v>63</v>
      </c>
      <c r="C127" t="s">
        <v>28</v>
      </c>
      <c r="D127" t="s">
        <v>29</v>
      </c>
      <c r="E127">
        <v>50939</v>
      </c>
      <c r="F127">
        <v>109608</v>
      </c>
      <c r="G127">
        <v>69123</v>
      </c>
      <c r="H127">
        <v>18184</v>
      </c>
      <c r="I127">
        <v>99537</v>
      </c>
      <c r="J127" t="str">
        <f>HYPERLINK("https://www.kinguin.net/es/category/439222/lego-batman-legacy-of-the-dark-knight-pc-steam-account","Abrir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42</v>
      </c>
      <c r="M127" t="s">
        <v>72</v>
      </c>
      <c r="N127" t="s">
        <v>32</v>
      </c>
      <c r="O127" t="s">
        <v>1029</v>
      </c>
      <c r="P127" t="s">
        <v>1030</v>
      </c>
      <c r="Q127" t="s">
        <v>32</v>
      </c>
      <c r="R127" t="s">
        <v>1031</v>
      </c>
      <c r="S127" t="s">
        <v>1032</v>
      </c>
      <c r="T127" t="s">
        <v>36</v>
      </c>
      <c r="U127" t="s">
        <v>36</v>
      </c>
      <c r="V127" t="s">
        <v>36</v>
      </c>
      <c r="W127" t="s">
        <v>1033</v>
      </c>
      <c r="X127" t="s">
        <v>36</v>
      </c>
      <c r="Y127" t="s">
        <v>36</v>
      </c>
      <c r="Z127" t="s">
        <v>36</v>
      </c>
    </row>
    <row r="128">
      <c r="A128" t="s">
        <v>1034</v>
      </c>
      <c r="B128" t="s">
        <v>963</v>
      </c>
      <c r="C128" t="s">
        <v>32</v>
      </c>
      <c r="D128" t="s">
        <v>41</v>
      </c>
      <c r="E128">
        <v>126669</v>
      </c>
      <c r="F128">
        <v>155285</v>
      </c>
      <c r="G128">
        <v>141669</v>
      </c>
      <c r="H128">
        <v>15000</v>
      </c>
      <c r="I128">
        <v>204003</v>
      </c>
      <c r="J128" t="str">
        <f>HYPERLINK("https://www.kinguin.net/es/category/509287/marvel-tokon-fighting-souls-deluxe-edition-pre-order-pc-steam-cd-key","Abrir compra")</f>
        <v>Abrir compra</v>
      </c>
      <c r="K128" t="str">
        <f>HYPERLINK("https://store.steampowered.com/app/3787240/MARVEL_Tkon_Fighting_Souls/?curator_clanid=4777282","Abrir Steam")</f>
        <v>Abrir Steam</v>
      </c>
      <c r="L128" t="s">
        <v>42</v>
      </c>
      <c r="M128" t="s">
        <v>709</v>
      </c>
      <c r="N128" t="s">
        <v>32</v>
      </c>
      <c r="O128" t="s">
        <v>1035</v>
      </c>
      <c r="P128" t="s">
        <v>1036</v>
      </c>
      <c r="Q128" t="s">
        <v>32</v>
      </c>
      <c r="R128" t="s">
        <v>1037</v>
      </c>
      <c r="S128" t="s">
        <v>1038</v>
      </c>
      <c r="T128" t="s">
        <v>36</v>
      </c>
      <c r="U128" t="s">
        <v>36</v>
      </c>
      <c r="V128" t="s">
        <v>36</v>
      </c>
      <c r="W128" t="s">
        <v>1039</v>
      </c>
      <c r="X128" t="s">
        <v>36</v>
      </c>
      <c r="Y128" t="s">
        <v>36</v>
      </c>
      <c r="Z128" t="s">
        <v>36</v>
      </c>
    </row>
    <row r="129">
      <c r="A129" t="s">
        <v>1034</v>
      </c>
      <c r="B129" t="s">
        <v>1040</v>
      </c>
      <c r="C129" t="s">
        <v>32</v>
      </c>
      <c r="D129" t="s">
        <v>41</v>
      </c>
      <c r="E129">
        <v>148994</v>
      </c>
      <c r="F129">
        <v>182692</v>
      </c>
      <c r="G129">
        <v>163994</v>
      </c>
      <c r="H129">
        <v>15000</v>
      </c>
      <c r="I129">
        <v>236151</v>
      </c>
      <c r="J129" t="str">
        <f>HYPERLINK("https://www.kinguin.net/es/category/509291/marvel-tokon-fighting-souls-ultimate-edition-pre-order-pc-steam-cd-key","Abrir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42</v>
      </c>
      <c r="M129" t="s">
        <v>709</v>
      </c>
      <c r="N129" t="s">
        <v>32</v>
      </c>
      <c r="O129" t="s">
        <v>1041</v>
      </c>
      <c r="P129" t="s">
        <v>1042</v>
      </c>
      <c r="Q129" t="s">
        <v>32</v>
      </c>
      <c r="R129" t="s">
        <v>1043</v>
      </c>
      <c r="S129" t="s">
        <v>1044</v>
      </c>
      <c r="T129" t="s">
        <v>36</v>
      </c>
      <c r="U129" t="s">
        <v>36</v>
      </c>
      <c r="V129" t="s">
        <v>36</v>
      </c>
      <c r="W129" t="s">
        <v>1045</v>
      </c>
      <c r="X129" t="s">
        <v>36</v>
      </c>
      <c r="Y129" t="s">
        <v>36</v>
      </c>
      <c r="Z129" t="s">
        <v>36</v>
      </c>
    </row>
    <row r="130">
      <c r="A130" t="s">
        <v>1046</v>
      </c>
      <c r="B130" t="s">
        <v>409</v>
      </c>
      <c r="C130" t="s">
        <v>32</v>
      </c>
      <c r="D130" t="s">
        <v>41</v>
      </c>
      <c r="E130">
        <v>11945</v>
      </c>
      <c r="F130">
        <v>82220</v>
      </c>
      <c r="G130">
        <v>38945</v>
      </c>
      <c r="H130">
        <v>27000</v>
      </c>
      <c r="I130">
        <v>56081</v>
      </c>
      <c r="J130" t="str">
        <f>HYPERLINK("https://www.eneba.com/latam/steam-marvel-vs-capcom-infinite-deluxe-edition-pc-steam-key-latam","Abrir compra")</f>
        <v>Abrir compra</v>
      </c>
      <c r="K130" t="str">
        <f>HYPERLINK("https://store.steampowered.com/app/493840/Marvel_vs_Capcom_Infinite/","Abrir Steam")</f>
        <v>Abrir Steam</v>
      </c>
      <c r="L130" t="s">
        <v>194</v>
      </c>
      <c r="M130" t="s">
        <v>31</v>
      </c>
      <c r="N130" t="s">
        <v>32</v>
      </c>
      <c r="O130" t="s">
        <v>1047</v>
      </c>
      <c r="P130" t="s">
        <v>1048</v>
      </c>
      <c r="Q130" t="s">
        <v>32</v>
      </c>
      <c r="R130" t="s">
        <v>1049</v>
      </c>
      <c r="S130" t="s">
        <v>36</v>
      </c>
      <c r="T130" t="s">
        <v>1050</v>
      </c>
      <c r="U130" t="s">
        <v>1051</v>
      </c>
      <c r="V130" t="s">
        <v>1052</v>
      </c>
      <c r="W130" t="s">
        <v>1053</v>
      </c>
      <c r="X130" t="s">
        <v>1054</v>
      </c>
      <c r="Y130" t="s">
        <v>1055</v>
      </c>
      <c r="Z130" t="s">
        <v>1056</v>
      </c>
    </row>
    <row r="131">
      <c r="A131" t="s">
        <v>1046</v>
      </c>
      <c r="B131" t="s">
        <v>53</v>
      </c>
      <c r="C131" t="s">
        <v>32</v>
      </c>
      <c r="D131" t="s">
        <v>41</v>
      </c>
      <c r="E131">
        <v>6573</v>
      </c>
      <c r="F131">
        <v>52986</v>
      </c>
      <c r="G131">
        <v>34665</v>
      </c>
      <c r="H131">
        <v>28092</v>
      </c>
      <c r="I131">
        <v>49918</v>
      </c>
      <c r="J131" t="str">
        <f>HYPERLINK("https://www.eneba.com/latam/steam-marvel-vs-capcom-infinite-steam-key-latam","Abrir compra")</f>
        <v>Abrir compra</v>
      </c>
      <c r="K131" t="str">
        <f>HYPERLINK("https://store.steampowered.com/app/493840/Marvel_vs_Capcom_Infinite/","Abrir Steam")</f>
        <v>Abrir Steam</v>
      </c>
      <c r="L131" t="s">
        <v>194</v>
      </c>
      <c r="M131" t="s">
        <v>31</v>
      </c>
      <c r="N131" t="s">
        <v>32</v>
      </c>
      <c r="O131" t="s">
        <v>1057</v>
      </c>
      <c r="P131" t="s">
        <v>1058</v>
      </c>
      <c r="Q131" t="s">
        <v>32</v>
      </c>
      <c r="R131" t="s">
        <v>1059</v>
      </c>
      <c r="S131" t="s">
        <v>36</v>
      </c>
      <c r="T131" t="s">
        <v>1060</v>
      </c>
      <c r="U131" t="s">
        <v>1061</v>
      </c>
      <c r="V131" t="s">
        <v>36</v>
      </c>
      <c r="W131" t="s">
        <v>1062</v>
      </c>
      <c r="X131" t="s">
        <v>1063</v>
      </c>
      <c r="Y131" t="s">
        <v>1064</v>
      </c>
      <c r="Z131" t="s">
        <v>36</v>
      </c>
    </row>
    <row r="132">
      <c r="A132" t="s">
        <v>1065</v>
      </c>
      <c r="B132" t="s">
        <v>53</v>
      </c>
      <c r="C132" t="s">
        <v>32</v>
      </c>
      <c r="D132" t="s">
        <v>41</v>
      </c>
      <c r="E132">
        <v>49059</v>
      </c>
      <c r="F132">
        <v>91337</v>
      </c>
      <c r="G132">
        <v>68503</v>
      </c>
      <c r="H132">
        <v>19444</v>
      </c>
      <c r="I132">
        <v>98644</v>
      </c>
      <c r="J132" t="str">
        <f>HYPERLINK("https://driffle.com/es/marvels-spider-man-2-latam-pc-steam-digital-key-p9930167","Abrir compra")</f>
        <v>Abrir compra</v>
      </c>
      <c r="K132" t="str">
        <f>HYPERLINK("https://store.steampowered.com/app/2651280/Marvels_SpiderMan_2/","Abrir Steam")</f>
        <v>Abrir Steam</v>
      </c>
      <c r="L132" t="s">
        <v>30</v>
      </c>
      <c r="M132" t="s">
        <v>31</v>
      </c>
      <c r="N132" t="s">
        <v>32</v>
      </c>
      <c r="O132" t="s">
        <v>1066</v>
      </c>
      <c r="P132" t="s">
        <v>1067</v>
      </c>
      <c r="Q132" t="s">
        <v>32</v>
      </c>
      <c r="R132" t="s">
        <v>1068</v>
      </c>
      <c r="S132" t="s">
        <v>36</v>
      </c>
      <c r="T132" t="s">
        <v>1069</v>
      </c>
      <c r="U132" t="s">
        <v>1070</v>
      </c>
      <c r="V132" t="s">
        <v>36</v>
      </c>
      <c r="W132" t="s">
        <v>1071</v>
      </c>
      <c r="X132" t="s">
        <v>1072</v>
      </c>
      <c r="Y132" t="s">
        <v>1073</v>
      </c>
      <c r="Z132" t="s">
        <v>36</v>
      </c>
    </row>
    <row r="133">
      <c r="A133" t="s">
        <v>1065</v>
      </c>
      <c r="B133" t="s">
        <v>63</v>
      </c>
      <c r="C133" t="s">
        <v>28</v>
      </c>
      <c r="D133" t="s">
        <v>29</v>
      </c>
      <c r="E133">
        <v>51950</v>
      </c>
      <c r="F133">
        <v>91337</v>
      </c>
      <c r="G133">
        <v>66950</v>
      </c>
      <c r="H133">
        <v>15000</v>
      </c>
      <c r="I133">
        <v>96408</v>
      </c>
      <c r="J133" t="str">
        <f>HYPERLINK("https://driffle.com/es/marvels-spider-man-2-global-pc-steam-account-p9979525","Abrir compra")</f>
        <v>Abrir compra</v>
      </c>
      <c r="K133" t="str">
        <f>HYPERLINK("https://store.steampowered.com/app/2651280/Marvels_SpiderMan_2/","Abrir Steam")</f>
        <v>Abrir Steam</v>
      </c>
      <c r="L133" t="s">
        <v>30</v>
      </c>
      <c r="M133" t="s">
        <v>31</v>
      </c>
      <c r="N133" t="s">
        <v>32</v>
      </c>
      <c r="O133" t="s">
        <v>1074</v>
      </c>
      <c r="P133" t="s">
        <v>1075</v>
      </c>
      <c r="Q133" t="s">
        <v>32</v>
      </c>
      <c r="R133" t="s">
        <v>1076</v>
      </c>
      <c r="S133" t="s">
        <v>36</v>
      </c>
      <c r="T133" t="s">
        <v>36</v>
      </c>
      <c r="U133" t="s">
        <v>1077</v>
      </c>
      <c r="V133" t="s">
        <v>36</v>
      </c>
      <c r="W133" t="s">
        <v>1078</v>
      </c>
      <c r="X133" t="s">
        <v>36</v>
      </c>
      <c r="Y133" t="s">
        <v>1079</v>
      </c>
      <c r="Z133" t="s">
        <v>36</v>
      </c>
    </row>
    <row r="134">
      <c r="A134" t="s">
        <v>1080</v>
      </c>
      <c r="B134" t="s">
        <v>53</v>
      </c>
      <c r="C134" t="s">
        <v>32</v>
      </c>
      <c r="D134" t="s">
        <v>41</v>
      </c>
      <c r="E134">
        <v>27034</v>
      </c>
      <c r="F134">
        <v>109608</v>
      </c>
      <c r="G134">
        <v>54034</v>
      </c>
      <c r="H134">
        <v>27000</v>
      </c>
      <c r="I134">
        <v>77809</v>
      </c>
      <c r="J134" t="str">
        <f>HYPERLINK("https://www.eneba.com/latam/steam-marvels-spider-man-remastered-pc-steam-key-latam","Abrir compra")</f>
        <v>Abrir compra</v>
      </c>
      <c r="K134" t="str">
        <f>HYPERLINK("https://store.steampowered.com/app/1817070/Marvels_SpiderMan_Remastered/","Abrir Steam")</f>
        <v>Abrir Steam</v>
      </c>
      <c r="L134" t="s">
        <v>194</v>
      </c>
      <c r="M134" t="s">
        <v>31</v>
      </c>
      <c r="N134" t="s">
        <v>32</v>
      </c>
      <c r="O134" t="s">
        <v>1081</v>
      </c>
      <c r="P134" t="s">
        <v>1082</v>
      </c>
      <c r="Q134" t="s">
        <v>32</v>
      </c>
      <c r="R134" t="s">
        <v>1083</v>
      </c>
      <c r="S134" t="s">
        <v>36</v>
      </c>
      <c r="T134" t="s">
        <v>1084</v>
      </c>
      <c r="U134" t="s">
        <v>1085</v>
      </c>
      <c r="V134" t="s">
        <v>36</v>
      </c>
      <c r="W134" t="s">
        <v>1086</v>
      </c>
      <c r="X134" t="s">
        <v>1087</v>
      </c>
      <c r="Y134" t="s">
        <v>1088</v>
      </c>
      <c r="Z134" t="s">
        <v>1089</v>
      </c>
    </row>
    <row r="135">
      <c r="A135" t="s">
        <v>1090</v>
      </c>
      <c r="B135" t="s">
        <v>53</v>
      </c>
      <c r="C135" t="s">
        <v>32</v>
      </c>
      <c r="D135" t="s">
        <v>41</v>
      </c>
      <c r="E135">
        <v>22468</v>
      </c>
      <c r="F135">
        <v>91337</v>
      </c>
      <c r="G135">
        <v>49468</v>
      </c>
      <c r="H135">
        <v>27000</v>
      </c>
      <c r="I135">
        <v>71234</v>
      </c>
      <c r="J135" t="str">
        <f>HYPERLINK("https://www.eneba.com/latam/steam-marvels-spider-man-miles-morales-pc-steam-key-latam","Abrir compra")</f>
        <v>Abrir compra</v>
      </c>
      <c r="K135" t="str">
        <f>HYPERLINK("https://store.steampowered.com/app/1817190/Marvels_SpiderMan_Miles_Morales/","Abrir Steam")</f>
        <v>Abrir Steam</v>
      </c>
      <c r="L135" t="s">
        <v>194</v>
      </c>
      <c r="M135" t="s">
        <v>31</v>
      </c>
      <c r="N135" t="s">
        <v>32</v>
      </c>
      <c r="O135" t="s">
        <v>1091</v>
      </c>
      <c r="P135" t="s">
        <v>1092</v>
      </c>
      <c r="Q135" t="s">
        <v>32</v>
      </c>
      <c r="R135" t="s">
        <v>1093</v>
      </c>
      <c r="S135" t="s">
        <v>36</v>
      </c>
      <c r="T135" t="s">
        <v>1094</v>
      </c>
      <c r="U135" t="s">
        <v>1095</v>
      </c>
      <c r="V135" t="s">
        <v>36</v>
      </c>
      <c r="W135" t="s">
        <v>1096</v>
      </c>
      <c r="X135" t="s">
        <v>1097</v>
      </c>
      <c r="Y135" t="s">
        <v>1098</v>
      </c>
      <c r="Z135" t="s">
        <v>1099</v>
      </c>
    </row>
    <row r="136">
      <c r="A136" t="s">
        <v>1100</v>
      </c>
      <c r="B136" t="s">
        <v>1101</v>
      </c>
      <c r="C136" t="s">
        <v>32</v>
      </c>
      <c r="D136" t="s">
        <v>41</v>
      </c>
      <c r="E136">
        <v>292284</v>
      </c>
      <c r="F136">
        <v>365402</v>
      </c>
      <c r="G136">
        <v>327284</v>
      </c>
      <c r="H136">
        <v>35000</v>
      </c>
      <c r="I136">
        <v>471289</v>
      </c>
      <c r="J136" t="str">
        <f>HYPERLINK("https://www.loaded.com/es_es/microsoft-flight-simulator-2024-aviator-edition-pc-steam","Abrir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96</v>
      </c>
      <c r="M136" t="s">
        <v>86</v>
      </c>
      <c r="N136" t="s">
        <v>32</v>
      </c>
      <c r="O136" t="s">
        <v>1102</v>
      </c>
      <c r="P136" t="s">
        <v>1103</v>
      </c>
      <c r="Q136" t="s">
        <v>32</v>
      </c>
      <c r="R136" t="s">
        <v>1104</v>
      </c>
      <c r="S136" t="s">
        <v>36</v>
      </c>
      <c r="T136" t="s">
        <v>36</v>
      </c>
      <c r="U136" t="s">
        <v>36</v>
      </c>
      <c r="V136" t="s">
        <v>1105</v>
      </c>
      <c r="W136" t="s">
        <v>36</v>
      </c>
      <c r="X136" t="s">
        <v>36</v>
      </c>
      <c r="Y136" t="s">
        <v>36</v>
      </c>
      <c r="Z136" t="s">
        <v>1106</v>
      </c>
    </row>
    <row r="137">
      <c r="A137" t="s">
        <v>1100</v>
      </c>
      <c r="B137" t="s">
        <v>1107</v>
      </c>
      <c r="C137" t="s">
        <v>28</v>
      </c>
      <c r="D137" t="s">
        <v>29</v>
      </c>
      <c r="E137">
        <v>309870</v>
      </c>
      <c r="F137">
        <v>365402</v>
      </c>
      <c r="G137">
        <v>324870</v>
      </c>
      <c r="H137">
        <v>15000</v>
      </c>
      <c r="I137">
        <v>467813</v>
      </c>
      <c r="J137" t="str">
        <f>HYPERLINK("https://www.kinguin.net/es/category/274088/microsoft-flight-simulator-2024-aviator-edition-pc-steam-account","Abrir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42</v>
      </c>
      <c r="M137" t="s">
        <v>86</v>
      </c>
      <c r="N137" t="s">
        <v>32</v>
      </c>
      <c r="O137" t="s">
        <v>1108</v>
      </c>
      <c r="P137" t="s">
        <v>1109</v>
      </c>
      <c r="Q137" t="s">
        <v>32</v>
      </c>
      <c r="R137" t="s">
        <v>1110</v>
      </c>
      <c r="S137" t="s">
        <v>1111</v>
      </c>
      <c r="T137" t="s">
        <v>36</v>
      </c>
      <c r="U137" t="s">
        <v>36</v>
      </c>
      <c r="V137" t="s">
        <v>36</v>
      </c>
      <c r="W137" t="s">
        <v>1112</v>
      </c>
      <c r="X137" t="s">
        <v>36</v>
      </c>
      <c r="Y137" t="s">
        <v>36</v>
      </c>
      <c r="Z137" t="s">
        <v>36</v>
      </c>
    </row>
    <row r="138">
      <c r="A138" t="s">
        <v>1100</v>
      </c>
      <c r="B138" t="s">
        <v>963</v>
      </c>
      <c r="C138" t="s">
        <v>32</v>
      </c>
      <c r="D138" t="s">
        <v>41</v>
      </c>
      <c r="E138">
        <v>145344</v>
      </c>
      <c r="F138">
        <v>182692</v>
      </c>
      <c r="G138">
        <v>180344</v>
      </c>
      <c r="H138">
        <v>35000</v>
      </c>
      <c r="I138">
        <v>259695</v>
      </c>
      <c r="J138" t="str">
        <f>HYPERLINK("https://www.loaded.com/es_es/microsoft-flight-simulator-2024-deluxe-edition-pc-steam","Abrir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96</v>
      </c>
      <c r="M138" t="s">
        <v>86</v>
      </c>
      <c r="N138" t="s">
        <v>32</v>
      </c>
      <c r="O138" t="s">
        <v>1113</v>
      </c>
      <c r="P138" t="s">
        <v>1114</v>
      </c>
      <c r="Q138" t="s">
        <v>32</v>
      </c>
      <c r="R138" t="s">
        <v>1115</v>
      </c>
      <c r="S138" t="s">
        <v>36</v>
      </c>
      <c r="T138" t="s">
        <v>36</v>
      </c>
      <c r="U138" t="s">
        <v>36</v>
      </c>
      <c r="V138" t="s">
        <v>1116</v>
      </c>
      <c r="W138" t="s">
        <v>36</v>
      </c>
      <c r="X138" t="s">
        <v>36</v>
      </c>
      <c r="Y138" t="s">
        <v>36</v>
      </c>
      <c r="Z138" t="s">
        <v>1117</v>
      </c>
    </row>
    <row r="139">
      <c r="A139" t="s">
        <v>1100</v>
      </c>
      <c r="B139" t="s">
        <v>27</v>
      </c>
      <c r="C139" t="s">
        <v>28</v>
      </c>
      <c r="D139" t="s">
        <v>29</v>
      </c>
      <c r="E139">
        <v>153987</v>
      </c>
      <c r="F139">
        <v>182692</v>
      </c>
      <c r="G139">
        <v>168987</v>
      </c>
      <c r="H139">
        <v>15000</v>
      </c>
      <c r="I139">
        <v>243341</v>
      </c>
      <c r="J139" t="str">
        <f>HYPERLINK("https://www.kinguin.net/es/category/274086/microsoft-flight-simulator-2024-deluxe-edition-pc-steam-account","Abrir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42</v>
      </c>
      <c r="M139" t="s">
        <v>86</v>
      </c>
      <c r="N139" t="s">
        <v>32</v>
      </c>
      <c r="O139" t="s">
        <v>1118</v>
      </c>
      <c r="P139" t="s">
        <v>1119</v>
      </c>
      <c r="Q139" t="s">
        <v>32</v>
      </c>
      <c r="R139" t="s">
        <v>1120</v>
      </c>
      <c r="S139" t="s">
        <v>1121</v>
      </c>
      <c r="T139" t="s">
        <v>36</v>
      </c>
      <c r="U139" t="s">
        <v>36</v>
      </c>
      <c r="V139" t="s">
        <v>36</v>
      </c>
      <c r="W139" t="s">
        <v>1122</v>
      </c>
      <c r="X139" t="s">
        <v>36</v>
      </c>
      <c r="Y139" t="s">
        <v>1123</v>
      </c>
      <c r="Z139" t="s">
        <v>36</v>
      </c>
    </row>
    <row r="140">
      <c r="A140" t="s">
        <v>1100</v>
      </c>
      <c r="B140" t="s">
        <v>27</v>
      </c>
      <c r="C140" t="s">
        <v>28</v>
      </c>
      <c r="D140" t="s">
        <v>29</v>
      </c>
      <c r="E140">
        <v>197705</v>
      </c>
      <c r="F140">
        <v>182692</v>
      </c>
      <c r="G140">
        <v>212705</v>
      </c>
      <c r="H140">
        <v>15000</v>
      </c>
      <c r="I140">
        <v>306295</v>
      </c>
      <c r="J140" t="str">
        <f>HYPERLINK("https://www.kinguin.net/es/category/274118/microsoft-flight-simulator-2024-premium-deluxe-edition-pc-steam-account","Abrir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42</v>
      </c>
      <c r="M140" t="s">
        <v>86</v>
      </c>
      <c r="N140" t="s">
        <v>32</v>
      </c>
      <c r="O140" t="s">
        <v>1124</v>
      </c>
      <c r="P140" t="s">
        <v>1125</v>
      </c>
      <c r="Q140" t="s">
        <v>32</v>
      </c>
      <c r="R140" t="s">
        <v>1126</v>
      </c>
      <c r="S140" t="s">
        <v>1127</v>
      </c>
      <c r="T140" t="s">
        <v>36</v>
      </c>
      <c r="U140" t="s">
        <v>36</v>
      </c>
      <c r="V140" t="s">
        <v>36</v>
      </c>
      <c r="W140" t="s">
        <v>1128</v>
      </c>
      <c r="X140" t="s">
        <v>36</v>
      </c>
      <c r="Y140" t="s">
        <v>1129</v>
      </c>
      <c r="Z140" t="s">
        <v>36</v>
      </c>
    </row>
    <row r="141">
      <c r="A141" t="s">
        <v>1100</v>
      </c>
      <c r="B141" t="s">
        <v>1130</v>
      </c>
      <c r="C141" t="s">
        <v>32</v>
      </c>
      <c r="D141" t="s">
        <v>41</v>
      </c>
      <c r="E141">
        <v>101104</v>
      </c>
      <c r="F141">
        <v>127879</v>
      </c>
      <c r="G141">
        <v>116180</v>
      </c>
      <c r="H141">
        <v>15076</v>
      </c>
      <c r="I141">
        <v>167299</v>
      </c>
      <c r="J141" t="str">
        <f>HYPERLINK("https://www.loaded.com/es_es/microsoft-flight-simulator-2024-pc-steam","Abrir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96</v>
      </c>
      <c r="M141" t="s">
        <v>86</v>
      </c>
      <c r="N141" t="s">
        <v>32</v>
      </c>
      <c r="O141" t="s">
        <v>1131</v>
      </c>
      <c r="P141" t="s">
        <v>1132</v>
      </c>
      <c r="Q141" t="s">
        <v>32</v>
      </c>
      <c r="R141" t="s">
        <v>1133</v>
      </c>
      <c r="S141" t="s">
        <v>36</v>
      </c>
      <c r="T141" t="s">
        <v>36</v>
      </c>
      <c r="U141" t="s">
        <v>36</v>
      </c>
      <c r="V141" t="s">
        <v>1134</v>
      </c>
      <c r="W141" t="s">
        <v>36</v>
      </c>
      <c r="X141" t="s">
        <v>36</v>
      </c>
      <c r="Y141" t="s">
        <v>36</v>
      </c>
      <c r="Z141" t="s">
        <v>1135</v>
      </c>
    </row>
    <row r="142">
      <c r="A142" t="s">
        <v>1100</v>
      </c>
      <c r="B142" t="s">
        <v>63</v>
      </c>
      <c r="C142" t="s">
        <v>28</v>
      </c>
      <c r="D142" t="s">
        <v>29</v>
      </c>
      <c r="E142">
        <v>81212</v>
      </c>
      <c r="F142">
        <v>127879</v>
      </c>
      <c r="G142">
        <v>96212</v>
      </c>
      <c r="H142">
        <v>15000</v>
      </c>
      <c r="I142">
        <v>138545</v>
      </c>
      <c r="J142" t="str">
        <f>HYPERLINK("https://driffle.com/es/microsoft-flight-simulator-2024-global-pc-steam-account-p9971540","Abrir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30</v>
      </c>
      <c r="M142" t="s">
        <v>31</v>
      </c>
      <c r="N142" t="s">
        <v>32</v>
      </c>
      <c r="O142" t="s">
        <v>1136</v>
      </c>
      <c r="P142" t="s">
        <v>1137</v>
      </c>
      <c r="Q142" t="s">
        <v>32</v>
      </c>
      <c r="R142" t="s">
        <v>1138</v>
      </c>
      <c r="S142" t="s">
        <v>115</v>
      </c>
      <c r="T142" t="s">
        <v>36</v>
      </c>
      <c r="U142" t="s">
        <v>1139</v>
      </c>
      <c r="V142" t="s">
        <v>36</v>
      </c>
      <c r="W142" t="s">
        <v>1140</v>
      </c>
      <c r="X142" t="s">
        <v>36</v>
      </c>
      <c r="Y142" t="s">
        <v>1141</v>
      </c>
      <c r="Z142" t="s">
        <v>36</v>
      </c>
    </row>
    <row r="143">
      <c r="A143" t="s">
        <v>1100</v>
      </c>
      <c r="B143" t="s">
        <v>1142</v>
      </c>
      <c r="C143" t="s">
        <v>32</v>
      </c>
      <c r="D143" t="s">
        <v>41</v>
      </c>
      <c r="E143">
        <v>189584</v>
      </c>
      <c r="F143">
        <v>237505</v>
      </c>
      <c r="G143">
        <v>204584</v>
      </c>
      <c r="H143">
        <v>15000</v>
      </c>
      <c r="I143">
        <v>294601</v>
      </c>
      <c r="J143" t="str">
        <f>HYPERLINK("https://www.loaded.com/es_es/microsoft-flight-simulator-2024-premium-deluxe-edition-pc-steam","Abrir compra")</f>
        <v>Abrir compra</v>
      </c>
      <c r="K143" t="str">
        <f>HYPERLINK("https://store.steampowered.com/app/2537590/Microsoft_Flight_Simulator_2024/","Abrir Steam")</f>
        <v>Abrir Steam</v>
      </c>
      <c r="L143" t="s">
        <v>96</v>
      </c>
      <c r="M143" t="s">
        <v>86</v>
      </c>
      <c r="N143" t="s">
        <v>32</v>
      </c>
      <c r="O143" t="s">
        <v>1143</v>
      </c>
      <c r="P143" t="s">
        <v>1144</v>
      </c>
      <c r="Q143" t="s">
        <v>32</v>
      </c>
      <c r="R143" t="s">
        <v>1145</v>
      </c>
      <c r="S143" t="s">
        <v>36</v>
      </c>
      <c r="T143" t="s">
        <v>36</v>
      </c>
      <c r="U143" t="s">
        <v>36</v>
      </c>
      <c r="V143" t="s">
        <v>1146</v>
      </c>
      <c r="W143" t="s">
        <v>36</v>
      </c>
      <c r="X143" t="s">
        <v>36</v>
      </c>
      <c r="Y143" t="s">
        <v>36</v>
      </c>
      <c r="Z143" t="s">
        <v>1147</v>
      </c>
    </row>
    <row r="144">
      <c r="A144" t="s">
        <v>1148</v>
      </c>
      <c r="B144" t="s">
        <v>409</v>
      </c>
      <c r="C144" t="s">
        <v>32</v>
      </c>
      <c r="D144" t="s">
        <v>41</v>
      </c>
      <c r="E144">
        <v>41380</v>
      </c>
      <c r="F144">
        <v>123311</v>
      </c>
      <c r="G144">
        <v>76380</v>
      </c>
      <c r="H144">
        <v>35000</v>
      </c>
      <c r="I144">
        <v>109987</v>
      </c>
      <c r="J144" t="str">
        <f>HYPERLINK("https://www.eneba.com/latam/steam-monster-hunter-wilds-deluxe-edition-pc-steam-key-latam","Abrir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194</v>
      </c>
      <c r="M144" t="s">
        <v>31</v>
      </c>
      <c r="N144" t="s">
        <v>32</v>
      </c>
      <c r="O144" t="s">
        <v>1149</v>
      </c>
      <c r="P144" t="s">
        <v>1150</v>
      </c>
      <c r="Q144" t="s">
        <v>32</v>
      </c>
      <c r="R144" t="s">
        <v>1151</v>
      </c>
      <c r="S144" t="s">
        <v>1152</v>
      </c>
      <c r="T144" t="s">
        <v>1153</v>
      </c>
      <c r="U144" t="s">
        <v>1154</v>
      </c>
      <c r="V144" t="s">
        <v>36</v>
      </c>
      <c r="W144" t="s">
        <v>1155</v>
      </c>
      <c r="X144" t="s">
        <v>1156</v>
      </c>
      <c r="Y144" t="s">
        <v>1157</v>
      </c>
      <c r="Z144" t="s">
        <v>36</v>
      </c>
    </row>
    <row r="145">
      <c r="A145" t="s">
        <v>1148</v>
      </c>
      <c r="B145" t="s">
        <v>27</v>
      </c>
      <c r="C145" t="s">
        <v>28</v>
      </c>
      <c r="D145" t="s">
        <v>29</v>
      </c>
      <c r="E145">
        <v>53783</v>
      </c>
      <c r="F145">
        <v>123311</v>
      </c>
      <c r="G145">
        <v>75604</v>
      </c>
      <c r="H145">
        <v>21821</v>
      </c>
      <c r="I145">
        <v>108870</v>
      </c>
      <c r="J145" t="str">
        <f>HYPERLINK("https://www.kinguin.net/es/category/273383/monster-hunter-wilds-deluxe-edition-pc-steam-account","Abrir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42</v>
      </c>
      <c r="M145" t="s">
        <v>86</v>
      </c>
      <c r="N145" t="s">
        <v>32</v>
      </c>
      <c r="O145" t="s">
        <v>1158</v>
      </c>
      <c r="P145" t="s">
        <v>1159</v>
      </c>
      <c r="Q145" t="s">
        <v>32</v>
      </c>
      <c r="R145" t="s">
        <v>1160</v>
      </c>
      <c r="S145" t="s">
        <v>1161</v>
      </c>
      <c r="T145" t="s">
        <v>36</v>
      </c>
      <c r="U145" t="s">
        <v>36</v>
      </c>
      <c r="V145" t="s">
        <v>36</v>
      </c>
      <c r="W145" t="s">
        <v>1162</v>
      </c>
      <c r="X145" t="s">
        <v>36</v>
      </c>
      <c r="Y145" t="s">
        <v>36</v>
      </c>
      <c r="Z145" t="s">
        <v>36</v>
      </c>
    </row>
    <row r="146">
      <c r="A146" t="s">
        <v>1148</v>
      </c>
      <c r="B146" t="s">
        <v>27</v>
      </c>
      <c r="C146" t="s">
        <v>28</v>
      </c>
      <c r="D146" t="s">
        <v>29</v>
      </c>
      <c r="E146">
        <v>66613</v>
      </c>
      <c r="F146">
        <v>123311</v>
      </c>
      <c r="G146">
        <v>81613</v>
      </c>
      <c r="H146">
        <v>15000</v>
      </c>
      <c r="I146">
        <v>117523</v>
      </c>
      <c r="J146" t="str">
        <f>HYPERLINK("https://www.kinguin.net/es/category/273379/monster-hunter-wilds-premium-deluxe-edition-pc-steam-account","Abrir compra")</f>
        <v>Abrir compra</v>
      </c>
      <c r="K146" t="str">
        <f>HYPERLINK("https://store.steampowered.com/app/2246340/Monster_Hunter_Wilds/?curator_clanid=4777282","Abrir Steam")</f>
        <v>Abrir Steam</v>
      </c>
      <c r="L146" t="s">
        <v>42</v>
      </c>
      <c r="M146" t="s">
        <v>86</v>
      </c>
      <c r="N146" t="s">
        <v>32</v>
      </c>
      <c r="O146" t="s">
        <v>1163</v>
      </c>
      <c r="P146" t="s">
        <v>1164</v>
      </c>
      <c r="Q146" t="s">
        <v>32</v>
      </c>
      <c r="R146" t="s">
        <v>1165</v>
      </c>
      <c r="S146" t="s">
        <v>1166</v>
      </c>
      <c r="T146" t="s">
        <v>36</v>
      </c>
      <c r="U146" t="s">
        <v>36</v>
      </c>
      <c r="V146" t="s">
        <v>36</v>
      </c>
      <c r="W146" t="s">
        <v>1167</v>
      </c>
      <c r="X146" t="s">
        <v>36</v>
      </c>
      <c r="Y146" t="s">
        <v>36</v>
      </c>
      <c r="Z146" t="s">
        <v>36</v>
      </c>
    </row>
    <row r="147">
      <c r="A147" t="s">
        <v>1148</v>
      </c>
      <c r="B147" t="s">
        <v>53</v>
      </c>
      <c r="C147" t="s">
        <v>32</v>
      </c>
      <c r="D147" t="s">
        <v>41</v>
      </c>
      <c r="E147">
        <v>31884</v>
      </c>
      <c r="F147">
        <v>95904</v>
      </c>
      <c r="G147">
        <v>64633</v>
      </c>
      <c r="H147">
        <v>32749</v>
      </c>
      <c r="I147">
        <v>93072</v>
      </c>
      <c r="J147" t="str">
        <f>HYPERLINK("https://www.eneba.com/latam/steam-monster-hunter-wilds-pc-steam-key-latam","Abrir compra")</f>
        <v>Abrir compra</v>
      </c>
      <c r="K147" t="str">
        <f>HYPERLINK("https://store.steampowered.com/app/2246340/Monster_Hunter_Wilds/?curator_clanid=4777282","Abrir Steam")</f>
        <v>Abrir Steam</v>
      </c>
      <c r="L147" t="s">
        <v>194</v>
      </c>
      <c r="M147" t="s">
        <v>31</v>
      </c>
      <c r="N147" t="s">
        <v>32</v>
      </c>
      <c r="O147" t="s">
        <v>1168</v>
      </c>
      <c r="P147" t="s">
        <v>1169</v>
      </c>
      <c r="Q147" t="s">
        <v>32</v>
      </c>
      <c r="R147" t="s">
        <v>1170</v>
      </c>
      <c r="S147" t="s">
        <v>1171</v>
      </c>
      <c r="T147" t="s">
        <v>1172</v>
      </c>
      <c r="U147" t="s">
        <v>1173</v>
      </c>
      <c r="V147" t="s">
        <v>36</v>
      </c>
      <c r="W147" t="s">
        <v>1174</v>
      </c>
      <c r="X147" t="s">
        <v>1175</v>
      </c>
      <c r="Y147" t="s">
        <v>1176</v>
      </c>
      <c r="Z147" t="s">
        <v>36</v>
      </c>
    </row>
    <row r="148">
      <c r="A148" t="s">
        <v>1148</v>
      </c>
      <c r="B148" t="s">
        <v>63</v>
      </c>
      <c r="C148" t="s">
        <v>28</v>
      </c>
      <c r="D148" t="s">
        <v>29</v>
      </c>
      <c r="E148">
        <v>31679</v>
      </c>
      <c r="F148">
        <v>95904</v>
      </c>
      <c r="G148">
        <v>56074</v>
      </c>
      <c r="H148">
        <v>24395</v>
      </c>
      <c r="I148">
        <v>80747</v>
      </c>
      <c r="J148" t="str">
        <f>HYPERLINK("https://driffle.com/es/monster-hunter-wilds-global-pc-steam-account-p9979523","Abrir compra")</f>
        <v>Abrir compra</v>
      </c>
      <c r="K148" t="str">
        <f>HYPERLINK("https://store.steampowered.com/app/2246340/Monster_Hunter_Wilds/?curator_clanid=4777282","Abrir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1180</v>
      </c>
      <c r="T148" t="s">
        <v>36</v>
      </c>
      <c r="U148" t="s">
        <v>1181</v>
      </c>
      <c r="V148" t="s">
        <v>36</v>
      </c>
      <c r="W148" t="s">
        <v>1182</v>
      </c>
      <c r="X148" t="s">
        <v>36</v>
      </c>
      <c r="Y148" t="s">
        <v>1183</v>
      </c>
      <c r="Z148" t="s">
        <v>36</v>
      </c>
    </row>
    <row r="149">
      <c r="A149" t="s">
        <v>1148</v>
      </c>
      <c r="B149" t="s">
        <v>1184</v>
      </c>
      <c r="C149" t="s">
        <v>32</v>
      </c>
      <c r="D149" t="s">
        <v>41</v>
      </c>
      <c r="E149">
        <v>24111</v>
      </c>
      <c r="F149">
        <v>150900</v>
      </c>
      <c r="G149">
        <v>51111</v>
      </c>
      <c r="H149">
        <v>27000</v>
      </c>
      <c r="I149">
        <v>73600</v>
      </c>
      <c r="J149" t="str">
        <f>HYPERLINK("https://www.kinguin.net/es/category/330068/monster-hunter-wilds-premium-deluxe-edition-latam-pc-steam-cd-key","Abrir compra")</f>
        <v>Abrir compra</v>
      </c>
      <c r="K149" t="str">
        <f>HYPERLINK("https://store.steampowered.com/app/2246340/Monster_Hunter_Wilds/?curator_clanid=4777282","Abrir Steam")</f>
        <v>Abrir Steam</v>
      </c>
      <c r="L149" t="s">
        <v>42</v>
      </c>
      <c r="M149" t="s">
        <v>31</v>
      </c>
      <c r="N149" t="s">
        <v>32</v>
      </c>
      <c r="O149" t="s">
        <v>1185</v>
      </c>
      <c r="P149" t="s">
        <v>1186</v>
      </c>
      <c r="Q149" t="s">
        <v>32</v>
      </c>
      <c r="R149" t="s">
        <v>1187</v>
      </c>
      <c r="S149" t="s">
        <v>429</v>
      </c>
      <c r="T149" t="s">
        <v>1188</v>
      </c>
      <c r="U149" t="s">
        <v>36</v>
      </c>
      <c r="V149" t="s">
        <v>36</v>
      </c>
      <c r="W149" t="s">
        <v>1189</v>
      </c>
      <c r="X149" t="s">
        <v>1190</v>
      </c>
      <c r="Y149" t="s">
        <v>36</v>
      </c>
      <c r="Z149" t="s">
        <v>36</v>
      </c>
    </row>
    <row r="150">
      <c r="A150" t="s">
        <v>1191</v>
      </c>
      <c r="B150" t="s">
        <v>1192</v>
      </c>
      <c r="C150" t="s">
        <v>32</v>
      </c>
      <c r="D150" t="s">
        <v>41</v>
      </c>
      <c r="E150">
        <v>20635</v>
      </c>
      <c r="F150">
        <v>109608</v>
      </c>
      <c r="G150">
        <v>55635</v>
      </c>
      <c r="H150">
        <v>35000</v>
      </c>
      <c r="I150">
        <v>80114</v>
      </c>
      <c r="J150" t="str">
        <f>HYPERLINK("https://www.kinguin.net/es/category/451660/mortal-kombat-1-definitive-edition-latam-pc-steam-cd-key","Abrir compra")</f>
        <v>Abrir compra</v>
      </c>
      <c r="K150" t="str">
        <f>HYPERLINK("https://store.steampowered.com/app/1971870/Mortal_Kombat_1/?curator_clanid=4777282","Abrir Steam")</f>
        <v>Abrir Steam</v>
      </c>
      <c r="L150" t="s">
        <v>42</v>
      </c>
      <c r="M150" t="s">
        <v>31</v>
      </c>
      <c r="N150" t="s">
        <v>32</v>
      </c>
      <c r="O150" t="s">
        <v>1193</v>
      </c>
      <c r="P150" t="s">
        <v>1194</v>
      </c>
      <c r="Q150" t="s">
        <v>32</v>
      </c>
      <c r="R150" t="s">
        <v>1195</v>
      </c>
      <c r="S150" t="s">
        <v>1196</v>
      </c>
      <c r="T150" t="s">
        <v>1197</v>
      </c>
      <c r="U150" t="s">
        <v>1198</v>
      </c>
      <c r="V150" t="s">
        <v>1199</v>
      </c>
      <c r="W150" t="s">
        <v>1200</v>
      </c>
      <c r="X150" t="s">
        <v>1201</v>
      </c>
      <c r="Y150" t="s">
        <v>1202</v>
      </c>
      <c r="Z150" t="s">
        <v>1203</v>
      </c>
    </row>
    <row r="151">
      <c r="A151" t="s">
        <v>1191</v>
      </c>
      <c r="B151" t="s">
        <v>1204</v>
      </c>
      <c r="C151" t="s">
        <v>28</v>
      </c>
      <c r="D151" t="s">
        <v>29</v>
      </c>
      <c r="E151">
        <v>52266</v>
      </c>
      <c r="F151">
        <v>109608</v>
      </c>
      <c r="G151">
        <v>69653</v>
      </c>
      <c r="H151">
        <v>17387</v>
      </c>
      <c r="I151">
        <v>100300</v>
      </c>
      <c r="J151" t="str">
        <f>HYPERLINK("https://www.kinguin.net/es/category/405683/mortal-kombat-1-definitive-edition-pc-steam-account","Abrir compra")</f>
        <v>Abrir compra</v>
      </c>
      <c r="K151" t="str">
        <f>HYPERLINK("https://store.steampowered.com/app/1971870/Mortal_Kombat_1/?curator_clanid=4777282","Abrir Steam")</f>
        <v>Abrir Steam</v>
      </c>
      <c r="L151" t="s">
        <v>42</v>
      </c>
      <c r="M151" t="s">
        <v>72</v>
      </c>
      <c r="N151" t="s">
        <v>32</v>
      </c>
      <c r="O151" t="s">
        <v>1205</v>
      </c>
      <c r="P151" t="s">
        <v>1206</v>
      </c>
      <c r="Q151" t="s">
        <v>32</v>
      </c>
      <c r="R151" t="s">
        <v>1207</v>
      </c>
      <c r="S151" t="s">
        <v>1208</v>
      </c>
      <c r="T151" t="s">
        <v>36</v>
      </c>
      <c r="U151" t="s">
        <v>36</v>
      </c>
      <c r="V151" t="s">
        <v>36</v>
      </c>
      <c r="W151" t="s">
        <v>1209</v>
      </c>
      <c r="X151" t="s">
        <v>36</v>
      </c>
      <c r="Y151" t="s">
        <v>36</v>
      </c>
      <c r="Z151" t="s">
        <v>36</v>
      </c>
    </row>
    <row r="152">
      <c r="A152" t="s">
        <v>1191</v>
      </c>
      <c r="B152" t="s">
        <v>53</v>
      </c>
      <c r="C152" t="s">
        <v>32</v>
      </c>
      <c r="D152" t="s">
        <v>41</v>
      </c>
      <c r="E152">
        <v>12498</v>
      </c>
      <c r="F152">
        <v>73066</v>
      </c>
      <c r="G152">
        <v>47498</v>
      </c>
      <c r="H152">
        <v>35000</v>
      </c>
      <c r="I152">
        <v>68397</v>
      </c>
      <c r="J152" t="str">
        <f>HYPERLINK("https://www.eneba.com/latam/steam-mortal-kombat-1-pc-steam-key-latam","Abrir compra")</f>
        <v>Abrir compra</v>
      </c>
      <c r="K152" t="str">
        <f>HYPERLINK("https://store.steampowered.com/app/1971870/Mortal_Kombat_1/?curator_clanid=4777282","Abrir Steam")</f>
        <v>Abrir Steam</v>
      </c>
      <c r="L152" t="s">
        <v>194</v>
      </c>
      <c r="M152" t="s">
        <v>31</v>
      </c>
      <c r="N152" t="s">
        <v>32</v>
      </c>
      <c r="O152" t="s">
        <v>1210</v>
      </c>
      <c r="P152" t="s">
        <v>1211</v>
      </c>
      <c r="Q152" t="s">
        <v>32</v>
      </c>
      <c r="R152" t="s">
        <v>1212</v>
      </c>
      <c r="S152" t="s">
        <v>1213</v>
      </c>
      <c r="T152" t="s">
        <v>1214</v>
      </c>
      <c r="U152" t="s">
        <v>1215</v>
      </c>
      <c r="V152" t="s">
        <v>36</v>
      </c>
      <c r="W152" t="s">
        <v>1216</v>
      </c>
      <c r="X152" t="s">
        <v>1217</v>
      </c>
      <c r="Y152" t="s">
        <v>1218</v>
      </c>
      <c r="Z152" t="s">
        <v>1219</v>
      </c>
    </row>
    <row r="153">
      <c r="A153" t="s">
        <v>1191</v>
      </c>
      <c r="B153" t="s">
        <v>63</v>
      </c>
      <c r="C153" t="s">
        <v>28</v>
      </c>
      <c r="D153" t="s">
        <v>29</v>
      </c>
      <c r="E153">
        <v>14852</v>
      </c>
      <c r="F153">
        <v>73066</v>
      </c>
      <c r="G153">
        <v>40437</v>
      </c>
      <c r="H153">
        <v>25585</v>
      </c>
      <c r="I153">
        <v>58229</v>
      </c>
      <c r="J153" t="str">
        <f>HYPERLINK("https://www.kinguin.net/es/category/185707/mortal-kombat-1-steam-account","Abrir compra")</f>
        <v>Abrir compra</v>
      </c>
      <c r="K153" t="str">
        <f>HYPERLINK("https://store.steampowered.com/app/1971870/Mortal_Kombat_1/?curator_clanid=4777282","Abrir Steam")</f>
        <v>Abrir Steam</v>
      </c>
      <c r="L153" t="s">
        <v>42</v>
      </c>
      <c r="M153" t="s">
        <v>72</v>
      </c>
      <c r="N153" t="s">
        <v>32</v>
      </c>
      <c r="O153" t="s">
        <v>1220</v>
      </c>
      <c r="P153" t="s">
        <v>1221</v>
      </c>
      <c r="Q153" t="s">
        <v>32</v>
      </c>
      <c r="R153" t="s">
        <v>1222</v>
      </c>
      <c r="S153" t="s">
        <v>1223</v>
      </c>
      <c r="T153" t="s">
        <v>36</v>
      </c>
      <c r="U153" t="s">
        <v>36</v>
      </c>
      <c r="V153" t="s">
        <v>36</v>
      </c>
      <c r="W153" t="s">
        <v>1224</v>
      </c>
      <c r="X153" t="s">
        <v>36</v>
      </c>
      <c r="Y153" t="s">
        <v>36</v>
      </c>
      <c r="Z153" t="s">
        <v>36</v>
      </c>
    </row>
    <row r="154">
      <c r="A154" t="s">
        <v>1225</v>
      </c>
      <c r="B154" t="s">
        <v>53</v>
      </c>
      <c r="C154" t="s">
        <v>32</v>
      </c>
      <c r="D154" t="s">
        <v>41</v>
      </c>
      <c r="E154">
        <v>13730</v>
      </c>
      <c r="F154">
        <v>146150</v>
      </c>
      <c r="G154">
        <v>44369</v>
      </c>
      <c r="H154">
        <v>30639</v>
      </c>
      <c r="I154">
        <v>63891</v>
      </c>
      <c r="J154" t="str">
        <f>HYPERLINK("https://www.loaded.com/es_es/nba-2k26-standard-edition-pc-steam","Abrir compra")</f>
        <v>Abrir compra</v>
      </c>
      <c r="K154" t="str">
        <f>HYPERLINK("https://store.steampowered.com/app/3472040/NBA_2K26/","Abrir Steam")</f>
        <v>Abrir Steam</v>
      </c>
      <c r="L154" t="s">
        <v>96</v>
      </c>
      <c r="M154" t="s">
        <v>72</v>
      </c>
      <c r="N154" t="s">
        <v>32</v>
      </c>
      <c r="O154" t="s">
        <v>1226</v>
      </c>
      <c r="P154" t="s">
        <v>1227</v>
      </c>
      <c r="Q154" t="s">
        <v>32</v>
      </c>
      <c r="R154" t="s">
        <v>1228</v>
      </c>
      <c r="S154" t="s">
        <v>36</v>
      </c>
      <c r="T154" t="s">
        <v>1229</v>
      </c>
      <c r="U154" t="s">
        <v>1230</v>
      </c>
      <c r="V154" t="s">
        <v>1052</v>
      </c>
      <c r="W154" t="s">
        <v>1231</v>
      </c>
      <c r="X154" t="s">
        <v>1232</v>
      </c>
      <c r="Y154" t="s">
        <v>1233</v>
      </c>
      <c r="Z154" t="s">
        <v>1234</v>
      </c>
    </row>
    <row r="155">
      <c r="A155" t="s">
        <v>1225</v>
      </c>
      <c r="B155" t="s">
        <v>63</v>
      </c>
      <c r="C155" t="s">
        <v>28</v>
      </c>
      <c r="D155" t="s">
        <v>29</v>
      </c>
      <c r="E155">
        <v>9369</v>
      </c>
      <c r="F155">
        <v>146150</v>
      </c>
      <c r="G155">
        <v>36369</v>
      </c>
      <c r="H155">
        <v>27000</v>
      </c>
      <c r="I155">
        <v>52371</v>
      </c>
      <c r="J155" t="str">
        <f>HYPERLINK("https://www.kinguin.net/es/category/371701/nba-2k26-standard-edition-pc-steam-account","Abrir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42</v>
      </c>
      <c r="M155" t="s">
        <v>72</v>
      </c>
      <c r="N155" t="s">
        <v>32</v>
      </c>
      <c r="O155" t="s">
        <v>1235</v>
      </c>
      <c r="P155" t="s">
        <v>1236</v>
      </c>
      <c r="Q155" t="s">
        <v>32</v>
      </c>
      <c r="R155" t="s">
        <v>1237</v>
      </c>
      <c r="S155" t="s">
        <v>1238</v>
      </c>
      <c r="T155" t="s">
        <v>36</v>
      </c>
      <c r="U155" t="s">
        <v>1239</v>
      </c>
      <c r="V155" t="s">
        <v>36</v>
      </c>
      <c r="W155" t="s">
        <v>1240</v>
      </c>
      <c r="X155" t="s">
        <v>36</v>
      </c>
      <c r="Y155" t="s">
        <v>1241</v>
      </c>
      <c r="Z155" t="s">
        <v>36</v>
      </c>
    </row>
    <row r="156">
      <c r="A156" t="s">
        <v>1225</v>
      </c>
      <c r="B156" t="s">
        <v>1242</v>
      </c>
      <c r="C156" t="s">
        <v>32</v>
      </c>
      <c r="D156" t="s">
        <v>41</v>
      </c>
      <c r="E156">
        <v>21820</v>
      </c>
      <c r="F156">
        <v>146150</v>
      </c>
      <c r="G156">
        <v>52048</v>
      </c>
      <c r="H156">
        <v>30228</v>
      </c>
      <c r="I156">
        <v>74949</v>
      </c>
      <c r="J156" t="str">
        <f>HYPERLINK("https://www.eneba.com/latam/steam-nba-2k26-slam-edition-steam-key-pc-global","Abrir compra")</f>
        <v>Abrir compra</v>
      </c>
      <c r="K156" t="str">
        <f>HYPERLINK("https://store.steampowered.com/app/3472040/NBA_2K26/","Abrir Steam")</f>
        <v>Abrir Steam</v>
      </c>
      <c r="L156" t="s">
        <v>194</v>
      </c>
      <c r="M156" t="s">
        <v>86</v>
      </c>
      <c r="N156" t="s">
        <v>32</v>
      </c>
      <c r="O156" t="s">
        <v>1243</v>
      </c>
      <c r="P156" t="s">
        <v>1244</v>
      </c>
      <c r="Q156" t="s">
        <v>32</v>
      </c>
      <c r="R156" t="s">
        <v>1245</v>
      </c>
      <c r="S156" t="s">
        <v>36</v>
      </c>
      <c r="T156" t="s">
        <v>1246</v>
      </c>
      <c r="U156" t="s">
        <v>1247</v>
      </c>
      <c r="V156" t="s">
        <v>1248</v>
      </c>
      <c r="W156" t="s">
        <v>1249</v>
      </c>
      <c r="X156" t="s">
        <v>1250</v>
      </c>
      <c r="Y156" t="s">
        <v>1251</v>
      </c>
      <c r="Z156" t="s">
        <v>1252</v>
      </c>
    </row>
    <row r="157">
      <c r="A157" t="s">
        <v>1225</v>
      </c>
      <c r="B157" t="s">
        <v>1253</v>
      </c>
      <c r="C157" t="s">
        <v>28</v>
      </c>
      <c r="D157" t="s">
        <v>29</v>
      </c>
      <c r="E157">
        <v>17048</v>
      </c>
      <c r="F157">
        <v>146150</v>
      </c>
      <c r="G157">
        <v>44048</v>
      </c>
      <c r="H157">
        <v>27000</v>
      </c>
      <c r="I157">
        <v>63429</v>
      </c>
      <c r="J157" t="str">
        <f>HYPERLINK("https://driffle.com/es/nba-2k26-slam-edition-global-pc-steam-account-p9977089","Abrir compra")</f>
        <v>Abrir compra</v>
      </c>
      <c r="K157" t="str">
        <f>HYPERLINK("https://store.steampowered.com/app/3472040/NBA_2K26/","Abrir Steam")</f>
        <v>Abrir Steam</v>
      </c>
      <c r="L157" t="s">
        <v>30</v>
      </c>
      <c r="M157" t="s">
        <v>86</v>
      </c>
      <c r="N157" t="s">
        <v>32</v>
      </c>
      <c r="O157" t="s">
        <v>1254</v>
      </c>
      <c r="P157" t="s">
        <v>1255</v>
      </c>
      <c r="Q157" t="s">
        <v>32</v>
      </c>
      <c r="R157" t="s">
        <v>1256</v>
      </c>
      <c r="S157" t="s">
        <v>1257</v>
      </c>
      <c r="T157" t="s">
        <v>36</v>
      </c>
      <c r="U157" t="s">
        <v>1258</v>
      </c>
      <c r="V157" t="s">
        <v>36</v>
      </c>
      <c r="W157" t="s">
        <v>1259</v>
      </c>
      <c r="X157" t="s">
        <v>36</v>
      </c>
      <c r="Y157" t="s">
        <v>1260</v>
      </c>
      <c r="Z157" t="s">
        <v>36</v>
      </c>
    </row>
    <row r="158">
      <c r="A158" t="s">
        <v>1225</v>
      </c>
      <c r="B158" t="s">
        <v>1261</v>
      </c>
      <c r="C158" t="s">
        <v>32</v>
      </c>
      <c r="D158" t="s">
        <v>41</v>
      </c>
      <c r="E158">
        <v>26892</v>
      </c>
      <c r="F158">
        <v>182692</v>
      </c>
      <c r="G158">
        <v>61892</v>
      </c>
      <c r="H158">
        <v>35000</v>
      </c>
      <c r="I158">
        <v>89124</v>
      </c>
      <c r="J158" t="str">
        <f>HYPERLINK("https://driffle.com/es/nba-2k26-superstar-edition-global-pc-steam-digital-key-p9949949","Abrir compra")</f>
        <v>Abrir compra</v>
      </c>
      <c r="K158" t="str">
        <f>HYPERLINK("https://store.steampowered.com/app/3472040/NBA_2K26/","Abrir Steam")</f>
        <v>Abrir Steam</v>
      </c>
      <c r="L158" t="s">
        <v>30</v>
      </c>
      <c r="M158" t="s">
        <v>86</v>
      </c>
      <c r="N158" t="s">
        <v>32</v>
      </c>
      <c r="O158" t="s">
        <v>1262</v>
      </c>
      <c r="P158" t="s">
        <v>1263</v>
      </c>
      <c r="Q158" t="s">
        <v>32</v>
      </c>
      <c r="R158" t="s">
        <v>1264</v>
      </c>
      <c r="S158" t="s">
        <v>36</v>
      </c>
      <c r="T158" t="s">
        <v>1085</v>
      </c>
      <c r="U158" t="s">
        <v>1265</v>
      </c>
      <c r="V158" t="s">
        <v>1266</v>
      </c>
      <c r="W158" t="s">
        <v>1267</v>
      </c>
      <c r="X158" t="s">
        <v>1268</v>
      </c>
      <c r="Y158" t="s">
        <v>1269</v>
      </c>
      <c r="Z158" t="s">
        <v>1270</v>
      </c>
    </row>
    <row r="159">
      <c r="A159" t="s">
        <v>1225</v>
      </c>
      <c r="B159" t="s">
        <v>1271</v>
      </c>
      <c r="C159" t="s">
        <v>28</v>
      </c>
      <c r="D159" t="s">
        <v>29</v>
      </c>
      <c r="E159">
        <v>98766</v>
      </c>
      <c r="F159">
        <v>182692</v>
      </c>
      <c r="G159">
        <v>116756</v>
      </c>
      <c r="H159">
        <v>17990</v>
      </c>
      <c r="I159">
        <v>168129</v>
      </c>
      <c r="J159" t="str">
        <f>HYPERLINK("https://www.kinguin.net/es/category/371704/nba-2k26-superstar-edition-pc-steam-account","Abrir compra")</f>
        <v>Abrir compra</v>
      </c>
      <c r="K159" t="str">
        <f>HYPERLINK("https://store.steampowered.com/app/3472040/NBA_2K26/","Abrir Steam")</f>
        <v>Abrir Steam</v>
      </c>
      <c r="L159" t="s">
        <v>42</v>
      </c>
      <c r="M159" t="s">
        <v>72</v>
      </c>
      <c r="N159" t="s">
        <v>32</v>
      </c>
      <c r="O159" t="s">
        <v>1272</v>
      </c>
      <c r="P159" t="s">
        <v>1273</v>
      </c>
      <c r="Q159" t="s">
        <v>32</v>
      </c>
      <c r="R159" t="s">
        <v>1274</v>
      </c>
      <c r="S159" t="s">
        <v>1275</v>
      </c>
      <c r="T159" t="s">
        <v>36</v>
      </c>
      <c r="U159" t="s">
        <v>36</v>
      </c>
      <c r="V159" t="s">
        <v>36</v>
      </c>
      <c r="W159" t="s">
        <v>1276</v>
      </c>
      <c r="X159" t="s">
        <v>36</v>
      </c>
      <c r="Y159" t="s">
        <v>36</v>
      </c>
      <c r="Z159" t="s">
        <v>36</v>
      </c>
    </row>
    <row r="160">
      <c r="A160" t="s">
        <v>1277</v>
      </c>
      <c r="B160" t="s">
        <v>1278</v>
      </c>
      <c r="C160" t="s">
        <v>32</v>
      </c>
      <c r="D160" t="s">
        <v>41</v>
      </c>
      <c r="E160">
        <v>18723</v>
      </c>
      <c r="F160">
        <v>58449</v>
      </c>
      <c r="G160">
        <v>42407</v>
      </c>
      <c r="H160">
        <v>23684</v>
      </c>
      <c r="I160">
        <v>61066</v>
      </c>
      <c r="J160" t="str">
        <f>HYPERLINK("https://www.eneba.com/latam/steam-nier-automata-game-of-the-yorha-edition-steam-key-pc-latam","Abrir compra")</f>
        <v>Abrir compra</v>
      </c>
      <c r="K160" t="str">
        <f>HYPERLINK("https://store.steampowered.com/app/524220/NieRAutomata/?curator_clanid=4777282","Abrir Steam")</f>
        <v>Abrir Steam</v>
      </c>
      <c r="L160" t="s">
        <v>194</v>
      </c>
      <c r="M160" t="s">
        <v>31</v>
      </c>
      <c r="N160" t="s">
        <v>32</v>
      </c>
      <c r="O160" t="s">
        <v>1279</v>
      </c>
      <c r="P160" t="s">
        <v>1280</v>
      </c>
      <c r="Q160" t="s">
        <v>32</v>
      </c>
      <c r="R160" t="s">
        <v>1281</v>
      </c>
      <c r="S160" t="s">
        <v>1282</v>
      </c>
      <c r="T160" t="s">
        <v>1283</v>
      </c>
      <c r="U160" t="s">
        <v>367</v>
      </c>
      <c r="V160" t="s">
        <v>1284</v>
      </c>
      <c r="W160" t="s">
        <v>1285</v>
      </c>
      <c r="X160" t="s">
        <v>1286</v>
      </c>
      <c r="Y160" t="s">
        <v>1287</v>
      </c>
      <c r="Z160" t="s">
        <v>1288</v>
      </c>
    </row>
    <row r="161">
      <c r="A161" t="s">
        <v>1277</v>
      </c>
      <c r="B161" t="s">
        <v>1289</v>
      </c>
      <c r="C161" t="s">
        <v>28</v>
      </c>
      <c r="D161" t="s">
        <v>29</v>
      </c>
      <c r="E161">
        <v>14030</v>
      </c>
      <c r="F161">
        <v>58449</v>
      </c>
      <c r="G161">
        <v>34407</v>
      </c>
      <c r="H161">
        <v>20377</v>
      </c>
      <c r="I161">
        <v>49546</v>
      </c>
      <c r="J161" t="str">
        <f>HYPERLINK("https://driffle.com/es/nier-automata-game-of-the-yorha-edition-global-pc-steam-account-p9979549","Abrir compra")</f>
        <v>Abrir compra</v>
      </c>
      <c r="K161" t="str">
        <f>HYPERLINK("https://store.steampowered.com/app/524220/NieRAutomata/?curator_clanid=4777282","Abrir Steam")</f>
        <v>Abrir Steam</v>
      </c>
      <c r="L161" t="s">
        <v>30</v>
      </c>
      <c r="M161" t="s">
        <v>86</v>
      </c>
      <c r="N161" t="s">
        <v>32</v>
      </c>
      <c r="O161" t="s">
        <v>1290</v>
      </c>
      <c r="P161" t="s">
        <v>1291</v>
      </c>
      <c r="Q161" t="s">
        <v>32</v>
      </c>
      <c r="R161" t="s">
        <v>1292</v>
      </c>
      <c r="S161" t="s">
        <v>1293</v>
      </c>
      <c r="T161" t="s">
        <v>36</v>
      </c>
      <c r="U161" t="s">
        <v>384</v>
      </c>
      <c r="V161" t="s">
        <v>36</v>
      </c>
      <c r="W161" t="s">
        <v>1294</v>
      </c>
      <c r="X161" t="s">
        <v>36</v>
      </c>
      <c r="Y161" t="s">
        <v>1295</v>
      </c>
      <c r="Z161" t="s">
        <v>36</v>
      </c>
    </row>
    <row r="162">
      <c r="A162" t="s">
        <v>1296</v>
      </c>
      <c r="B162" t="s">
        <v>63</v>
      </c>
      <c r="C162" t="s">
        <v>28</v>
      </c>
      <c r="D162" t="s">
        <v>29</v>
      </c>
      <c r="E162">
        <v>21330</v>
      </c>
      <c r="F162">
        <v>54795</v>
      </c>
      <c r="G162">
        <v>36330</v>
      </c>
      <c r="H162">
        <v>15000</v>
      </c>
      <c r="I162">
        <v>52315</v>
      </c>
      <c r="J162" t="str">
        <f>HYPERLINK("https://www.kinguin.net/es/category/293164/path-of-exile-2-early-access-supporter-pack-pc-steam-account","Abrir compra")</f>
        <v>Abrir compra</v>
      </c>
      <c r="K162" t="str">
        <f>HYPERLINK("https://store.steampowered.com/app/2694490/Path_of_Exile_2/?curator_clanid=4777282","Abrir Steam")</f>
        <v>Abrir Steam</v>
      </c>
      <c r="L162" t="s">
        <v>42</v>
      </c>
      <c r="M162" t="s">
        <v>72</v>
      </c>
      <c r="N162" t="s">
        <v>32</v>
      </c>
      <c r="O162" t="s">
        <v>1297</v>
      </c>
      <c r="P162" t="s">
        <v>1298</v>
      </c>
      <c r="Q162" t="s">
        <v>32</v>
      </c>
      <c r="R162" t="s">
        <v>1299</v>
      </c>
      <c r="S162" t="s">
        <v>1300</v>
      </c>
      <c r="T162" t="s">
        <v>36</v>
      </c>
      <c r="U162" t="s">
        <v>36</v>
      </c>
      <c r="V162" t="s">
        <v>36</v>
      </c>
      <c r="W162" t="s">
        <v>1301</v>
      </c>
      <c r="X162" t="s">
        <v>36</v>
      </c>
      <c r="Y162" t="s">
        <v>1302</v>
      </c>
      <c r="Z162" t="s">
        <v>36</v>
      </c>
    </row>
    <row r="163">
      <c r="A163" t="s">
        <v>1296</v>
      </c>
      <c r="B163" t="s">
        <v>1303</v>
      </c>
      <c r="C163" t="s">
        <v>28</v>
      </c>
      <c r="D163" t="s">
        <v>29</v>
      </c>
      <c r="E163">
        <v>84372</v>
      </c>
      <c r="F163">
        <v>182692</v>
      </c>
      <c r="G163">
        <v>110999</v>
      </c>
      <c r="H163">
        <v>26627</v>
      </c>
      <c r="I163">
        <v>159839</v>
      </c>
      <c r="J163" t="str">
        <f>HYPERLINK("https://www.kinguin.net/es/category/293317/path-of-exile-2-king-of-the-faridun-supporter-pack-pc-steam-account","Abrir compra")</f>
        <v>Abrir compra</v>
      </c>
      <c r="K163" t="str">
        <f>HYPERLINK("https://store.steampowered.com/app/2694490/Path_of_Exile_2/?curator_clanid=4777282","Abrir Steam")</f>
        <v>Abrir Steam</v>
      </c>
      <c r="L163" t="s">
        <v>42</v>
      </c>
      <c r="M163" t="s">
        <v>86</v>
      </c>
      <c r="N163" t="s">
        <v>32</v>
      </c>
      <c r="O163" t="s">
        <v>1304</v>
      </c>
      <c r="P163" t="s">
        <v>1305</v>
      </c>
      <c r="Q163" t="s">
        <v>32</v>
      </c>
      <c r="R163" t="s">
        <v>1306</v>
      </c>
      <c r="S163" t="s">
        <v>1307</v>
      </c>
      <c r="T163" t="s">
        <v>36</v>
      </c>
      <c r="U163" t="s">
        <v>36</v>
      </c>
      <c r="V163" t="s">
        <v>36</v>
      </c>
      <c r="W163" t="s">
        <v>1308</v>
      </c>
      <c r="X163" t="s">
        <v>36</v>
      </c>
      <c r="Y163" t="s">
        <v>36</v>
      </c>
      <c r="Z163" t="s">
        <v>36</v>
      </c>
    </row>
    <row r="164">
      <c r="A164" t="s">
        <v>1296</v>
      </c>
      <c r="B164" t="s">
        <v>1309</v>
      </c>
      <c r="C164" t="s">
        <v>28</v>
      </c>
      <c r="D164" t="s">
        <v>29</v>
      </c>
      <c r="E164">
        <v>40748</v>
      </c>
      <c r="F164">
        <v>109608</v>
      </c>
      <c r="G164">
        <v>65046</v>
      </c>
      <c r="H164">
        <v>24298</v>
      </c>
      <c r="I164">
        <v>93666</v>
      </c>
      <c r="J164" t="str">
        <f>HYPERLINK("https://www.kinguin.net/es/category/293181/path-of-exile-2-lord-of-ogham-supporter-pack-pc-steam-account","Abrir compra")</f>
        <v>Abrir compra</v>
      </c>
      <c r="K164" t="str">
        <f>HYPERLINK("https://store.steampowered.com/app/2694490/Path_of_Exile_2/?curator_clanid=4777282","Abrir Steam")</f>
        <v>Abrir Steam</v>
      </c>
      <c r="L164" t="s">
        <v>42</v>
      </c>
      <c r="M164" t="s">
        <v>72</v>
      </c>
      <c r="N164" t="s">
        <v>32</v>
      </c>
      <c r="O164" t="s">
        <v>1310</v>
      </c>
      <c r="P164" t="s">
        <v>1311</v>
      </c>
      <c r="Q164" t="s">
        <v>32</v>
      </c>
      <c r="R164" t="s">
        <v>1312</v>
      </c>
      <c r="S164" t="s">
        <v>1313</v>
      </c>
      <c r="T164" t="s">
        <v>36</v>
      </c>
      <c r="U164" t="s">
        <v>36</v>
      </c>
      <c r="V164" t="s">
        <v>36</v>
      </c>
      <c r="W164" t="s">
        <v>1314</v>
      </c>
      <c r="X164" t="s">
        <v>36</v>
      </c>
      <c r="Y164" t="s">
        <v>36</v>
      </c>
      <c r="Z164" t="s">
        <v>36</v>
      </c>
    </row>
    <row r="165">
      <c r="A165" t="s">
        <v>1315</v>
      </c>
      <c r="B165" t="s">
        <v>409</v>
      </c>
      <c r="C165" t="s">
        <v>32</v>
      </c>
      <c r="D165" t="s">
        <v>41</v>
      </c>
      <c r="E165">
        <v>46405</v>
      </c>
      <c r="F165">
        <v>102299</v>
      </c>
      <c r="G165">
        <v>76724</v>
      </c>
      <c r="H165">
        <v>30319</v>
      </c>
      <c r="I165">
        <v>110483</v>
      </c>
      <c r="J165" t="str">
        <f>HYPERLINK("https://driffle.com/es/persona-3-reload-deluxe-edition-pc-steam-digital-code-p9889103","Abrir compra")</f>
        <v>Abrir compra</v>
      </c>
      <c r="K165" t="str">
        <f>HYPERLINK("https://store.steampowered.com/app/2161700/Persona_3_Reload/","Abrir Steam")</f>
        <v>Abrir Steam</v>
      </c>
      <c r="L165" t="s">
        <v>30</v>
      </c>
      <c r="M165" t="s">
        <v>86</v>
      </c>
      <c r="N165" t="s">
        <v>32</v>
      </c>
      <c r="O165" t="s">
        <v>1316</v>
      </c>
      <c r="P165" t="s">
        <v>1317</v>
      </c>
      <c r="Q165" t="s">
        <v>32</v>
      </c>
      <c r="R165" t="s">
        <v>1318</v>
      </c>
      <c r="S165" t="s">
        <v>36</v>
      </c>
      <c r="T165" t="s">
        <v>36</v>
      </c>
      <c r="U165" t="s">
        <v>1319</v>
      </c>
      <c r="V165" t="s">
        <v>36</v>
      </c>
      <c r="W165" t="s">
        <v>1320</v>
      </c>
      <c r="X165" t="s">
        <v>1321</v>
      </c>
      <c r="Y165" t="s">
        <v>1322</v>
      </c>
      <c r="Z165" t="s">
        <v>1323</v>
      </c>
    </row>
    <row r="166">
      <c r="A166" t="s">
        <v>1315</v>
      </c>
      <c r="B166" t="s">
        <v>27</v>
      </c>
      <c r="C166" t="s">
        <v>28</v>
      </c>
      <c r="D166" t="s">
        <v>29</v>
      </c>
      <c r="E166">
        <v>89997</v>
      </c>
      <c r="F166">
        <v>102299</v>
      </c>
      <c r="G166">
        <v>104997</v>
      </c>
      <c r="H166">
        <v>15000</v>
      </c>
      <c r="I166">
        <v>151196</v>
      </c>
      <c r="J166" t="str">
        <f>HYPERLINK("https://www.kinguin.net/es/category/212863/persona-3-reload-deluxe-edition-steam-account","Abrir compra")</f>
        <v>Abrir compra</v>
      </c>
      <c r="K166" t="str">
        <f>HYPERLINK("https://store.steampowered.com/app/2161700/Persona_3_Reload/","Abrir Steam")</f>
        <v>Abrir Steam</v>
      </c>
      <c r="L166" t="s">
        <v>42</v>
      </c>
      <c r="M166" t="s">
        <v>86</v>
      </c>
      <c r="N166" t="s">
        <v>32</v>
      </c>
      <c r="O166" t="s">
        <v>1324</v>
      </c>
      <c r="P166" t="s">
        <v>1325</v>
      </c>
      <c r="Q166" t="s">
        <v>32</v>
      </c>
      <c r="R166" t="s">
        <v>1326</v>
      </c>
      <c r="S166" t="s">
        <v>1327</v>
      </c>
      <c r="T166" t="s">
        <v>36</v>
      </c>
      <c r="U166" t="s">
        <v>36</v>
      </c>
      <c r="V166" t="s">
        <v>36</v>
      </c>
      <c r="W166" t="s">
        <v>1328</v>
      </c>
      <c r="X166" t="s">
        <v>36</v>
      </c>
      <c r="Y166" t="s">
        <v>36</v>
      </c>
      <c r="Z166" t="s">
        <v>36</v>
      </c>
    </row>
    <row r="167">
      <c r="A167" t="s">
        <v>1315</v>
      </c>
      <c r="B167" t="s">
        <v>53</v>
      </c>
      <c r="C167" t="s">
        <v>32</v>
      </c>
      <c r="D167" t="s">
        <v>41</v>
      </c>
      <c r="E167">
        <v>34412</v>
      </c>
      <c r="F167">
        <v>87683</v>
      </c>
      <c r="G167">
        <v>60818</v>
      </c>
      <c r="H167">
        <v>26406</v>
      </c>
      <c r="I167">
        <v>87578</v>
      </c>
      <c r="J167" t="str">
        <f>HYPERLINK("https://driffle.com/es/persona-3-reload-pc-steam-digital-code-p9889101","Abrir compra")</f>
        <v>Abrir compra</v>
      </c>
      <c r="K167" t="str">
        <f>HYPERLINK("https://store.steampowered.com/app/2161700/Persona_3_Reload/","Abrir Steam")</f>
        <v>Abrir Steam</v>
      </c>
      <c r="L167" t="s">
        <v>30</v>
      </c>
      <c r="M167" t="s">
        <v>86</v>
      </c>
      <c r="N167" t="s">
        <v>32</v>
      </c>
      <c r="O167" t="s">
        <v>1329</v>
      </c>
      <c r="P167" t="s">
        <v>1330</v>
      </c>
      <c r="Q167" t="s">
        <v>32</v>
      </c>
      <c r="R167" t="s">
        <v>1331</v>
      </c>
      <c r="S167" t="s">
        <v>36</v>
      </c>
      <c r="T167" t="s">
        <v>1332</v>
      </c>
      <c r="U167" t="s">
        <v>1333</v>
      </c>
      <c r="V167" t="s">
        <v>1334</v>
      </c>
      <c r="W167" t="s">
        <v>1335</v>
      </c>
      <c r="X167" t="s">
        <v>1336</v>
      </c>
      <c r="Y167" t="s">
        <v>1337</v>
      </c>
      <c r="Z167" t="s">
        <v>1338</v>
      </c>
    </row>
    <row r="168">
      <c r="A168" t="s">
        <v>1315</v>
      </c>
      <c r="B168" t="s">
        <v>63</v>
      </c>
      <c r="C168" t="s">
        <v>28</v>
      </c>
      <c r="D168" t="s">
        <v>29</v>
      </c>
      <c r="E168">
        <v>31553</v>
      </c>
      <c r="F168">
        <v>87683</v>
      </c>
      <c r="G168">
        <v>52818</v>
      </c>
      <c r="H168">
        <v>21265</v>
      </c>
      <c r="I168">
        <v>76058</v>
      </c>
      <c r="J168" t="str">
        <f>HYPERLINK("https://www.kinguin.net/es/category/212612/persona-3-reload-steam-account","Abrir compra")</f>
        <v>Abrir compra</v>
      </c>
      <c r="K168" t="str">
        <f>HYPERLINK("https://store.steampowered.com/app/2161700/Persona_3_Reload/","Abrir Steam")</f>
        <v>Abrir Steam</v>
      </c>
      <c r="L168" t="s">
        <v>42</v>
      </c>
      <c r="M168" t="s">
        <v>72</v>
      </c>
      <c r="N168" t="s">
        <v>32</v>
      </c>
      <c r="O168" t="s">
        <v>1339</v>
      </c>
      <c r="P168" t="s">
        <v>1340</v>
      </c>
      <c r="Q168" t="s">
        <v>32</v>
      </c>
      <c r="R168" t="s">
        <v>1341</v>
      </c>
      <c r="S168" t="s">
        <v>1342</v>
      </c>
      <c r="T168" t="s">
        <v>36</v>
      </c>
      <c r="U168" t="s">
        <v>36</v>
      </c>
      <c r="V168" t="s">
        <v>36</v>
      </c>
      <c r="W168" t="s">
        <v>1343</v>
      </c>
      <c r="X168" t="s">
        <v>36</v>
      </c>
      <c r="Y168" t="s">
        <v>36</v>
      </c>
      <c r="Z168" t="s">
        <v>36</v>
      </c>
    </row>
    <row r="169">
      <c r="A169" t="s">
        <v>1315</v>
      </c>
      <c r="B169" t="s">
        <v>769</v>
      </c>
      <c r="C169" t="s">
        <v>28</v>
      </c>
      <c r="D169" t="s">
        <v>29</v>
      </c>
      <c r="E169">
        <v>111074</v>
      </c>
      <c r="F169">
        <v>131533</v>
      </c>
      <c r="G169">
        <v>126074</v>
      </c>
      <c r="H169">
        <v>15000</v>
      </c>
      <c r="I169">
        <v>181547</v>
      </c>
      <c r="J169" t="str">
        <f>HYPERLINK("https://www.kinguin.net/es/category/212869/persona-3-reload-premium-edition-steam-account","Abrir compra")</f>
        <v>Abrir compra</v>
      </c>
      <c r="K169" t="str">
        <f>HYPERLINK("https://store.steampowered.com/app/2161700/Persona_3_Reload/","Abrir Steam")</f>
        <v>Abrir Steam</v>
      </c>
      <c r="L169" t="s">
        <v>42</v>
      </c>
      <c r="M169" t="s">
        <v>86</v>
      </c>
      <c r="N169" t="s">
        <v>32</v>
      </c>
      <c r="O169" t="s">
        <v>1344</v>
      </c>
      <c r="P169" t="s">
        <v>1345</v>
      </c>
      <c r="Q169" t="s">
        <v>32</v>
      </c>
      <c r="R169" t="s">
        <v>1346</v>
      </c>
      <c r="S169" t="s">
        <v>1347</v>
      </c>
      <c r="T169" t="s">
        <v>36</v>
      </c>
      <c r="U169" t="s">
        <v>36</v>
      </c>
      <c r="V169" t="s">
        <v>36</v>
      </c>
      <c r="W169" t="s">
        <v>1348</v>
      </c>
      <c r="X169" t="s">
        <v>36</v>
      </c>
      <c r="Y169" t="s">
        <v>36</v>
      </c>
      <c r="Z169" t="s">
        <v>36</v>
      </c>
    </row>
    <row r="170">
      <c r="A170" t="s">
        <v>1349</v>
      </c>
      <c r="B170" t="s">
        <v>409</v>
      </c>
      <c r="C170" t="s">
        <v>32</v>
      </c>
      <c r="D170" t="s">
        <v>41</v>
      </c>
      <c r="E170">
        <v>73770</v>
      </c>
      <c r="F170">
        <v>96836</v>
      </c>
      <c r="G170">
        <v>108770</v>
      </c>
      <c r="H170">
        <v>35000</v>
      </c>
      <c r="I170">
        <v>156629</v>
      </c>
      <c r="J170" t="str">
        <f>HYPERLINK("https://www.loaded.com/es_es/pragmata-deluxe-edition-pc-steam-latam","Abrir compra")</f>
        <v>Abrir compra</v>
      </c>
      <c r="K170" t="str">
        <f>HYPERLINK("https://store.steampowered.com/app/3357650/PRAGMATA/","Abrir Steam")</f>
        <v>Abrir Steam</v>
      </c>
      <c r="L170" t="s">
        <v>96</v>
      </c>
      <c r="M170" t="s">
        <v>31</v>
      </c>
      <c r="N170" t="s">
        <v>32</v>
      </c>
      <c r="O170" t="s">
        <v>1350</v>
      </c>
      <c r="P170" t="s">
        <v>1351</v>
      </c>
      <c r="Q170" t="s">
        <v>32</v>
      </c>
      <c r="R170" t="s">
        <v>1352</v>
      </c>
      <c r="S170" t="s">
        <v>1353</v>
      </c>
      <c r="T170" t="s">
        <v>1354</v>
      </c>
      <c r="U170" t="s">
        <v>1355</v>
      </c>
      <c r="V170" t="s">
        <v>1356</v>
      </c>
      <c r="W170" t="s">
        <v>1357</v>
      </c>
      <c r="X170" t="s">
        <v>1358</v>
      </c>
      <c r="Y170" t="s">
        <v>1359</v>
      </c>
      <c r="Z170" t="s">
        <v>1360</v>
      </c>
    </row>
    <row r="171">
      <c r="A171" t="s">
        <v>1349</v>
      </c>
      <c r="B171" t="s">
        <v>27</v>
      </c>
      <c r="C171" t="s">
        <v>28</v>
      </c>
      <c r="D171" t="s">
        <v>29</v>
      </c>
      <c r="E171">
        <v>84988</v>
      </c>
      <c r="F171">
        <v>96836</v>
      </c>
      <c r="G171">
        <v>99988</v>
      </c>
      <c r="H171">
        <v>15000</v>
      </c>
      <c r="I171">
        <v>143983</v>
      </c>
      <c r="J171" t="str">
        <f>HYPERLINK("https://www.kinguin.net/es/category/431201/pragmata-deluxe-edition-pc-steam-account","Abrir compra")</f>
        <v>Abrir compra</v>
      </c>
      <c r="K171" t="str">
        <f>HYPERLINK("https://store.steampowered.com/app/3357650/PRAGMATA/","Abrir Steam")</f>
        <v>Abrir Steam</v>
      </c>
      <c r="L171" t="s">
        <v>42</v>
      </c>
      <c r="M171" t="s">
        <v>72</v>
      </c>
      <c r="N171" t="s">
        <v>32</v>
      </c>
      <c r="O171" t="s">
        <v>1361</v>
      </c>
      <c r="P171" t="s">
        <v>1362</v>
      </c>
      <c r="Q171" t="s">
        <v>32</v>
      </c>
      <c r="R171" t="s">
        <v>1363</v>
      </c>
      <c r="S171" t="s">
        <v>1364</v>
      </c>
      <c r="T171" t="s">
        <v>36</v>
      </c>
      <c r="U171" t="s">
        <v>36</v>
      </c>
      <c r="V171" t="s">
        <v>36</v>
      </c>
      <c r="W171" t="s">
        <v>1365</v>
      </c>
      <c r="X171" t="s">
        <v>36</v>
      </c>
      <c r="Y171" t="s">
        <v>1366</v>
      </c>
      <c r="Z171" t="s">
        <v>36</v>
      </c>
    </row>
    <row r="172">
      <c r="A172" t="s">
        <v>1349</v>
      </c>
      <c r="B172" t="s">
        <v>53</v>
      </c>
      <c r="C172" t="s">
        <v>32</v>
      </c>
      <c r="D172" t="s">
        <v>41</v>
      </c>
      <c r="E172">
        <v>60877</v>
      </c>
      <c r="F172">
        <v>82220</v>
      </c>
      <c r="G172">
        <v>75877</v>
      </c>
      <c r="H172">
        <v>15000</v>
      </c>
      <c r="I172">
        <v>109263</v>
      </c>
      <c r="J172" t="str">
        <f>HYPERLINK("https://www.eneba.com/latam/steam-pragmata-steam-key-pc-latam","Abrir compra")</f>
        <v>Abrir compra</v>
      </c>
      <c r="K172" t="str">
        <f>HYPERLINK("https://store.steampowered.com/app/3357650/PRAGMATA/","Abrir Steam")</f>
        <v>Abrir Steam</v>
      </c>
      <c r="L172" t="s">
        <v>194</v>
      </c>
      <c r="M172" t="s">
        <v>31</v>
      </c>
      <c r="N172" t="s">
        <v>32</v>
      </c>
      <c r="O172" t="s">
        <v>1367</v>
      </c>
      <c r="P172" t="s">
        <v>1368</v>
      </c>
      <c r="Q172" t="s">
        <v>32</v>
      </c>
      <c r="R172" t="s">
        <v>1369</v>
      </c>
      <c r="S172" t="s">
        <v>1370</v>
      </c>
      <c r="T172" t="s">
        <v>1371</v>
      </c>
      <c r="U172" t="s">
        <v>1372</v>
      </c>
      <c r="V172" t="s">
        <v>569</v>
      </c>
      <c r="W172" t="s">
        <v>1373</v>
      </c>
      <c r="X172" t="s">
        <v>1374</v>
      </c>
      <c r="Y172" t="s">
        <v>1375</v>
      </c>
      <c r="Z172" t="s">
        <v>1376</v>
      </c>
    </row>
    <row r="173">
      <c r="A173" t="s">
        <v>1349</v>
      </c>
      <c r="B173" t="s">
        <v>63</v>
      </c>
      <c r="C173" t="s">
        <v>28</v>
      </c>
      <c r="D173" t="s">
        <v>29</v>
      </c>
      <c r="E173">
        <v>44509</v>
      </c>
      <c r="F173">
        <v>82220</v>
      </c>
      <c r="G173">
        <v>59509</v>
      </c>
      <c r="H173">
        <v>15000</v>
      </c>
      <c r="I173">
        <v>85693</v>
      </c>
      <c r="J173" t="str">
        <f>HYPERLINK("https://www.kinguin.net/es/category/428363/pragmata-pc-steam-account","Abrir compra")</f>
        <v>Abrir compra</v>
      </c>
      <c r="K173" t="str">
        <f>HYPERLINK("https://store.steampowered.com/app/3357650/PRAGMATA/","Abrir Steam")</f>
        <v>Abrir Steam</v>
      </c>
      <c r="L173" t="s">
        <v>42</v>
      </c>
      <c r="M173" t="s">
        <v>72</v>
      </c>
      <c r="N173" t="s">
        <v>32</v>
      </c>
      <c r="O173" t="s">
        <v>1377</v>
      </c>
      <c r="P173" t="s">
        <v>1378</v>
      </c>
      <c r="Q173" t="s">
        <v>32</v>
      </c>
      <c r="R173" t="s">
        <v>1379</v>
      </c>
      <c r="S173" t="s">
        <v>1380</v>
      </c>
      <c r="T173" t="s">
        <v>36</v>
      </c>
      <c r="U173" t="s">
        <v>36</v>
      </c>
      <c r="V173" t="s">
        <v>36</v>
      </c>
      <c r="W173" t="s">
        <v>1381</v>
      </c>
      <c r="X173" t="s">
        <v>36</v>
      </c>
      <c r="Y173" t="s">
        <v>1382</v>
      </c>
      <c r="Z173" t="s">
        <v>36</v>
      </c>
    </row>
    <row r="174">
      <c r="A174" t="s">
        <v>1383</v>
      </c>
      <c r="B174" t="s">
        <v>409</v>
      </c>
      <c r="C174" t="s">
        <v>32</v>
      </c>
      <c r="D174" t="s">
        <v>41</v>
      </c>
      <c r="E174">
        <v>35123</v>
      </c>
      <c r="F174">
        <v>73066</v>
      </c>
      <c r="G174">
        <v>52929</v>
      </c>
      <c r="H174">
        <v>17806</v>
      </c>
      <c r="I174">
        <v>76218</v>
      </c>
      <c r="J174" t="str">
        <f>HYPERLINK("https://www.kinguin.net/es/category/476489/ready-or-not-deluxe-edition-latam-pc-steam-cd-key","Abrir compra")</f>
        <v>Abrir compra</v>
      </c>
      <c r="K174" t="str">
        <f>HYPERLINK("https://store.steampowered.com/app/1144200/Ready_or_Not/","Abrir Steam")</f>
        <v>Abrir Steam</v>
      </c>
      <c r="L174" t="s">
        <v>42</v>
      </c>
      <c r="M174" t="s">
        <v>31</v>
      </c>
      <c r="N174" t="s">
        <v>32</v>
      </c>
      <c r="O174" t="s">
        <v>1384</v>
      </c>
      <c r="P174" t="s">
        <v>1385</v>
      </c>
      <c r="Q174" t="s">
        <v>32</v>
      </c>
      <c r="R174" t="s">
        <v>1386</v>
      </c>
      <c r="S174" t="s">
        <v>1387</v>
      </c>
      <c r="T174" t="s">
        <v>36</v>
      </c>
      <c r="U174" t="s">
        <v>36</v>
      </c>
      <c r="V174" t="s">
        <v>36</v>
      </c>
      <c r="W174" t="s">
        <v>1388</v>
      </c>
      <c r="X174" t="s">
        <v>1389</v>
      </c>
      <c r="Y174" t="s">
        <v>1390</v>
      </c>
      <c r="Z174" t="s">
        <v>1391</v>
      </c>
    </row>
    <row r="175">
      <c r="A175" t="s">
        <v>1383</v>
      </c>
      <c r="B175" t="s">
        <v>27</v>
      </c>
      <c r="C175" t="s">
        <v>28</v>
      </c>
      <c r="D175" t="s">
        <v>29</v>
      </c>
      <c r="E175">
        <v>23653</v>
      </c>
      <c r="F175">
        <v>73066</v>
      </c>
      <c r="G175">
        <v>43957</v>
      </c>
      <c r="H175">
        <v>20304</v>
      </c>
      <c r="I175">
        <v>63298</v>
      </c>
      <c r="J175" t="str">
        <f>HYPERLINK("https://www.kinguin.net/es/category/505409/ready-or-not-deluxe-edition-pc-steam-account","Abrir compra")</f>
        <v>Abrir compra</v>
      </c>
      <c r="K175" t="str">
        <f>HYPERLINK("https://store.steampowered.com/app/1144200/Ready_or_Not/","Abrir Steam")</f>
        <v>Abrir Steam</v>
      </c>
      <c r="L175" t="s">
        <v>42</v>
      </c>
      <c r="M175" t="s">
        <v>72</v>
      </c>
      <c r="N175" t="s">
        <v>32</v>
      </c>
      <c r="O175" t="s">
        <v>1392</v>
      </c>
      <c r="P175" t="s">
        <v>1393</v>
      </c>
      <c r="Q175" t="s">
        <v>32</v>
      </c>
      <c r="R175" t="s">
        <v>1394</v>
      </c>
      <c r="S175" t="s">
        <v>1395</v>
      </c>
      <c r="T175" t="s">
        <v>36</v>
      </c>
      <c r="U175" t="s">
        <v>36</v>
      </c>
      <c r="V175" t="s">
        <v>36</v>
      </c>
      <c r="W175" t="s">
        <v>1396</v>
      </c>
      <c r="X175" t="s">
        <v>36</v>
      </c>
      <c r="Y175" t="s">
        <v>36</v>
      </c>
      <c r="Z175" t="s">
        <v>36</v>
      </c>
    </row>
    <row r="176">
      <c r="A176" t="s">
        <v>1383</v>
      </c>
      <c r="B176" t="s">
        <v>53</v>
      </c>
      <c r="C176" t="s">
        <v>32</v>
      </c>
      <c r="D176" t="s">
        <v>41</v>
      </c>
      <c r="E176">
        <v>16953</v>
      </c>
      <c r="F176">
        <v>60276</v>
      </c>
      <c r="G176">
        <v>44996</v>
      </c>
      <c r="H176">
        <v>28043</v>
      </c>
      <c r="I176">
        <v>64794</v>
      </c>
      <c r="J176" t="str">
        <f>HYPERLINK("https://www.eneba.com/latam/steam-ready-or-not-pc-steam-key-latam","Abrir compra")</f>
        <v>Abrir compra</v>
      </c>
      <c r="K176" t="str">
        <f>HYPERLINK("https://store.steampowered.com/app/1144200/Ready_or_Not/","Abrir Steam")</f>
        <v>Abrir Steam</v>
      </c>
      <c r="L176" t="s">
        <v>194</v>
      </c>
      <c r="M176" t="s">
        <v>31</v>
      </c>
      <c r="N176" t="s">
        <v>32</v>
      </c>
      <c r="O176" t="s">
        <v>1397</v>
      </c>
      <c r="P176" t="s">
        <v>1398</v>
      </c>
      <c r="Q176" t="s">
        <v>32</v>
      </c>
      <c r="R176" t="s">
        <v>1399</v>
      </c>
      <c r="S176" t="s">
        <v>1400</v>
      </c>
      <c r="T176" t="s">
        <v>1401</v>
      </c>
      <c r="U176" t="s">
        <v>1402</v>
      </c>
      <c r="V176" t="s">
        <v>1403</v>
      </c>
      <c r="W176" t="s">
        <v>1404</v>
      </c>
      <c r="X176" t="s">
        <v>1405</v>
      </c>
      <c r="Y176" t="s">
        <v>1406</v>
      </c>
      <c r="Z176" t="s">
        <v>1407</v>
      </c>
    </row>
    <row r="177">
      <c r="A177" t="s">
        <v>1383</v>
      </c>
      <c r="B177" t="s">
        <v>63</v>
      </c>
      <c r="C177" t="s">
        <v>28</v>
      </c>
      <c r="D177" t="s">
        <v>29</v>
      </c>
      <c r="E177">
        <v>11044</v>
      </c>
      <c r="F177">
        <v>60276</v>
      </c>
      <c r="G177">
        <v>33925</v>
      </c>
      <c r="H177">
        <v>22881</v>
      </c>
      <c r="I177">
        <v>48852</v>
      </c>
      <c r="J177" t="str">
        <f>HYPERLINK("https://driffle.com/es/ready-or-not-global-pc-steam-account-p9943438","Abrir compra")</f>
        <v>Abrir compra</v>
      </c>
      <c r="K177" t="str">
        <f>HYPERLINK("https://store.steampowered.com/app/1144200/Ready_or_Not/","Abrir Steam")</f>
        <v>Abrir Steam</v>
      </c>
      <c r="L177" t="s">
        <v>30</v>
      </c>
      <c r="M177" t="s">
        <v>86</v>
      </c>
      <c r="N177" t="s">
        <v>32</v>
      </c>
      <c r="O177" t="s">
        <v>1408</v>
      </c>
      <c r="P177" t="s">
        <v>1409</v>
      </c>
      <c r="Q177" t="s">
        <v>32</v>
      </c>
      <c r="R177" t="s">
        <v>1410</v>
      </c>
      <c r="S177" t="s">
        <v>1411</v>
      </c>
      <c r="T177" t="s">
        <v>36</v>
      </c>
      <c r="U177" t="s">
        <v>1412</v>
      </c>
      <c r="V177" t="s">
        <v>36</v>
      </c>
      <c r="W177" t="s">
        <v>1413</v>
      </c>
      <c r="X177" t="s">
        <v>36</v>
      </c>
      <c r="Y177" t="s">
        <v>1414</v>
      </c>
      <c r="Z177" t="s">
        <v>36</v>
      </c>
    </row>
    <row r="178">
      <c r="A178" t="s">
        <v>1415</v>
      </c>
      <c r="B178" t="s">
        <v>1130</v>
      </c>
      <c r="C178" t="s">
        <v>32</v>
      </c>
      <c r="D178" t="s">
        <v>41</v>
      </c>
      <c r="E178">
        <v>84514</v>
      </c>
      <c r="F178">
        <v>109608</v>
      </c>
      <c r="G178">
        <v>99514</v>
      </c>
      <c r="H178">
        <v>15000</v>
      </c>
      <c r="I178">
        <v>143300</v>
      </c>
      <c r="J178" t="str">
        <f>HYPERLINK("https://www.kinguin.net/es/category/250518/red-dead-redemption-2-pc-steam-cd-key","Abrir compra")</f>
        <v>Abrir compra</v>
      </c>
      <c r="K178" t="str">
        <f>HYPERLINK("https://store.steampowered.com/app/1174180/Red_Dead_Redemption_2/","Abrir Steam")</f>
        <v>Abrir Steam</v>
      </c>
      <c r="L178" t="s">
        <v>42</v>
      </c>
      <c r="M178" t="s">
        <v>86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1419</v>
      </c>
      <c r="T178" t="s">
        <v>36</v>
      </c>
      <c r="U178" t="s">
        <v>36</v>
      </c>
      <c r="V178" t="s">
        <v>36</v>
      </c>
      <c r="W178" t="s">
        <v>1420</v>
      </c>
      <c r="X178" t="s">
        <v>36</v>
      </c>
      <c r="Y178" t="s">
        <v>36</v>
      </c>
      <c r="Z178" t="s">
        <v>36</v>
      </c>
    </row>
    <row r="179">
      <c r="A179" t="s">
        <v>1415</v>
      </c>
      <c r="B179" t="s">
        <v>63</v>
      </c>
      <c r="C179" t="s">
        <v>28</v>
      </c>
      <c r="D179" t="s">
        <v>29</v>
      </c>
      <c r="E179">
        <v>13462</v>
      </c>
      <c r="F179">
        <v>109608</v>
      </c>
      <c r="G179">
        <v>40462</v>
      </c>
      <c r="H179">
        <v>27000</v>
      </c>
      <c r="I179">
        <v>58265</v>
      </c>
      <c r="J179" t="str">
        <f>HYPERLINK("https://www.kinguin.net/es/category/133287/red-dead-redemption-2-steam-account","Abrir compra")</f>
        <v>Abrir compra</v>
      </c>
      <c r="K179" t="str">
        <f>HYPERLINK("https://store.steampowered.com/app/1174180/Red_Dead_Redemption_2/","Abrir Steam")</f>
        <v>Abrir Steam</v>
      </c>
      <c r="L179" t="s">
        <v>42</v>
      </c>
      <c r="M179" t="s">
        <v>86</v>
      </c>
      <c r="N179" t="s">
        <v>32</v>
      </c>
      <c r="O179" t="s">
        <v>1421</v>
      </c>
      <c r="P179" t="s">
        <v>1422</v>
      </c>
      <c r="Q179" t="s">
        <v>32</v>
      </c>
      <c r="R179" t="s">
        <v>1423</v>
      </c>
      <c r="S179" t="s">
        <v>1424</v>
      </c>
      <c r="T179" t="s">
        <v>36</v>
      </c>
      <c r="U179" t="s">
        <v>36</v>
      </c>
      <c r="V179" t="s">
        <v>36</v>
      </c>
      <c r="W179" t="s">
        <v>1425</v>
      </c>
      <c r="X179" t="s">
        <v>36</v>
      </c>
      <c r="Y179" t="s">
        <v>36</v>
      </c>
      <c r="Z179" t="s">
        <v>36</v>
      </c>
    </row>
    <row r="180">
      <c r="A180" t="s">
        <v>1415</v>
      </c>
      <c r="B180" t="s">
        <v>387</v>
      </c>
      <c r="C180" t="s">
        <v>28</v>
      </c>
      <c r="D180" t="s">
        <v>29</v>
      </c>
      <c r="E180">
        <v>20177</v>
      </c>
      <c r="F180">
        <v>182692</v>
      </c>
      <c r="G180">
        <v>47177</v>
      </c>
      <c r="H180">
        <v>27000</v>
      </c>
      <c r="I180">
        <v>67935</v>
      </c>
      <c r="J180" t="str">
        <f>HYPERLINK("https://www.kinguin.net/es/category/156115/red-dead-redemption-2-ultimate-edition-steam-account","Abrir compra")</f>
        <v>Abrir compra</v>
      </c>
      <c r="K180" t="str">
        <f>HYPERLINK("https://store.steampowered.com/app/1174180/Red_Dead_Redemption_2/","Abrir Steam")</f>
        <v>Abrir Steam</v>
      </c>
      <c r="L180" t="s">
        <v>42</v>
      </c>
      <c r="M180" t="s">
        <v>86</v>
      </c>
      <c r="N180" t="s">
        <v>32</v>
      </c>
      <c r="O180" t="s">
        <v>1426</v>
      </c>
      <c r="P180" t="s">
        <v>1427</v>
      </c>
      <c r="Q180" t="s">
        <v>32</v>
      </c>
      <c r="R180" t="s">
        <v>1428</v>
      </c>
      <c r="S180" t="s">
        <v>1429</v>
      </c>
      <c r="T180" t="s">
        <v>36</v>
      </c>
      <c r="U180" t="s">
        <v>36</v>
      </c>
      <c r="V180" t="s">
        <v>36</v>
      </c>
      <c r="W180" t="s">
        <v>1430</v>
      </c>
      <c r="X180" t="s">
        <v>36</v>
      </c>
      <c r="Y180" t="s">
        <v>36</v>
      </c>
      <c r="Z180" t="s">
        <v>36</v>
      </c>
    </row>
    <row r="181">
      <c r="A181" t="s">
        <v>1431</v>
      </c>
      <c r="B181" t="s">
        <v>409</v>
      </c>
      <c r="C181" t="s">
        <v>32</v>
      </c>
      <c r="D181" t="s">
        <v>41</v>
      </c>
      <c r="E181">
        <v>12182</v>
      </c>
      <c r="F181">
        <v>71257</v>
      </c>
      <c r="G181">
        <v>39182</v>
      </c>
      <c r="H181">
        <v>27000</v>
      </c>
      <c r="I181">
        <v>56422</v>
      </c>
      <c r="J181" t="str">
        <f>HYPERLINK("https://www.eneba.com/latam/steam-resident-evil-2-biohazard-re-2-deluxe-edition-steam-key-latam","Abrir compra")</f>
        <v>Abrir compra</v>
      </c>
      <c r="K181" t="str">
        <f>HYPERLINK("https://store.steampowered.com/app/883710/Resident_Evil_2/?curator_clanid=4777282","Abrir Steam")</f>
        <v>Abrir Steam</v>
      </c>
      <c r="L181" t="s">
        <v>194</v>
      </c>
      <c r="M181" t="s">
        <v>31</v>
      </c>
      <c r="N181" t="s">
        <v>32</v>
      </c>
      <c r="O181" t="s">
        <v>1432</v>
      </c>
      <c r="P181" t="s">
        <v>1433</v>
      </c>
      <c r="Q181" t="s">
        <v>32</v>
      </c>
      <c r="R181" t="s">
        <v>1434</v>
      </c>
      <c r="S181" t="s">
        <v>1435</v>
      </c>
      <c r="T181" t="s">
        <v>1436</v>
      </c>
      <c r="U181" t="s">
        <v>1437</v>
      </c>
      <c r="V181" t="s">
        <v>36</v>
      </c>
      <c r="W181" t="s">
        <v>1438</v>
      </c>
      <c r="X181" t="s">
        <v>1439</v>
      </c>
      <c r="Y181" t="s">
        <v>1440</v>
      </c>
      <c r="Z181" t="s">
        <v>36</v>
      </c>
    </row>
    <row r="182">
      <c r="A182" t="s">
        <v>1431</v>
      </c>
      <c r="B182" t="s">
        <v>53</v>
      </c>
      <c r="C182" t="s">
        <v>32</v>
      </c>
      <c r="D182" t="s">
        <v>41</v>
      </c>
      <c r="E182">
        <v>9369</v>
      </c>
      <c r="F182">
        <v>52986</v>
      </c>
      <c r="G182">
        <v>38697</v>
      </c>
      <c r="H182">
        <v>29328</v>
      </c>
      <c r="I182">
        <v>55724</v>
      </c>
      <c r="J182" t="str">
        <f>HYPERLINK("https://driffle.com/es/resident-evil-2-biohazard-re-2-latam-pc-steam-digital-code-p9887138","Abrir compra")</f>
        <v>Abrir compra</v>
      </c>
      <c r="K182" t="str">
        <f>HYPERLINK("https://store.steampowered.com/app/883710/Resident_Evil_2/?curator_clanid=4777282","Abrir Steam")</f>
        <v>Abrir Steam</v>
      </c>
      <c r="L182" t="s">
        <v>30</v>
      </c>
      <c r="M182" t="s">
        <v>31</v>
      </c>
      <c r="N182" t="s">
        <v>32</v>
      </c>
      <c r="O182" t="s">
        <v>1441</v>
      </c>
      <c r="P182" t="s">
        <v>1442</v>
      </c>
      <c r="Q182" t="s">
        <v>32</v>
      </c>
      <c r="R182" t="s">
        <v>1443</v>
      </c>
      <c r="S182" t="s">
        <v>1444</v>
      </c>
      <c r="T182" t="s">
        <v>1445</v>
      </c>
      <c r="U182" t="s">
        <v>1238</v>
      </c>
      <c r="V182" t="s">
        <v>36</v>
      </c>
      <c r="W182" t="s">
        <v>1446</v>
      </c>
      <c r="X182" t="s">
        <v>1447</v>
      </c>
      <c r="Y182" t="s">
        <v>1448</v>
      </c>
      <c r="Z182" t="s">
        <v>36</v>
      </c>
    </row>
    <row r="183">
      <c r="A183" t="s">
        <v>1431</v>
      </c>
      <c r="B183" t="s">
        <v>63</v>
      </c>
      <c r="C183" t="s">
        <v>28</v>
      </c>
      <c r="D183" t="s">
        <v>29</v>
      </c>
      <c r="E183">
        <v>10080</v>
      </c>
      <c r="F183">
        <v>52986</v>
      </c>
      <c r="G183">
        <v>30697</v>
      </c>
      <c r="H183">
        <v>20617</v>
      </c>
      <c r="I183">
        <v>44204</v>
      </c>
      <c r="J183" t="str">
        <f>HYPERLINK("https://www.kinguin.net/es/category/199156/resident-evil-2-steam-account","Abrir compra")</f>
        <v>Abrir compra</v>
      </c>
      <c r="K183" t="str">
        <f>HYPERLINK("https://store.steampowered.com/app/883710/Resident_Evil_2/?curator_clanid=4777282","Abrir Steam")</f>
        <v>Abrir Steam</v>
      </c>
      <c r="L183" t="s">
        <v>42</v>
      </c>
      <c r="M183" t="s">
        <v>72</v>
      </c>
      <c r="N183" t="s">
        <v>32</v>
      </c>
      <c r="O183" t="s">
        <v>1449</v>
      </c>
      <c r="P183" t="s">
        <v>1450</v>
      </c>
      <c r="Q183" t="s">
        <v>32</v>
      </c>
      <c r="R183" t="s">
        <v>1451</v>
      </c>
      <c r="S183" t="s">
        <v>1452</v>
      </c>
      <c r="T183" t="s">
        <v>36</v>
      </c>
      <c r="U183" t="s">
        <v>36</v>
      </c>
      <c r="V183" t="s">
        <v>36</v>
      </c>
      <c r="W183" t="s">
        <v>1453</v>
      </c>
      <c r="X183" t="s">
        <v>36</v>
      </c>
      <c r="Y183" t="s">
        <v>36</v>
      </c>
      <c r="Z183" t="s">
        <v>36</v>
      </c>
    </row>
    <row r="184">
      <c r="A184" t="s">
        <v>1454</v>
      </c>
      <c r="B184" t="s">
        <v>53</v>
      </c>
      <c r="C184" t="s">
        <v>32</v>
      </c>
      <c r="D184" t="s">
        <v>41</v>
      </c>
      <c r="E184">
        <v>9275</v>
      </c>
      <c r="F184">
        <v>52986</v>
      </c>
      <c r="G184">
        <v>37180</v>
      </c>
      <c r="H184">
        <v>27905</v>
      </c>
      <c r="I184">
        <v>53539</v>
      </c>
      <c r="J184" t="str">
        <f>HYPERLINK("https://www.eneba.com/latam/steam-resident-evil-3-steam-key-latam","Abrir compra")</f>
        <v>Abrir compra</v>
      </c>
      <c r="K184" t="str">
        <f>HYPERLINK("https://store.steampowered.com/app/952060/Resident_Evil_3/?curator_clanid=4777282","Abrir Steam")</f>
        <v>Abrir Steam</v>
      </c>
      <c r="L184" t="s">
        <v>194</v>
      </c>
      <c r="M184" t="s">
        <v>31</v>
      </c>
      <c r="N184" t="s">
        <v>32</v>
      </c>
      <c r="O184" t="s">
        <v>1455</v>
      </c>
      <c r="P184" t="s">
        <v>1456</v>
      </c>
      <c r="Q184" t="s">
        <v>32</v>
      </c>
      <c r="R184" t="s">
        <v>1457</v>
      </c>
      <c r="S184" t="s">
        <v>36</v>
      </c>
      <c r="T184" t="s">
        <v>1458</v>
      </c>
      <c r="U184" t="s">
        <v>1459</v>
      </c>
      <c r="V184" t="s">
        <v>36</v>
      </c>
      <c r="W184" t="s">
        <v>1460</v>
      </c>
      <c r="X184" t="s">
        <v>1461</v>
      </c>
      <c r="Y184" t="s">
        <v>1462</v>
      </c>
      <c r="Z184" t="s">
        <v>36</v>
      </c>
    </row>
    <row r="185">
      <c r="A185" t="s">
        <v>1454</v>
      </c>
      <c r="B185" t="s">
        <v>63</v>
      </c>
      <c r="C185" t="s">
        <v>28</v>
      </c>
      <c r="D185" t="s">
        <v>29</v>
      </c>
      <c r="E185">
        <v>6288</v>
      </c>
      <c r="F185">
        <v>52986</v>
      </c>
      <c r="G185">
        <v>29180</v>
      </c>
      <c r="H185">
        <v>22892</v>
      </c>
      <c r="I185">
        <v>42019</v>
      </c>
      <c r="J185" t="str">
        <f>HYPERLINK("https://driffle.com/es/resident-evil-3-global-pc-steam-account-p9997169","Abrir compra")</f>
        <v>Abrir compra</v>
      </c>
      <c r="K185" t="str">
        <f>HYPERLINK("https://store.steampowered.com/app/952060/Resident_Evil_3/?curator_clanid=4777282","Abrir Steam")</f>
        <v>Abrir Steam</v>
      </c>
      <c r="L185" t="s">
        <v>30</v>
      </c>
      <c r="M185" t="s">
        <v>86</v>
      </c>
      <c r="N185" t="s">
        <v>32</v>
      </c>
      <c r="O185" t="s">
        <v>1463</v>
      </c>
      <c r="P185" t="s">
        <v>1464</v>
      </c>
      <c r="Q185" t="s">
        <v>32</v>
      </c>
      <c r="R185" t="s">
        <v>1465</v>
      </c>
      <c r="S185" t="s">
        <v>36</v>
      </c>
      <c r="T185" t="s">
        <v>36</v>
      </c>
      <c r="U185" t="s">
        <v>1466</v>
      </c>
      <c r="V185" t="s">
        <v>36</v>
      </c>
      <c r="W185" t="s">
        <v>1467</v>
      </c>
      <c r="X185" t="s">
        <v>36</v>
      </c>
      <c r="Y185" t="s">
        <v>1468</v>
      </c>
      <c r="Z185" t="s">
        <v>36</v>
      </c>
    </row>
    <row r="186">
      <c r="A186" t="s">
        <v>1469</v>
      </c>
      <c r="B186" t="s">
        <v>53</v>
      </c>
      <c r="C186" t="s">
        <v>32</v>
      </c>
      <c r="D186" t="s">
        <v>41</v>
      </c>
      <c r="E186">
        <v>13651</v>
      </c>
      <c r="F186">
        <v>52986</v>
      </c>
      <c r="G186">
        <v>39190</v>
      </c>
      <c r="H186">
        <v>25539</v>
      </c>
      <c r="I186">
        <v>56434</v>
      </c>
      <c r="J186" t="str">
        <f>HYPERLINK("https://www.kinguin.net/es/category/286215/resident-evil-4-2023-latam-pc-steam-cd-key","Abrir compra")</f>
        <v>Abrir compra</v>
      </c>
      <c r="K186" t="str">
        <f>HYPERLINK("https://store.steampowered.com/app/2050650/Resident_Evil_4/","Abrir Steam")</f>
        <v>Abrir Steam</v>
      </c>
      <c r="L186" t="s">
        <v>42</v>
      </c>
      <c r="M186" t="s">
        <v>31</v>
      </c>
      <c r="N186" t="s">
        <v>32</v>
      </c>
      <c r="O186" t="s">
        <v>1470</v>
      </c>
      <c r="P186" t="s">
        <v>1471</v>
      </c>
      <c r="Q186" t="s">
        <v>32</v>
      </c>
      <c r="R186" t="s">
        <v>1472</v>
      </c>
      <c r="S186" t="s">
        <v>1473</v>
      </c>
      <c r="T186" t="s">
        <v>36</v>
      </c>
      <c r="U186" t="s">
        <v>1437</v>
      </c>
      <c r="V186" t="s">
        <v>36</v>
      </c>
      <c r="W186" t="s">
        <v>1474</v>
      </c>
      <c r="X186" t="s">
        <v>1475</v>
      </c>
      <c r="Y186" t="s">
        <v>1476</v>
      </c>
      <c r="Z186" t="s">
        <v>36</v>
      </c>
    </row>
    <row r="187">
      <c r="A187" t="s">
        <v>1469</v>
      </c>
      <c r="B187" t="s">
        <v>63</v>
      </c>
      <c r="C187" t="s">
        <v>28</v>
      </c>
      <c r="D187" t="s">
        <v>29</v>
      </c>
      <c r="E187">
        <v>11313</v>
      </c>
      <c r="F187">
        <v>52986</v>
      </c>
      <c r="G187">
        <v>31190</v>
      </c>
      <c r="H187">
        <v>19877</v>
      </c>
      <c r="I187">
        <v>44914</v>
      </c>
      <c r="J187" t="str">
        <f>HYPERLINK("https://www.kinguin.net/es/category/151130/resident-evil-4-2023-pc-steam-account","Abrir compra")</f>
        <v>Abrir compra</v>
      </c>
      <c r="K187" t="str">
        <f>HYPERLINK("https://store.steampowered.com/app/2050650/Resident_Evil_4/","Abrir Steam")</f>
        <v>Abrir Steam</v>
      </c>
      <c r="L187" t="s">
        <v>42</v>
      </c>
      <c r="M187" t="s">
        <v>86</v>
      </c>
      <c r="N187" t="s">
        <v>32</v>
      </c>
      <c r="O187" t="s">
        <v>1477</v>
      </c>
      <c r="P187" t="s">
        <v>1478</v>
      </c>
      <c r="Q187" t="s">
        <v>32</v>
      </c>
      <c r="R187" t="s">
        <v>1479</v>
      </c>
      <c r="S187" t="s">
        <v>1480</v>
      </c>
      <c r="T187" t="s">
        <v>36</v>
      </c>
      <c r="U187" t="s">
        <v>36</v>
      </c>
      <c r="V187" t="s">
        <v>36</v>
      </c>
      <c r="W187" t="s">
        <v>1481</v>
      </c>
      <c r="X187" t="s">
        <v>36</v>
      </c>
      <c r="Y187" t="s">
        <v>36</v>
      </c>
      <c r="Z187" t="s">
        <v>36</v>
      </c>
    </row>
    <row r="188">
      <c r="A188" t="s">
        <v>1469</v>
      </c>
      <c r="B188" t="s">
        <v>1482</v>
      </c>
      <c r="C188" t="s">
        <v>32</v>
      </c>
      <c r="D188" t="s">
        <v>41</v>
      </c>
      <c r="E188">
        <v>20572</v>
      </c>
      <c r="F188">
        <v>71257</v>
      </c>
      <c r="G188">
        <v>50758</v>
      </c>
      <c r="H188">
        <v>30186</v>
      </c>
      <c r="I188">
        <v>73092</v>
      </c>
      <c r="J188" t="str">
        <f>HYPERLINK("https://www.eneba.com/latam/steam-resident-evil-4-gold-edition-pc-steam-key-latam","Abrir compra")</f>
        <v>Abrir compra</v>
      </c>
      <c r="K188" t="str">
        <f>HYPERLINK("https://store.steampowered.com/app/2050650/Resident_Evil_4/","Abrir Steam")</f>
        <v>Abrir Steam</v>
      </c>
      <c r="L188" t="s">
        <v>194</v>
      </c>
      <c r="M188" t="s">
        <v>31</v>
      </c>
      <c r="N188" t="s">
        <v>32</v>
      </c>
      <c r="O188" t="s">
        <v>1483</v>
      </c>
      <c r="P188" t="s">
        <v>1484</v>
      </c>
      <c r="Q188" t="s">
        <v>32</v>
      </c>
      <c r="R188" t="s">
        <v>1485</v>
      </c>
      <c r="S188" t="s">
        <v>1486</v>
      </c>
      <c r="T188" t="s">
        <v>1487</v>
      </c>
      <c r="U188" t="s">
        <v>36</v>
      </c>
      <c r="V188" t="s">
        <v>36</v>
      </c>
      <c r="W188" t="s">
        <v>1488</v>
      </c>
      <c r="X188" t="s">
        <v>1489</v>
      </c>
      <c r="Y188" t="s">
        <v>36</v>
      </c>
      <c r="Z188" t="s">
        <v>36</v>
      </c>
    </row>
    <row r="189">
      <c r="A189" t="s">
        <v>1469</v>
      </c>
      <c r="B189" t="s">
        <v>455</v>
      </c>
      <c r="C189" t="s">
        <v>28</v>
      </c>
      <c r="D189" t="s">
        <v>29</v>
      </c>
      <c r="E189">
        <v>22420</v>
      </c>
      <c r="F189">
        <v>71257</v>
      </c>
      <c r="G189">
        <v>42758</v>
      </c>
      <c r="H189">
        <v>20338</v>
      </c>
      <c r="I189">
        <v>61572</v>
      </c>
      <c r="J189" t="str">
        <f>HYPERLINK("https://www.kinguin.net/es/category/214865/resident-evil-4-2023-gold-edition-pc-steam-account","Abrir compra")</f>
        <v>Abrir compra</v>
      </c>
      <c r="K189" t="str">
        <f>HYPERLINK("https://store.steampowered.com/app/2050650/Resident_Evil_4/","Abrir Steam")</f>
        <v>Abrir Steam</v>
      </c>
      <c r="L189" t="s">
        <v>42</v>
      </c>
      <c r="M189" t="s">
        <v>72</v>
      </c>
      <c r="N189" t="s">
        <v>32</v>
      </c>
      <c r="O189" t="s">
        <v>1490</v>
      </c>
      <c r="P189" t="s">
        <v>1491</v>
      </c>
      <c r="Q189" t="s">
        <v>32</v>
      </c>
      <c r="R189" t="s">
        <v>1492</v>
      </c>
      <c r="S189" t="s">
        <v>1493</v>
      </c>
      <c r="T189" t="s">
        <v>36</v>
      </c>
      <c r="U189" t="s">
        <v>36</v>
      </c>
      <c r="V189" t="s">
        <v>36</v>
      </c>
      <c r="W189" t="s">
        <v>1494</v>
      </c>
      <c r="X189" t="s">
        <v>36</v>
      </c>
      <c r="Y189" t="s">
        <v>36</v>
      </c>
      <c r="Z189" t="s">
        <v>36</v>
      </c>
    </row>
    <row r="190">
      <c r="A190" t="s">
        <v>1495</v>
      </c>
      <c r="B190" t="s">
        <v>1496</v>
      </c>
      <c r="C190" t="s">
        <v>32</v>
      </c>
      <c r="D190" t="s">
        <v>41</v>
      </c>
      <c r="E190">
        <v>33970</v>
      </c>
      <c r="F190">
        <v>71257</v>
      </c>
      <c r="G190">
        <v>53191</v>
      </c>
      <c r="H190">
        <v>19221</v>
      </c>
      <c r="I190">
        <v>76595</v>
      </c>
      <c r="J190" t="str">
        <f>HYPERLINK("https://www.eneba.com/latam/steam-resident-evil-7-gold-edition-village-gold-edition-pc-steam-key-latam","Abrir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194</v>
      </c>
      <c r="M190" t="s">
        <v>31</v>
      </c>
      <c r="N190" t="s">
        <v>32</v>
      </c>
      <c r="O190" t="s">
        <v>1497</v>
      </c>
      <c r="P190" t="s">
        <v>1498</v>
      </c>
      <c r="Q190" t="s">
        <v>32</v>
      </c>
      <c r="R190" t="s">
        <v>1499</v>
      </c>
      <c r="S190" t="s">
        <v>36</v>
      </c>
      <c r="T190" t="s">
        <v>703</v>
      </c>
      <c r="U190" t="s">
        <v>36</v>
      </c>
      <c r="V190" t="s">
        <v>36</v>
      </c>
      <c r="W190" t="s">
        <v>1500</v>
      </c>
      <c r="X190" t="s">
        <v>1501</v>
      </c>
      <c r="Y190" t="s">
        <v>1502</v>
      </c>
      <c r="Z190" t="s">
        <v>36</v>
      </c>
    </row>
    <row r="191">
      <c r="A191" t="s">
        <v>1495</v>
      </c>
      <c r="B191" t="s">
        <v>1503</v>
      </c>
      <c r="C191" t="s">
        <v>28</v>
      </c>
      <c r="D191" t="s">
        <v>29</v>
      </c>
      <c r="E191">
        <v>28503</v>
      </c>
      <c r="F191">
        <v>71257</v>
      </c>
      <c r="G191">
        <v>45191</v>
      </c>
      <c r="H191">
        <v>16688</v>
      </c>
      <c r="I191">
        <v>65075</v>
      </c>
      <c r="J191" t="str">
        <f>HYPERLINK("https://www.kinguin.net/es/category/159039/resident-evil-7-gold-edition-village-gold-edition-bundle-steam-account","Abrir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42</v>
      </c>
      <c r="M191" t="s">
        <v>72</v>
      </c>
      <c r="N191" t="s">
        <v>32</v>
      </c>
      <c r="O191" t="s">
        <v>1504</v>
      </c>
      <c r="P191" t="s">
        <v>1505</v>
      </c>
      <c r="Q191" t="s">
        <v>32</v>
      </c>
      <c r="R191" t="s">
        <v>1506</v>
      </c>
      <c r="S191" t="s">
        <v>1507</v>
      </c>
      <c r="T191" t="s">
        <v>36</v>
      </c>
      <c r="U191" t="s">
        <v>36</v>
      </c>
      <c r="V191" t="s">
        <v>36</v>
      </c>
      <c r="W191" t="s">
        <v>1508</v>
      </c>
      <c r="X191" t="s">
        <v>36</v>
      </c>
      <c r="Y191" t="s">
        <v>36</v>
      </c>
      <c r="Z191" t="s">
        <v>36</v>
      </c>
    </row>
    <row r="192">
      <c r="A192" t="s">
        <v>1509</v>
      </c>
      <c r="B192" t="s">
        <v>53</v>
      </c>
      <c r="C192" t="s">
        <v>32</v>
      </c>
      <c r="D192" t="s">
        <v>41</v>
      </c>
      <c r="E192">
        <v>10065</v>
      </c>
      <c r="F192">
        <v>27407</v>
      </c>
      <c r="G192">
        <v>39337</v>
      </c>
      <c r="H192">
        <v>29272</v>
      </c>
      <c r="I192">
        <v>56645</v>
      </c>
      <c r="J192" t="str">
        <f>HYPERLINK("https://www.eneba.com/latam/steam-resident-evil-7-biohazard-steam-key-latam","Abrir compra")</f>
        <v>Abrir compra</v>
      </c>
      <c r="K192" t="str">
        <f>HYPERLINK("https://store.steampowered.com/app/418370/Resident_Evil_7_Biohazard/","Abrir Steam")</f>
        <v>Abrir Steam</v>
      </c>
      <c r="L192" t="s">
        <v>194</v>
      </c>
      <c r="M192" t="s">
        <v>31</v>
      </c>
      <c r="N192" t="s">
        <v>32</v>
      </c>
      <c r="O192" t="s">
        <v>1510</v>
      </c>
      <c r="P192" t="s">
        <v>1511</v>
      </c>
      <c r="Q192" t="s">
        <v>32</v>
      </c>
      <c r="R192" t="s">
        <v>1512</v>
      </c>
      <c r="S192" t="s">
        <v>1513</v>
      </c>
      <c r="T192" t="s">
        <v>1514</v>
      </c>
      <c r="U192" t="s">
        <v>1515</v>
      </c>
      <c r="V192" t="s">
        <v>36</v>
      </c>
      <c r="W192" t="s">
        <v>1516</v>
      </c>
      <c r="X192" t="s">
        <v>1517</v>
      </c>
      <c r="Y192" t="s">
        <v>1518</v>
      </c>
      <c r="Z192" t="s">
        <v>36</v>
      </c>
    </row>
    <row r="193">
      <c r="A193" t="s">
        <v>1509</v>
      </c>
      <c r="B193" t="s">
        <v>63</v>
      </c>
      <c r="C193" t="s">
        <v>28</v>
      </c>
      <c r="D193" t="s">
        <v>29</v>
      </c>
      <c r="E193">
        <v>16337</v>
      </c>
      <c r="F193">
        <v>27407</v>
      </c>
      <c r="G193">
        <v>31337</v>
      </c>
      <c r="H193">
        <v>15000</v>
      </c>
      <c r="I193">
        <v>45125</v>
      </c>
      <c r="J193" t="str">
        <f>HYPERLINK("https://www.kinguin.net/es/category/282608/resident-evil-7-biohazard-pc-steam-account","Abrir compra")</f>
        <v>Abrir compra</v>
      </c>
      <c r="K193" t="str">
        <f>HYPERLINK("https://store.steampowered.com/app/418370/Resident_Evil_7_Biohazard/","Abrir Steam")</f>
        <v>Abrir Steam</v>
      </c>
      <c r="L193" t="s">
        <v>42</v>
      </c>
      <c r="M193" t="s">
        <v>72</v>
      </c>
      <c r="N193" t="s">
        <v>32</v>
      </c>
      <c r="O193" t="s">
        <v>1519</v>
      </c>
      <c r="P193" t="s">
        <v>1520</v>
      </c>
      <c r="Q193" t="s">
        <v>32</v>
      </c>
      <c r="R193" t="s">
        <v>1521</v>
      </c>
      <c r="S193" t="s">
        <v>1522</v>
      </c>
      <c r="T193" t="s">
        <v>36</v>
      </c>
      <c r="U193" t="s">
        <v>36</v>
      </c>
      <c r="V193" t="s">
        <v>36</v>
      </c>
      <c r="W193" t="s">
        <v>1523</v>
      </c>
      <c r="X193" t="s">
        <v>36</v>
      </c>
      <c r="Y193" t="s">
        <v>36</v>
      </c>
      <c r="Z193" t="s">
        <v>36</v>
      </c>
    </row>
    <row r="194">
      <c r="A194" t="s">
        <v>1509</v>
      </c>
      <c r="B194" t="s">
        <v>1482</v>
      </c>
      <c r="C194" t="s">
        <v>32</v>
      </c>
      <c r="D194" t="s">
        <v>41</v>
      </c>
      <c r="E194">
        <v>12198</v>
      </c>
      <c r="F194">
        <v>109608</v>
      </c>
      <c r="G194">
        <v>39198</v>
      </c>
      <c r="H194">
        <v>27000</v>
      </c>
      <c r="I194">
        <v>56445</v>
      </c>
      <c r="J194" t="str">
        <f>HYPERLINK("https://www.eneba.com/latam/steam-resident-evil-7-biohazard-gold-edition-steam-key-latam","Abrir compra")</f>
        <v>Abrir compra</v>
      </c>
      <c r="K194" t="str">
        <f>HYPERLINK("https://store.steampowered.com/app/418370/Resident_Evil_7_Biohazard/","Abrir Steam")</f>
        <v>Abrir Steam</v>
      </c>
      <c r="L194" t="s">
        <v>194</v>
      </c>
      <c r="M194" t="s">
        <v>31</v>
      </c>
      <c r="N194" t="s">
        <v>32</v>
      </c>
      <c r="O194" t="s">
        <v>1524</v>
      </c>
      <c r="P194" t="s">
        <v>1525</v>
      </c>
      <c r="Q194" t="s">
        <v>32</v>
      </c>
      <c r="R194" t="s">
        <v>1526</v>
      </c>
      <c r="S194" t="s">
        <v>1527</v>
      </c>
      <c r="T194" t="s">
        <v>1528</v>
      </c>
      <c r="U194" t="s">
        <v>1529</v>
      </c>
      <c r="V194" t="s">
        <v>36</v>
      </c>
      <c r="W194" t="s">
        <v>1530</v>
      </c>
      <c r="X194" t="s">
        <v>1531</v>
      </c>
      <c r="Y194" t="s">
        <v>1532</v>
      </c>
      <c r="Z194" t="s">
        <v>36</v>
      </c>
    </row>
    <row r="195">
      <c r="A195" t="s">
        <v>1533</v>
      </c>
      <c r="B195" t="s">
        <v>409</v>
      </c>
      <c r="C195" t="s">
        <v>32</v>
      </c>
      <c r="D195" t="s">
        <v>41</v>
      </c>
      <c r="E195">
        <v>72696</v>
      </c>
      <c r="F195">
        <v>109608</v>
      </c>
      <c r="G195">
        <v>103903</v>
      </c>
      <c r="H195">
        <v>31207</v>
      </c>
      <c r="I195">
        <v>149620</v>
      </c>
      <c r="J195" t="str">
        <f>HYPERLINK("https://www.eneba.com/latam/steam-resident-evil-requiem-deluxe-edition-steam-key-pc-latam","Abrir compra")</f>
        <v>Abrir compra</v>
      </c>
      <c r="K195" t="str">
        <f>HYPERLINK("https://store.steampowered.com/app/3764200/Resident_Evil_Requiem/","Abrir Steam")</f>
        <v>Abrir Steam</v>
      </c>
      <c r="L195" t="s">
        <v>194</v>
      </c>
      <c r="M195" t="s">
        <v>31</v>
      </c>
      <c r="N195" t="s">
        <v>32</v>
      </c>
      <c r="O195" t="s">
        <v>1534</v>
      </c>
      <c r="P195" t="s">
        <v>1535</v>
      </c>
      <c r="Q195" t="s">
        <v>32</v>
      </c>
      <c r="R195" t="s">
        <v>1536</v>
      </c>
      <c r="S195" t="s">
        <v>1537</v>
      </c>
      <c r="T195" t="s">
        <v>1538</v>
      </c>
      <c r="U195" t="s">
        <v>1539</v>
      </c>
      <c r="V195" t="s">
        <v>36</v>
      </c>
      <c r="W195" t="s">
        <v>1540</v>
      </c>
      <c r="X195" t="s">
        <v>1541</v>
      </c>
      <c r="Y195" t="s">
        <v>1542</v>
      </c>
      <c r="Z195" t="s">
        <v>1543</v>
      </c>
    </row>
    <row r="196">
      <c r="A196" t="s">
        <v>1533</v>
      </c>
      <c r="B196" t="s">
        <v>27</v>
      </c>
      <c r="C196" t="s">
        <v>28</v>
      </c>
      <c r="D196" t="s">
        <v>29</v>
      </c>
      <c r="E196">
        <v>75350</v>
      </c>
      <c r="F196">
        <v>109608</v>
      </c>
      <c r="G196">
        <v>90350</v>
      </c>
      <c r="H196">
        <v>15000</v>
      </c>
      <c r="I196">
        <v>130104</v>
      </c>
      <c r="J196" t="str">
        <f>HYPERLINK("https://www.kinguin.net/es/category/406014/resident-evil-requiem-deluxe-edition-pc-steam-account","Abrir compra")</f>
        <v>Abrir compra</v>
      </c>
      <c r="K196" t="str">
        <f>HYPERLINK("https://store.steampowered.com/app/3764200/Resident_Evil_Requiem/","Abrir Steam")</f>
        <v>Abrir Steam</v>
      </c>
      <c r="L196" t="s">
        <v>42</v>
      </c>
      <c r="M196" t="s">
        <v>86</v>
      </c>
      <c r="N196" t="s">
        <v>32</v>
      </c>
      <c r="O196" t="s">
        <v>1544</v>
      </c>
      <c r="P196" t="s">
        <v>1545</v>
      </c>
      <c r="Q196" t="s">
        <v>32</v>
      </c>
      <c r="R196" t="s">
        <v>1546</v>
      </c>
      <c r="S196" t="s">
        <v>1547</v>
      </c>
      <c r="T196" t="s">
        <v>36</v>
      </c>
      <c r="U196" t="s">
        <v>36</v>
      </c>
      <c r="V196" t="s">
        <v>36</v>
      </c>
      <c r="W196" t="s">
        <v>1548</v>
      </c>
      <c r="X196" t="s">
        <v>36</v>
      </c>
      <c r="Y196" t="s">
        <v>36</v>
      </c>
      <c r="Z196" t="s">
        <v>36</v>
      </c>
    </row>
    <row r="197">
      <c r="A197" t="s">
        <v>1533</v>
      </c>
      <c r="B197" t="s">
        <v>53</v>
      </c>
      <c r="C197" t="s">
        <v>32</v>
      </c>
      <c r="D197" t="s">
        <v>41</v>
      </c>
      <c r="E197">
        <v>60688</v>
      </c>
      <c r="F197">
        <v>96836</v>
      </c>
      <c r="G197">
        <v>75688</v>
      </c>
      <c r="H197">
        <v>15000</v>
      </c>
      <c r="I197">
        <v>108991</v>
      </c>
      <c r="J197" t="str">
        <f>HYPERLINK("https://www.eneba.com/latam/steam-resident-evil-requiem-steam-key-pc-latam","Abrir compra")</f>
        <v>Abrir compra</v>
      </c>
      <c r="K197" t="str">
        <f>HYPERLINK("https://store.steampowered.com/app/3764200/Resident_Evil_Requiem/","Abrir Steam")</f>
        <v>Abrir Steam</v>
      </c>
      <c r="L197" t="s">
        <v>194</v>
      </c>
      <c r="M197" t="s">
        <v>31</v>
      </c>
      <c r="N197" t="s">
        <v>32</v>
      </c>
      <c r="O197" t="s">
        <v>1549</v>
      </c>
      <c r="P197" t="s">
        <v>1550</v>
      </c>
      <c r="Q197" t="s">
        <v>32</v>
      </c>
      <c r="R197" t="s">
        <v>1551</v>
      </c>
      <c r="S197" t="s">
        <v>1552</v>
      </c>
      <c r="T197" t="s">
        <v>1553</v>
      </c>
      <c r="U197" t="s">
        <v>1554</v>
      </c>
      <c r="V197" t="s">
        <v>36</v>
      </c>
      <c r="W197" t="s">
        <v>1555</v>
      </c>
      <c r="X197" t="s">
        <v>1556</v>
      </c>
      <c r="Y197" t="s">
        <v>1557</v>
      </c>
      <c r="Z197" t="s">
        <v>1558</v>
      </c>
    </row>
    <row r="198">
      <c r="A198" t="s">
        <v>1533</v>
      </c>
      <c r="B198" t="s">
        <v>63</v>
      </c>
      <c r="C198" t="s">
        <v>28</v>
      </c>
      <c r="D198" t="s">
        <v>29</v>
      </c>
      <c r="E198">
        <v>45725</v>
      </c>
      <c r="F198">
        <v>96836</v>
      </c>
      <c r="G198">
        <v>62056</v>
      </c>
      <c r="H198">
        <v>16331</v>
      </c>
      <c r="I198">
        <v>89361</v>
      </c>
      <c r="J198" t="str">
        <f>HYPERLINK("https://www.kinguin.net/es/category/405998/resident-evil-requiem-pc-steam-account","Abrir compra")</f>
        <v>Abrir compra</v>
      </c>
      <c r="K198" t="str">
        <f>HYPERLINK("https://store.steampowered.com/app/3764200/Resident_Evil_Requiem/","Abrir Steam")</f>
        <v>Abrir Steam</v>
      </c>
      <c r="L198" t="s">
        <v>42</v>
      </c>
      <c r="M198" t="s">
        <v>86</v>
      </c>
      <c r="N198" t="s">
        <v>32</v>
      </c>
      <c r="O198" t="s">
        <v>1559</v>
      </c>
      <c r="P198" t="s">
        <v>1560</v>
      </c>
      <c r="Q198" t="s">
        <v>32</v>
      </c>
      <c r="R198" t="s">
        <v>1561</v>
      </c>
      <c r="S198" t="s">
        <v>1562</v>
      </c>
      <c r="T198" t="s">
        <v>36</v>
      </c>
      <c r="U198" t="s">
        <v>36</v>
      </c>
      <c r="V198" t="s">
        <v>36</v>
      </c>
      <c r="W198" t="s">
        <v>1563</v>
      </c>
      <c r="X198" t="s">
        <v>36</v>
      </c>
      <c r="Y198" t="s">
        <v>36</v>
      </c>
      <c r="Z198" t="s">
        <v>36</v>
      </c>
    </row>
    <row r="199">
      <c r="A199" t="s">
        <v>1564</v>
      </c>
      <c r="B199" t="s">
        <v>53</v>
      </c>
      <c r="C199" t="s">
        <v>32</v>
      </c>
      <c r="D199" t="s">
        <v>41</v>
      </c>
      <c r="E199">
        <v>11850</v>
      </c>
      <c r="F199">
        <v>52986</v>
      </c>
      <c r="G199">
        <v>39740</v>
      </c>
      <c r="H199">
        <v>27890</v>
      </c>
      <c r="I199">
        <v>57226</v>
      </c>
      <c r="J199" t="str">
        <f>HYPERLINK("https://www.eneba.com/latam/steam-resident-evil-village-resident-evil-8-steam-key-latam","Abrir compra")</f>
        <v>Abrir compra</v>
      </c>
      <c r="K199" t="str">
        <f>HYPERLINK("https://store.steampowered.com/app/1196590/Resident_Evil_Village/?l=spanish","Abrir Steam")</f>
        <v>Abrir Steam</v>
      </c>
      <c r="L199" t="s">
        <v>194</v>
      </c>
      <c r="M199" t="s">
        <v>31</v>
      </c>
      <c r="N199" t="s">
        <v>32</v>
      </c>
      <c r="O199" t="s">
        <v>1565</v>
      </c>
      <c r="P199" t="s">
        <v>1566</v>
      </c>
      <c r="Q199" t="s">
        <v>32</v>
      </c>
      <c r="R199" t="s">
        <v>1567</v>
      </c>
      <c r="S199" t="s">
        <v>36</v>
      </c>
      <c r="T199" t="s">
        <v>1568</v>
      </c>
      <c r="U199" t="s">
        <v>1569</v>
      </c>
      <c r="V199" t="s">
        <v>36</v>
      </c>
      <c r="W199" t="s">
        <v>1570</v>
      </c>
      <c r="X199" t="s">
        <v>1571</v>
      </c>
      <c r="Y199" t="s">
        <v>1572</v>
      </c>
      <c r="Z199" t="s">
        <v>1573</v>
      </c>
    </row>
    <row r="200">
      <c r="A200" t="s">
        <v>1564</v>
      </c>
      <c r="B200" t="s">
        <v>63</v>
      </c>
      <c r="C200" t="s">
        <v>28</v>
      </c>
      <c r="D200" t="s">
        <v>29</v>
      </c>
      <c r="E200">
        <v>14315</v>
      </c>
      <c r="F200">
        <v>52986</v>
      </c>
      <c r="G200">
        <v>32391</v>
      </c>
      <c r="H200">
        <v>18076</v>
      </c>
      <c r="I200">
        <v>46643</v>
      </c>
      <c r="J200" t="str">
        <f>HYPERLINK("https://www.kinguin.net/es/category/159606/resident-evil-village-steam-account","Abrir compra")</f>
        <v>Abrir compra</v>
      </c>
      <c r="K200" t="str">
        <f>HYPERLINK("https://store.steampowered.com/app/1196590/Resident_Evil_Village/?l=spanish","Abrir Steam")</f>
        <v>Abrir Steam</v>
      </c>
      <c r="L200" t="s">
        <v>42</v>
      </c>
      <c r="M200" t="s">
        <v>86</v>
      </c>
      <c r="N200" t="s">
        <v>32</v>
      </c>
      <c r="O200" t="s">
        <v>1574</v>
      </c>
      <c r="P200" t="s">
        <v>1575</v>
      </c>
      <c r="Q200" t="s">
        <v>32</v>
      </c>
      <c r="R200" t="s">
        <v>1576</v>
      </c>
      <c r="S200" t="s">
        <v>610</v>
      </c>
      <c r="T200" t="s">
        <v>36</v>
      </c>
      <c r="U200" t="s">
        <v>36</v>
      </c>
      <c r="V200" t="s">
        <v>36</v>
      </c>
      <c r="W200" t="s">
        <v>1577</v>
      </c>
      <c r="X200" t="s">
        <v>36</v>
      </c>
      <c r="Y200" t="s">
        <v>36</v>
      </c>
      <c r="Z200" t="s">
        <v>36</v>
      </c>
    </row>
    <row r="201">
      <c r="A201" t="s">
        <v>1564</v>
      </c>
      <c r="B201" t="s">
        <v>1482</v>
      </c>
      <c r="C201" t="s">
        <v>32</v>
      </c>
      <c r="D201" t="s">
        <v>41</v>
      </c>
      <c r="E201">
        <v>17585</v>
      </c>
      <c r="F201">
        <v>71257</v>
      </c>
      <c r="G201">
        <v>50309</v>
      </c>
      <c r="H201">
        <v>32724</v>
      </c>
      <c r="I201">
        <v>72445</v>
      </c>
      <c r="J201" t="str">
        <f>HYPERLINK("https://www.eneba.com/latam/steam-resident-evil-village-resident-evil-8-gold-edition-pc-steam-key-latam","Abrir compra")</f>
        <v>Abrir compra</v>
      </c>
      <c r="K201" t="str">
        <f>HYPERLINK("https://store.steampowered.com/app/1196590/Resident_Evil_Village/?l=spanish","Abrir Steam")</f>
        <v>Abrir Steam</v>
      </c>
      <c r="L201" t="s">
        <v>194</v>
      </c>
      <c r="M201" t="s">
        <v>31</v>
      </c>
      <c r="N201" t="s">
        <v>32</v>
      </c>
      <c r="O201" t="s">
        <v>1578</v>
      </c>
      <c r="P201" t="s">
        <v>1579</v>
      </c>
      <c r="Q201" t="s">
        <v>32</v>
      </c>
      <c r="R201" t="s">
        <v>1580</v>
      </c>
      <c r="S201" t="s">
        <v>1581</v>
      </c>
      <c r="T201" t="s">
        <v>1582</v>
      </c>
      <c r="U201" t="s">
        <v>1583</v>
      </c>
      <c r="V201" t="s">
        <v>36</v>
      </c>
      <c r="W201" t="s">
        <v>1584</v>
      </c>
      <c r="X201" t="s">
        <v>1585</v>
      </c>
      <c r="Y201" t="s">
        <v>1586</v>
      </c>
      <c r="Z201" t="s">
        <v>1587</v>
      </c>
    </row>
    <row r="202">
      <c r="A202" t="s">
        <v>1564</v>
      </c>
      <c r="B202" t="s">
        <v>455</v>
      </c>
      <c r="C202" t="s">
        <v>28</v>
      </c>
      <c r="D202" t="s">
        <v>29</v>
      </c>
      <c r="E202">
        <v>21298</v>
      </c>
      <c r="F202">
        <v>71257</v>
      </c>
      <c r="G202">
        <v>42309</v>
      </c>
      <c r="H202">
        <v>21011</v>
      </c>
      <c r="I202">
        <v>60925</v>
      </c>
      <c r="J202" t="str">
        <f>HYPERLINK("https://www.kinguin.net/es/category/159038/resident-evil-village-gold-edition-steam-account","Abrir compra")</f>
        <v>Abrir compra</v>
      </c>
      <c r="K202" t="str">
        <f>HYPERLINK("https://store.steampowered.com/app/1196590/Resident_Evil_Village/?l=spanish","Abrir Steam")</f>
        <v>Abrir Steam</v>
      </c>
      <c r="L202" t="s">
        <v>42</v>
      </c>
      <c r="M202" t="s">
        <v>86</v>
      </c>
      <c r="N202" t="s">
        <v>32</v>
      </c>
      <c r="O202" t="s">
        <v>1588</v>
      </c>
      <c r="P202" t="s">
        <v>1589</v>
      </c>
      <c r="Q202" t="s">
        <v>32</v>
      </c>
      <c r="R202" t="s">
        <v>1590</v>
      </c>
      <c r="S202" t="s">
        <v>1591</v>
      </c>
      <c r="T202" t="s">
        <v>36</v>
      </c>
      <c r="U202" t="s">
        <v>36</v>
      </c>
      <c r="V202" t="s">
        <v>36</v>
      </c>
      <c r="W202" t="s">
        <v>1592</v>
      </c>
      <c r="X202" t="s">
        <v>36</v>
      </c>
      <c r="Y202" t="s">
        <v>36</v>
      </c>
      <c r="Z202" t="s">
        <v>36</v>
      </c>
    </row>
    <row r="203">
      <c r="A203" t="s">
        <v>1593</v>
      </c>
      <c r="B203" t="s">
        <v>53</v>
      </c>
      <c r="C203" t="s">
        <v>32</v>
      </c>
      <c r="D203" t="s">
        <v>41</v>
      </c>
      <c r="E203">
        <v>11976</v>
      </c>
      <c r="F203">
        <v>52986</v>
      </c>
      <c r="G203">
        <v>34665</v>
      </c>
      <c r="H203">
        <v>22689</v>
      </c>
      <c r="I203">
        <v>49918</v>
      </c>
      <c r="J203" t="str">
        <f>HYPERLINK("https://driffle.com/es/resident-evil-raccoon-city-edition-global-pc-steam-digital-key-p9960425","Abrir compra")</f>
        <v>Abrir compra</v>
      </c>
      <c r="K203" t="str">
        <f>HYPERLINK("https://store.steampowered.com/app/883710/Resident_Evil_2/?curator_clanid=4777282","Abrir Steam")</f>
        <v>Abrir Steam</v>
      </c>
      <c r="L203" t="s">
        <v>30</v>
      </c>
      <c r="M203" t="s">
        <v>86</v>
      </c>
      <c r="N203" t="s">
        <v>32</v>
      </c>
      <c r="O203" t="s">
        <v>1594</v>
      </c>
      <c r="P203" t="s">
        <v>1595</v>
      </c>
      <c r="Q203" t="s">
        <v>32</v>
      </c>
      <c r="R203" t="s">
        <v>1596</v>
      </c>
      <c r="S203" t="s">
        <v>36</v>
      </c>
      <c r="T203" t="s">
        <v>1597</v>
      </c>
      <c r="U203" t="s">
        <v>1598</v>
      </c>
      <c r="V203" t="s">
        <v>36</v>
      </c>
      <c r="W203" t="s">
        <v>1599</v>
      </c>
      <c r="X203" t="s">
        <v>1600</v>
      </c>
      <c r="Y203" t="s">
        <v>1601</v>
      </c>
      <c r="Z203" t="s">
        <v>36</v>
      </c>
    </row>
    <row r="204">
      <c r="A204" t="s">
        <v>1602</v>
      </c>
      <c r="B204" t="s">
        <v>1603</v>
      </c>
      <c r="C204" t="s">
        <v>28</v>
      </c>
      <c r="D204" t="s">
        <v>29</v>
      </c>
      <c r="E204">
        <v>12703</v>
      </c>
      <c r="F204">
        <v>51141</v>
      </c>
      <c r="G204">
        <v>31026</v>
      </c>
      <c r="H204">
        <v>18323</v>
      </c>
      <c r="I204">
        <v>44677</v>
      </c>
      <c r="J204" t="str">
        <f>HYPERLINK("https://driffle.com/es/sea-of-thieves-2026-edition-global-pc-steam-account-p9992474","Abrir compra")</f>
        <v>Abrir compra</v>
      </c>
      <c r="K204" t="str">
        <f>HYPERLINK("https://store.steampowered.com/app/1172620/Sea_of_Thieves_2026_Edition/","Abrir Steam")</f>
        <v>Abrir Steam</v>
      </c>
      <c r="L204" t="s">
        <v>30</v>
      </c>
      <c r="M204" t="s">
        <v>31</v>
      </c>
      <c r="N204" t="s">
        <v>32</v>
      </c>
      <c r="O204" t="s">
        <v>1604</v>
      </c>
      <c r="P204" t="s">
        <v>1605</v>
      </c>
      <c r="Q204" t="s">
        <v>32</v>
      </c>
      <c r="R204" t="s">
        <v>1606</v>
      </c>
      <c r="S204" t="s">
        <v>1607</v>
      </c>
      <c r="T204" t="s">
        <v>36</v>
      </c>
      <c r="U204" t="s">
        <v>1608</v>
      </c>
      <c r="V204" t="s">
        <v>36</v>
      </c>
      <c r="W204" t="s">
        <v>1609</v>
      </c>
      <c r="X204" t="s">
        <v>36</v>
      </c>
      <c r="Y204" t="s">
        <v>1610</v>
      </c>
      <c r="Z204" t="s">
        <v>36</v>
      </c>
    </row>
    <row r="205">
      <c r="A205" t="s">
        <v>1602</v>
      </c>
      <c r="B205" t="s">
        <v>27</v>
      </c>
      <c r="C205" t="s">
        <v>28</v>
      </c>
      <c r="D205" t="s">
        <v>29</v>
      </c>
      <c r="E205">
        <v>63421</v>
      </c>
      <c r="F205">
        <v>63930</v>
      </c>
      <c r="G205">
        <v>78421</v>
      </c>
      <c r="H205">
        <v>15000</v>
      </c>
      <c r="I205">
        <v>112926</v>
      </c>
      <c r="J205" t="str">
        <f>HYPERLINK("https://driffle.com/es/sea-of-thieves-2026-deluxe-edition-global-pc-steam-account-p9992475","Abrir compra")</f>
        <v>Abrir compra</v>
      </c>
      <c r="K205" t="str">
        <f>HYPERLINK("https://store.steampowered.com/app/1172620/Sea_of_Thieves_2026_Edition/","Abrir Steam")</f>
        <v>Abrir Steam</v>
      </c>
      <c r="L205" t="s">
        <v>30</v>
      </c>
      <c r="M205" t="s">
        <v>31</v>
      </c>
      <c r="N205" t="s">
        <v>32</v>
      </c>
      <c r="O205" t="s">
        <v>1611</v>
      </c>
      <c r="P205" t="s">
        <v>1612</v>
      </c>
      <c r="Q205" t="s">
        <v>32</v>
      </c>
      <c r="R205" t="s">
        <v>1613</v>
      </c>
      <c r="S205" t="s">
        <v>1614</v>
      </c>
      <c r="T205" t="s">
        <v>36</v>
      </c>
      <c r="U205" t="s">
        <v>1615</v>
      </c>
      <c r="V205" t="s">
        <v>36</v>
      </c>
      <c r="W205" t="s">
        <v>1616</v>
      </c>
      <c r="X205" t="s">
        <v>36</v>
      </c>
      <c r="Y205" t="s">
        <v>1617</v>
      </c>
      <c r="Z205" t="s">
        <v>36</v>
      </c>
    </row>
    <row r="206">
      <c r="A206" t="s">
        <v>1602</v>
      </c>
      <c r="B206" t="s">
        <v>769</v>
      </c>
      <c r="C206" t="s">
        <v>28</v>
      </c>
      <c r="D206" t="s">
        <v>29</v>
      </c>
      <c r="E206">
        <v>76282</v>
      </c>
      <c r="F206">
        <v>73066</v>
      </c>
      <c r="G206">
        <v>91282</v>
      </c>
      <c r="H206">
        <v>15000</v>
      </c>
      <c r="I206">
        <v>131446</v>
      </c>
      <c r="J206" t="str">
        <f>HYPERLINK("https://driffle.com/es/sea-of-thieves-2026-premium-edition-global-pc-steam-account-p9992476","Abrir compra")</f>
        <v>Abrir compra</v>
      </c>
      <c r="K206" t="str">
        <f>HYPERLINK("https://store.steampowered.com/app/1172620/Sea_of_Thieves_2026_Edition/","Abrir Steam")</f>
        <v>Abrir Steam</v>
      </c>
      <c r="L206" t="s">
        <v>30</v>
      </c>
      <c r="M206" t="s">
        <v>31</v>
      </c>
      <c r="N206" t="s">
        <v>32</v>
      </c>
      <c r="O206" t="s">
        <v>1618</v>
      </c>
      <c r="P206" t="s">
        <v>1619</v>
      </c>
      <c r="Q206" t="s">
        <v>32</v>
      </c>
      <c r="R206" t="s">
        <v>1620</v>
      </c>
      <c r="S206" t="s">
        <v>191</v>
      </c>
      <c r="T206" t="s">
        <v>36</v>
      </c>
      <c r="U206" t="s">
        <v>1621</v>
      </c>
      <c r="V206" t="s">
        <v>36</v>
      </c>
      <c r="W206" t="s">
        <v>1622</v>
      </c>
      <c r="X206" t="s">
        <v>36</v>
      </c>
      <c r="Y206" t="s">
        <v>1623</v>
      </c>
      <c r="Z206" t="s">
        <v>36</v>
      </c>
    </row>
    <row r="207">
      <c r="A207" t="s">
        <v>1624</v>
      </c>
      <c r="B207" t="s">
        <v>53</v>
      </c>
      <c r="C207" t="s">
        <v>32</v>
      </c>
      <c r="D207" t="s">
        <v>41</v>
      </c>
      <c r="E207">
        <v>40116</v>
      </c>
      <c r="F207">
        <v>60276</v>
      </c>
      <c r="G207">
        <v>55116</v>
      </c>
      <c r="H207">
        <v>15000</v>
      </c>
      <c r="I207">
        <v>79367</v>
      </c>
      <c r="J207" t="str">
        <f>HYPERLINK("https://www.loaded.com/es_es/silent-hill-2-pc-steam","Abrir compra")</f>
        <v>Abrir compra</v>
      </c>
      <c r="K207" t="str">
        <f>HYPERLINK("https://store.steampowered.com/app/2124490/SILENT_HILL_2/","Abrir Steam")</f>
        <v>Abrir Steam</v>
      </c>
      <c r="L207" t="s">
        <v>96</v>
      </c>
      <c r="M207" t="s">
        <v>72</v>
      </c>
      <c r="N207" t="s">
        <v>32</v>
      </c>
      <c r="O207" t="s">
        <v>1625</v>
      </c>
      <c r="P207" t="s">
        <v>1626</v>
      </c>
      <c r="Q207" t="s">
        <v>32</v>
      </c>
      <c r="R207" t="s">
        <v>1627</v>
      </c>
      <c r="S207" t="s">
        <v>1628</v>
      </c>
      <c r="T207" t="s">
        <v>892</v>
      </c>
      <c r="U207" t="s">
        <v>1629</v>
      </c>
      <c r="V207" t="s">
        <v>1630</v>
      </c>
      <c r="W207" t="s">
        <v>1631</v>
      </c>
      <c r="X207" t="s">
        <v>1632</v>
      </c>
      <c r="Y207" t="s">
        <v>1633</v>
      </c>
      <c r="Z207" t="s">
        <v>1634</v>
      </c>
    </row>
    <row r="208">
      <c r="A208" t="s">
        <v>1624</v>
      </c>
      <c r="B208" t="s">
        <v>63</v>
      </c>
      <c r="C208" t="s">
        <v>28</v>
      </c>
      <c r="D208" t="s">
        <v>29</v>
      </c>
      <c r="E208">
        <v>31537</v>
      </c>
      <c r="F208">
        <v>60276</v>
      </c>
      <c r="G208">
        <v>46537</v>
      </c>
      <c r="H208">
        <v>15000</v>
      </c>
      <c r="I208">
        <v>67013</v>
      </c>
      <c r="J208" t="str">
        <f>HYPERLINK("https://www.kinguin.net/es/category/272532/silent-hill-2-pc-steam-account","Abrir compra")</f>
        <v>Abrir compra</v>
      </c>
      <c r="K208" t="str">
        <f>HYPERLINK("https://store.steampowered.com/app/2124490/SILENT_HILL_2/","Abrir Steam")</f>
        <v>Abrir Steam</v>
      </c>
      <c r="L208" t="s">
        <v>42</v>
      </c>
      <c r="M208" t="s">
        <v>72</v>
      </c>
      <c r="N208" t="s">
        <v>32</v>
      </c>
      <c r="O208" t="s">
        <v>1635</v>
      </c>
      <c r="P208" t="s">
        <v>1636</v>
      </c>
      <c r="Q208" t="s">
        <v>32</v>
      </c>
      <c r="R208" t="s">
        <v>1637</v>
      </c>
      <c r="S208" t="s">
        <v>1638</v>
      </c>
      <c r="T208" t="s">
        <v>36</v>
      </c>
      <c r="U208" t="s">
        <v>1639</v>
      </c>
      <c r="V208" t="s">
        <v>36</v>
      </c>
      <c r="W208" t="s">
        <v>1640</v>
      </c>
      <c r="X208" t="s">
        <v>36</v>
      </c>
      <c r="Y208" t="s">
        <v>1641</v>
      </c>
      <c r="Z208" t="s">
        <v>36</v>
      </c>
    </row>
    <row r="209">
      <c r="A209" t="s">
        <v>1642</v>
      </c>
      <c r="B209" t="s">
        <v>27</v>
      </c>
      <c r="C209" t="s">
        <v>28</v>
      </c>
      <c r="D209" t="s">
        <v>29</v>
      </c>
      <c r="E209">
        <v>29467</v>
      </c>
      <c r="F209">
        <v>67584</v>
      </c>
      <c r="G209">
        <v>44467</v>
      </c>
      <c r="H209">
        <v>15000</v>
      </c>
      <c r="I209">
        <v>64032</v>
      </c>
      <c r="J209" t="str">
        <f>HYPERLINK("https://www.kinguin.net/es/category/347325/silent-hill-f-deluxe-edition-pc-steam-account","Abrir compra")</f>
        <v>Abrir compra</v>
      </c>
      <c r="K209" t="str">
        <f>HYPERLINK("https://store.steampowered.com/app/2947440/SILENT_HILL_f/","Abrir Steam")</f>
        <v>Abrir Steam</v>
      </c>
      <c r="L209" t="s">
        <v>42</v>
      </c>
      <c r="M209" t="s">
        <v>72</v>
      </c>
      <c r="N209" t="s">
        <v>32</v>
      </c>
      <c r="O209" t="s">
        <v>1643</v>
      </c>
      <c r="P209" t="s">
        <v>1644</v>
      </c>
      <c r="Q209" t="s">
        <v>32</v>
      </c>
      <c r="R209" t="s">
        <v>1645</v>
      </c>
      <c r="S209" t="s">
        <v>1646</v>
      </c>
      <c r="T209" t="s">
        <v>36</v>
      </c>
      <c r="U209" t="s">
        <v>36</v>
      </c>
      <c r="V209" t="s">
        <v>36</v>
      </c>
      <c r="W209" t="s">
        <v>1647</v>
      </c>
      <c r="X209" t="s">
        <v>36</v>
      </c>
      <c r="Y209" t="s">
        <v>1648</v>
      </c>
      <c r="Z209" t="s">
        <v>36</v>
      </c>
    </row>
    <row r="210">
      <c r="A210" t="s">
        <v>1642</v>
      </c>
      <c r="B210" t="s">
        <v>53</v>
      </c>
      <c r="C210" t="s">
        <v>32</v>
      </c>
      <c r="D210" t="s">
        <v>41</v>
      </c>
      <c r="E210">
        <v>35376</v>
      </c>
      <c r="F210">
        <v>60276</v>
      </c>
      <c r="G210">
        <v>50376</v>
      </c>
      <c r="H210">
        <v>15000</v>
      </c>
      <c r="I210">
        <v>72541</v>
      </c>
      <c r="J210" t="str">
        <f>HYPERLINK("https://www.eneba.com/latam/steam-silent-hill-f-steam-key-pc-latam","Abrir compra")</f>
        <v>Abrir compra</v>
      </c>
      <c r="K210" t="str">
        <f>HYPERLINK("https://store.steampowered.com/app/2947440/SILENT_HILL_f/","Abrir Steam")</f>
        <v>Abrir Steam</v>
      </c>
      <c r="L210" t="s">
        <v>194</v>
      </c>
      <c r="M210" t="s">
        <v>31</v>
      </c>
      <c r="N210" t="s">
        <v>32</v>
      </c>
      <c r="O210" t="s">
        <v>1649</v>
      </c>
      <c r="P210" t="s">
        <v>1650</v>
      </c>
      <c r="Q210" t="s">
        <v>32</v>
      </c>
      <c r="R210" t="s">
        <v>1651</v>
      </c>
      <c r="S210" t="s">
        <v>1652</v>
      </c>
      <c r="T210" t="s">
        <v>1653</v>
      </c>
      <c r="U210" t="s">
        <v>1654</v>
      </c>
      <c r="V210" t="s">
        <v>36</v>
      </c>
      <c r="W210" t="s">
        <v>1655</v>
      </c>
      <c r="X210" t="s">
        <v>1656</v>
      </c>
      <c r="Y210" t="s">
        <v>1657</v>
      </c>
      <c r="Z210" t="s">
        <v>36</v>
      </c>
    </row>
    <row r="211">
      <c r="A211" t="s">
        <v>1642</v>
      </c>
      <c r="B211" t="s">
        <v>63</v>
      </c>
      <c r="C211" t="s">
        <v>28</v>
      </c>
      <c r="D211" t="s">
        <v>29</v>
      </c>
      <c r="E211">
        <v>21693</v>
      </c>
      <c r="F211">
        <v>60276</v>
      </c>
      <c r="G211">
        <v>38185</v>
      </c>
      <c r="H211">
        <v>16492</v>
      </c>
      <c r="I211">
        <v>54986</v>
      </c>
      <c r="J211" t="str">
        <f>HYPERLINK("https://www.kinguin.net/es/category/347319/silent-hill-f-pc-steam-account","Abrir compra")</f>
        <v>Abrir compra</v>
      </c>
      <c r="K211" t="str">
        <f>HYPERLINK("https://store.steampowered.com/app/2947440/SILENT_HILL_f/","Abrir Steam")</f>
        <v>Abrir Steam</v>
      </c>
      <c r="L211" t="s">
        <v>42</v>
      </c>
      <c r="M211" t="s">
        <v>86</v>
      </c>
      <c r="N211" t="s">
        <v>32</v>
      </c>
      <c r="O211" t="s">
        <v>1658</v>
      </c>
      <c r="P211" t="s">
        <v>1659</v>
      </c>
      <c r="Q211" t="s">
        <v>32</v>
      </c>
      <c r="R211" t="s">
        <v>1660</v>
      </c>
      <c r="S211" t="s">
        <v>1661</v>
      </c>
      <c r="T211" t="s">
        <v>36</v>
      </c>
      <c r="U211" t="s">
        <v>1662</v>
      </c>
      <c r="V211" t="s">
        <v>36</v>
      </c>
      <c r="W211" t="s">
        <v>1663</v>
      </c>
      <c r="X211" t="s">
        <v>36</v>
      </c>
      <c r="Y211" t="s">
        <v>1664</v>
      </c>
      <c r="Z211" t="s">
        <v>36</v>
      </c>
    </row>
    <row r="212">
      <c r="A212" t="s">
        <v>1665</v>
      </c>
      <c r="B212" t="s">
        <v>409</v>
      </c>
      <c r="C212" t="s">
        <v>32</v>
      </c>
      <c r="D212" t="s">
        <v>41</v>
      </c>
      <c r="E212">
        <v>73770</v>
      </c>
      <c r="F212">
        <v>93164</v>
      </c>
      <c r="G212">
        <v>88770</v>
      </c>
      <c r="H212">
        <v>15000</v>
      </c>
      <c r="I212">
        <v>127829</v>
      </c>
      <c r="J212" t="str">
        <f>HYPERLINK("https://www.loaded.com/es_es/silent-hill-townfall-deluxe-edition-pc-steam","Abrir compra")</f>
        <v>Abrir compra</v>
      </c>
      <c r="K212" t="str">
        <f>HYPERLINK("https://store.steampowered.com/app/1636440/SILENT_HILL_Townfall/","Abrir Steam")</f>
        <v>Abrir Steam</v>
      </c>
      <c r="L212" t="s">
        <v>96</v>
      </c>
      <c r="M212" t="s">
        <v>72</v>
      </c>
      <c r="N212" t="s">
        <v>32</v>
      </c>
      <c r="O212" t="s">
        <v>1666</v>
      </c>
      <c r="P212" t="s">
        <v>1667</v>
      </c>
      <c r="Q212" t="s">
        <v>32</v>
      </c>
      <c r="R212" t="s">
        <v>1668</v>
      </c>
      <c r="S212" t="s">
        <v>36</v>
      </c>
      <c r="T212" t="s">
        <v>1669</v>
      </c>
      <c r="U212" t="s">
        <v>36</v>
      </c>
      <c r="V212" t="s">
        <v>1356</v>
      </c>
      <c r="W212" t="s">
        <v>36</v>
      </c>
      <c r="X212" t="s">
        <v>1670</v>
      </c>
      <c r="Y212" t="s">
        <v>36</v>
      </c>
      <c r="Z212" t="s">
        <v>1671</v>
      </c>
    </row>
    <row r="213">
      <c r="A213" t="s">
        <v>1665</v>
      </c>
      <c r="B213" t="s">
        <v>53</v>
      </c>
      <c r="C213" t="s">
        <v>32</v>
      </c>
      <c r="D213" t="s">
        <v>41</v>
      </c>
      <c r="E213">
        <v>63184</v>
      </c>
      <c r="F213">
        <v>77633</v>
      </c>
      <c r="G213">
        <v>78184</v>
      </c>
      <c r="H213">
        <v>15000</v>
      </c>
      <c r="I213">
        <v>112585</v>
      </c>
      <c r="J213" t="str">
        <f>HYPERLINK("https://www.loaded.com/es_es/silent-hill-townfall-pc-steam","Abrir compra")</f>
        <v>Abrir compra</v>
      </c>
      <c r="K213" t="str">
        <f>HYPERLINK("https://store.steampowered.com/app/1636440/SILENT_HILL_Townfall/","Abrir Steam")</f>
        <v>Abrir Steam</v>
      </c>
      <c r="L213" t="s">
        <v>96</v>
      </c>
      <c r="M213" t="s">
        <v>72</v>
      </c>
      <c r="N213" t="s">
        <v>32</v>
      </c>
      <c r="O213" t="s">
        <v>1672</v>
      </c>
      <c r="P213" t="s">
        <v>1673</v>
      </c>
      <c r="Q213" t="s">
        <v>32</v>
      </c>
      <c r="R213" t="s">
        <v>1674</v>
      </c>
      <c r="S213" t="s">
        <v>36</v>
      </c>
      <c r="T213" t="s">
        <v>522</v>
      </c>
      <c r="U213" t="s">
        <v>36</v>
      </c>
      <c r="V213" t="s">
        <v>569</v>
      </c>
      <c r="W213" t="s">
        <v>1675</v>
      </c>
      <c r="X213" t="s">
        <v>1676</v>
      </c>
      <c r="Y213" t="s">
        <v>36</v>
      </c>
      <c r="Z213" t="s">
        <v>1677</v>
      </c>
    </row>
    <row r="214">
      <c r="A214" t="s">
        <v>1678</v>
      </c>
      <c r="B214" t="s">
        <v>53</v>
      </c>
      <c r="C214" t="s">
        <v>32</v>
      </c>
      <c r="D214" t="s">
        <v>41</v>
      </c>
      <c r="E214">
        <v>71053</v>
      </c>
      <c r="F214">
        <v>91337</v>
      </c>
      <c r="G214">
        <v>88027</v>
      </c>
      <c r="H214">
        <v>16974</v>
      </c>
      <c r="I214">
        <v>126759</v>
      </c>
      <c r="J214" t="str">
        <f>HYPERLINK("https://driffle.com/es/split-fiction-global-pc-steam-digital-key-p9929426","Abrir compra")</f>
        <v>Abrir compra</v>
      </c>
      <c r="K214" t="str">
        <f>HYPERLINK("https://store.steampowered.com/app/2001120/Split_Fiction/?curator_clanid=4777282","Abrir Steam")</f>
        <v>Abrir Steam</v>
      </c>
      <c r="L214" t="s">
        <v>30</v>
      </c>
      <c r="M214" t="s">
        <v>86</v>
      </c>
      <c r="N214" t="s">
        <v>32</v>
      </c>
      <c r="O214" t="s">
        <v>1679</v>
      </c>
      <c r="P214" t="s">
        <v>1680</v>
      </c>
      <c r="Q214" t="s">
        <v>32</v>
      </c>
      <c r="R214" t="s">
        <v>1681</v>
      </c>
      <c r="S214" t="s">
        <v>36</v>
      </c>
      <c r="T214" t="s">
        <v>1682</v>
      </c>
      <c r="U214" t="s">
        <v>1683</v>
      </c>
      <c r="V214" t="s">
        <v>36</v>
      </c>
      <c r="W214" t="s">
        <v>1684</v>
      </c>
      <c r="X214" t="s">
        <v>1685</v>
      </c>
      <c r="Y214" t="s">
        <v>1686</v>
      </c>
      <c r="Z214" t="s">
        <v>36</v>
      </c>
    </row>
    <row r="215">
      <c r="A215" t="s">
        <v>1678</v>
      </c>
      <c r="B215" t="s">
        <v>63</v>
      </c>
      <c r="C215" t="s">
        <v>28</v>
      </c>
      <c r="D215" t="s">
        <v>29</v>
      </c>
      <c r="E215">
        <v>22910</v>
      </c>
      <c r="F215">
        <v>91337</v>
      </c>
      <c r="G215">
        <v>49910</v>
      </c>
      <c r="H215">
        <v>27000</v>
      </c>
      <c r="I215">
        <v>71870</v>
      </c>
      <c r="J215" t="str">
        <f>HYPERLINK("https://www.kinguin.net/es/category/305795/split-fiction-pc-steam-account","Abrir compra")</f>
        <v>Abrir compra</v>
      </c>
      <c r="K215" t="str">
        <f>HYPERLINK("https://store.steampowered.com/app/2001120/Split_Fiction/?curator_clanid=4777282","Abrir Steam")</f>
        <v>Abrir Steam</v>
      </c>
      <c r="L215" t="s">
        <v>42</v>
      </c>
      <c r="M215" t="s">
        <v>72</v>
      </c>
      <c r="N215" t="s">
        <v>32</v>
      </c>
      <c r="O215" t="s">
        <v>1687</v>
      </c>
      <c r="P215" t="s">
        <v>1688</v>
      </c>
      <c r="Q215" t="s">
        <v>32</v>
      </c>
      <c r="R215" t="s">
        <v>1689</v>
      </c>
      <c r="S215" t="s">
        <v>1690</v>
      </c>
      <c r="T215" t="s">
        <v>36</v>
      </c>
      <c r="U215" t="s">
        <v>1691</v>
      </c>
      <c r="V215" t="s">
        <v>36</v>
      </c>
      <c r="W215" t="s">
        <v>1692</v>
      </c>
      <c r="X215" t="s">
        <v>36</v>
      </c>
      <c r="Y215" t="s">
        <v>1693</v>
      </c>
      <c r="Z215" t="s">
        <v>36</v>
      </c>
    </row>
    <row r="216">
      <c r="A216" t="s">
        <v>1694</v>
      </c>
      <c r="B216" t="s">
        <v>27</v>
      </c>
      <c r="C216" t="s">
        <v>28</v>
      </c>
      <c r="D216" t="s">
        <v>29</v>
      </c>
      <c r="E216">
        <v>27271</v>
      </c>
      <c r="F216">
        <v>164421</v>
      </c>
      <c r="G216">
        <v>54271</v>
      </c>
      <c r="H216">
        <v>27000</v>
      </c>
      <c r="I216">
        <v>78150</v>
      </c>
      <c r="J216" t="str">
        <f>HYPERLINK("https://www.kinguin.net/es/category/160069/star-wars-jedi-survivor-deluxe-edition-steam-account","Abrir compra")</f>
        <v>Abrir compra</v>
      </c>
      <c r="K216" t="str">
        <f>HYPERLINK("https://store.steampowered.com/app/1774580/STAR_WARS_Jedi_Survivor/?curator_clanid=4777282","Abrir Steam")</f>
        <v>Abrir Steam</v>
      </c>
      <c r="L216" t="s">
        <v>42</v>
      </c>
      <c r="M216" t="s">
        <v>86</v>
      </c>
      <c r="N216" t="s">
        <v>32</v>
      </c>
      <c r="O216" t="s">
        <v>1695</v>
      </c>
      <c r="P216" t="s">
        <v>1696</v>
      </c>
      <c r="Q216" t="s">
        <v>32</v>
      </c>
      <c r="R216" t="s">
        <v>1697</v>
      </c>
      <c r="S216" t="s">
        <v>1698</v>
      </c>
      <c r="T216" t="s">
        <v>36</v>
      </c>
      <c r="U216" t="s">
        <v>36</v>
      </c>
      <c r="V216" t="s">
        <v>36</v>
      </c>
      <c r="W216" t="s">
        <v>1699</v>
      </c>
      <c r="X216" t="s">
        <v>36</v>
      </c>
      <c r="Y216" t="s">
        <v>36</v>
      </c>
      <c r="Z216" t="s">
        <v>36</v>
      </c>
    </row>
    <row r="217">
      <c r="A217" t="s">
        <v>1694</v>
      </c>
      <c r="B217" t="s">
        <v>53</v>
      </c>
      <c r="C217" t="s">
        <v>32</v>
      </c>
      <c r="D217" t="s">
        <v>41</v>
      </c>
      <c r="E217">
        <v>17380</v>
      </c>
      <c r="F217">
        <v>127879</v>
      </c>
      <c r="G217">
        <v>46929</v>
      </c>
      <c r="H217">
        <v>29549</v>
      </c>
      <c r="I217">
        <v>67578</v>
      </c>
      <c r="J217" t="str">
        <f>HYPERLINK("https://www.eneba.com/latam/steam-star-wars-jedi-survivortm-pc-steam-key-global","Abrir compra")</f>
        <v>Abrir compra</v>
      </c>
      <c r="K217" t="str">
        <f>HYPERLINK("https://store.steampowered.com/app/1774580/STAR_WARS_Jedi_Survivor/?curator_clanid=4777282","Abrir Steam")</f>
        <v>Abrir Steam</v>
      </c>
      <c r="L217" t="s">
        <v>194</v>
      </c>
      <c r="M217" t="s">
        <v>86</v>
      </c>
      <c r="N217" t="s">
        <v>32</v>
      </c>
      <c r="O217" t="s">
        <v>1700</v>
      </c>
      <c r="P217" t="s">
        <v>1701</v>
      </c>
      <c r="Q217" t="s">
        <v>32</v>
      </c>
      <c r="R217" t="s">
        <v>1702</v>
      </c>
      <c r="S217" t="s">
        <v>36</v>
      </c>
      <c r="T217" t="s">
        <v>1703</v>
      </c>
      <c r="U217" t="s">
        <v>36</v>
      </c>
      <c r="V217" t="s">
        <v>36</v>
      </c>
      <c r="W217" t="s">
        <v>36</v>
      </c>
      <c r="X217" t="s">
        <v>1704</v>
      </c>
      <c r="Y217" t="s">
        <v>36</v>
      </c>
      <c r="Z217" t="s">
        <v>36</v>
      </c>
    </row>
    <row r="218">
      <c r="A218" t="s">
        <v>1694</v>
      </c>
      <c r="B218" t="s">
        <v>63</v>
      </c>
      <c r="C218" t="s">
        <v>28</v>
      </c>
      <c r="D218" t="s">
        <v>29</v>
      </c>
      <c r="E218">
        <v>11929</v>
      </c>
      <c r="F218">
        <v>127879</v>
      </c>
      <c r="G218">
        <v>38929</v>
      </c>
      <c r="H218">
        <v>27000</v>
      </c>
      <c r="I218">
        <v>56058</v>
      </c>
      <c r="J218" t="str">
        <f>HYPERLINK("https://www.kinguin.net/es/category/158455/star-wars-jedi-survivor-steam-account","Abrir compra")</f>
        <v>Abrir compra</v>
      </c>
      <c r="K218" t="str">
        <f>HYPERLINK("https://store.steampowered.com/app/1774580/STAR_WARS_Jedi_Survivor/?curator_clanid=4777282","Abrir Steam")</f>
        <v>Abrir Steam</v>
      </c>
      <c r="L218" t="s">
        <v>42</v>
      </c>
      <c r="M218" t="s">
        <v>72</v>
      </c>
      <c r="N218" t="s">
        <v>32</v>
      </c>
      <c r="O218" t="s">
        <v>1705</v>
      </c>
      <c r="P218" t="s">
        <v>1706</v>
      </c>
      <c r="Q218" t="s">
        <v>32</v>
      </c>
      <c r="R218" t="s">
        <v>1707</v>
      </c>
      <c r="S218" t="s">
        <v>1708</v>
      </c>
      <c r="T218" t="s">
        <v>36</v>
      </c>
      <c r="U218" t="s">
        <v>1598</v>
      </c>
      <c r="V218" t="s">
        <v>36</v>
      </c>
      <c r="W218" t="s">
        <v>1709</v>
      </c>
      <c r="X218" t="s">
        <v>36</v>
      </c>
      <c r="Y218" t="s">
        <v>1710</v>
      </c>
      <c r="Z218" t="s">
        <v>36</v>
      </c>
    </row>
    <row r="219">
      <c r="A219" t="s">
        <v>1711</v>
      </c>
      <c r="B219" t="s">
        <v>1712</v>
      </c>
      <c r="C219" t="s">
        <v>32</v>
      </c>
      <c r="D219" t="s">
        <v>41</v>
      </c>
      <c r="E219">
        <v>61399</v>
      </c>
      <c r="F219">
        <v>127879</v>
      </c>
      <c r="G219">
        <v>95909</v>
      </c>
      <c r="H219">
        <v>34510</v>
      </c>
      <c r="I219">
        <v>138109</v>
      </c>
      <c r="J219" t="str">
        <f>HYPERLINK("https://driffle.com/es/stellar-blade-complete-edition-latam-pc-steam-digital-key-p9938572","Abrir compra")</f>
        <v>Abrir compra</v>
      </c>
      <c r="K219" t="str">
        <f>HYPERLINK("https://store.steampowered.com/app/3489700/Stellar_Blade/","Abrir Steam")</f>
        <v>Abrir Steam</v>
      </c>
      <c r="L219" t="s">
        <v>30</v>
      </c>
      <c r="M219" t="s">
        <v>31</v>
      </c>
      <c r="N219" t="s">
        <v>32</v>
      </c>
      <c r="O219" t="s">
        <v>1713</v>
      </c>
      <c r="P219" t="s">
        <v>1714</v>
      </c>
      <c r="Q219" t="s">
        <v>32</v>
      </c>
      <c r="R219" t="s">
        <v>1715</v>
      </c>
      <c r="S219" t="s">
        <v>316</v>
      </c>
      <c r="T219" t="s">
        <v>1716</v>
      </c>
      <c r="U219" t="s">
        <v>1717</v>
      </c>
      <c r="V219" t="s">
        <v>1552</v>
      </c>
      <c r="W219" t="s">
        <v>1718</v>
      </c>
      <c r="X219" t="s">
        <v>1719</v>
      </c>
      <c r="Y219" t="s">
        <v>1720</v>
      </c>
      <c r="Z219" t="s">
        <v>1721</v>
      </c>
    </row>
    <row r="220">
      <c r="A220" t="s">
        <v>1711</v>
      </c>
      <c r="B220" t="s">
        <v>1722</v>
      </c>
      <c r="C220" t="s">
        <v>28</v>
      </c>
      <c r="D220" t="s">
        <v>29</v>
      </c>
      <c r="E220">
        <v>77041</v>
      </c>
      <c r="F220">
        <v>127879</v>
      </c>
      <c r="G220">
        <v>92041</v>
      </c>
      <c r="H220">
        <v>15000</v>
      </c>
      <c r="I220">
        <v>132539</v>
      </c>
      <c r="J220" t="str">
        <f>HYPERLINK("https://www.kinguin.net/es/category/340981/stellar-blade-complete-edition-pc-steam-account","Abrir compra")</f>
        <v>Abrir compra</v>
      </c>
      <c r="K220" t="str">
        <f>HYPERLINK("https://store.steampowered.com/app/3489700/Stellar_Blade/","Abrir Steam")</f>
        <v>Abrir Steam</v>
      </c>
      <c r="L220" t="s">
        <v>42</v>
      </c>
      <c r="M220" t="s">
        <v>72</v>
      </c>
      <c r="N220" t="s">
        <v>32</v>
      </c>
      <c r="O220" t="s">
        <v>1723</v>
      </c>
      <c r="P220" t="s">
        <v>1724</v>
      </c>
      <c r="Q220" t="s">
        <v>32</v>
      </c>
      <c r="R220" t="s">
        <v>1725</v>
      </c>
      <c r="S220" t="s">
        <v>1726</v>
      </c>
      <c r="T220" t="s">
        <v>36</v>
      </c>
      <c r="U220" t="s">
        <v>1727</v>
      </c>
      <c r="V220" t="s">
        <v>36</v>
      </c>
      <c r="W220" t="s">
        <v>1728</v>
      </c>
      <c r="X220" t="s">
        <v>36</v>
      </c>
      <c r="Y220" t="s">
        <v>1729</v>
      </c>
      <c r="Z220" t="s">
        <v>36</v>
      </c>
    </row>
    <row r="221">
      <c r="A221" t="s">
        <v>1711</v>
      </c>
      <c r="B221" t="s">
        <v>53</v>
      </c>
      <c r="C221" t="s">
        <v>32</v>
      </c>
      <c r="D221" t="s">
        <v>41</v>
      </c>
      <c r="E221">
        <v>47763</v>
      </c>
      <c r="F221">
        <v>109608</v>
      </c>
      <c r="G221">
        <v>79011</v>
      </c>
      <c r="H221">
        <v>31248</v>
      </c>
      <c r="I221">
        <v>113776</v>
      </c>
      <c r="J221" t="str">
        <f>HYPERLINK("https://www.eneba.com/latam/steam-stellar-blade-steam-key-pc-latam","Abrir compra")</f>
        <v>Abrir compra</v>
      </c>
      <c r="K221" t="str">
        <f>HYPERLINK("https://store.steampowered.com/app/3489700/Stellar_Blade/","Abrir Steam")</f>
        <v>Abrir Steam</v>
      </c>
      <c r="L221" t="s">
        <v>194</v>
      </c>
      <c r="M221" t="s">
        <v>31</v>
      </c>
      <c r="N221" t="s">
        <v>32</v>
      </c>
      <c r="O221" t="s">
        <v>1730</v>
      </c>
      <c r="P221" t="s">
        <v>1731</v>
      </c>
      <c r="Q221" t="s">
        <v>32</v>
      </c>
      <c r="R221" t="s">
        <v>1732</v>
      </c>
      <c r="S221" t="s">
        <v>912</v>
      </c>
      <c r="T221" t="s">
        <v>1629</v>
      </c>
      <c r="U221" t="s">
        <v>1733</v>
      </c>
      <c r="V221" t="s">
        <v>569</v>
      </c>
      <c r="W221" t="s">
        <v>1734</v>
      </c>
      <c r="X221" t="s">
        <v>1735</v>
      </c>
      <c r="Y221" t="s">
        <v>1736</v>
      </c>
      <c r="Z221" t="s">
        <v>1737</v>
      </c>
    </row>
    <row r="222">
      <c r="A222" t="s">
        <v>1711</v>
      </c>
      <c r="B222" t="s">
        <v>63</v>
      </c>
      <c r="C222" t="s">
        <v>28</v>
      </c>
      <c r="D222" t="s">
        <v>29</v>
      </c>
      <c r="E222">
        <v>49802</v>
      </c>
      <c r="F222">
        <v>109608</v>
      </c>
      <c r="G222">
        <v>68668</v>
      </c>
      <c r="H222">
        <v>18866</v>
      </c>
      <c r="I222">
        <v>98882</v>
      </c>
      <c r="J222" t="str">
        <f>HYPERLINK("https://driffle.com/es/stellar-blade-global-pc-steam-account-p9979470","Abrir compra")</f>
        <v>Abrir compra</v>
      </c>
      <c r="K222" t="str">
        <f>HYPERLINK("https://store.steampowered.com/app/3489700/Stellar_Blade/","Abrir Steam")</f>
        <v>Abrir Steam</v>
      </c>
      <c r="L222" t="s">
        <v>30</v>
      </c>
      <c r="M222" t="s">
        <v>31</v>
      </c>
      <c r="N222" t="s">
        <v>32</v>
      </c>
      <c r="O222" t="s">
        <v>1738</v>
      </c>
      <c r="P222" t="s">
        <v>1739</v>
      </c>
      <c r="Q222" t="s">
        <v>32</v>
      </c>
      <c r="R222" t="s">
        <v>1740</v>
      </c>
      <c r="S222" t="s">
        <v>36</v>
      </c>
      <c r="T222" t="s">
        <v>36</v>
      </c>
      <c r="U222" t="s">
        <v>1741</v>
      </c>
      <c r="V222" t="s">
        <v>36</v>
      </c>
      <c r="W222" t="s">
        <v>36</v>
      </c>
      <c r="X222" t="s">
        <v>36</v>
      </c>
      <c r="Y222" t="s">
        <v>1742</v>
      </c>
      <c r="Z222" t="s">
        <v>36</v>
      </c>
    </row>
    <row r="223">
      <c r="A223" t="s">
        <v>1743</v>
      </c>
      <c r="B223" t="s">
        <v>1744</v>
      </c>
      <c r="C223" t="s">
        <v>32</v>
      </c>
      <c r="D223" t="s">
        <v>41</v>
      </c>
      <c r="E223">
        <v>65222</v>
      </c>
      <c r="F223">
        <v>82220</v>
      </c>
      <c r="G223">
        <v>100222</v>
      </c>
      <c r="H223">
        <v>35000</v>
      </c>
      <c r="I223">
        <v>144320</v>
      </c>
      <c r="J223" t="str">
        <f>HYPERLINK("https://www.kinguin.net/es/category/353130/street-fighter-6-years-1-2-fighters-edition-latam-pc-steam-cd-key","Abrir compra")</f>
        <v>Abrir compra</v>
      </c>
      <c r="K223" t="str">
        <f>HYPERLINK("https://store.steampowered.com/app/1364780/Street_Fighter_6/","Abrir Steam")</f>
        <v>Abrir Steam</v>
      </c>
      <c r="L223" t="s">
        <v>42</v>
      </c>
      <c r="M223" t="s">
        <v>31</v>
      </c>
      <c r="N223" t="s">
        <v>32</v>
      </c>
      <c r="O223" t="s">
        <v>1745</v>
      </c>
      <c r="P223" t="s">
        <v>1746</v>
      </c>
      <c r="Q223" t="s">
        <v>32</v>
      </c>
      <c r="R223" t="s">
        <v>1747</v>
      </c>
      <c r="S223" t="s">
        <v>1748</v>
      </c>
      <c r="T223" t="s">
        <v>36</v>
      </c>
      <c r="U223" t="s">
        <v>1749</v>
      </c>
      <c r="V223" t="s">
        <v>36</v>
      </c>
      <c r="W223" t="s">
        <v>1750</v>
      </c>
      <c r="X223" t="s">
        <v>1751</v>
      </c>
      <c r="Y223" t="s">
        <v>1752</v>
      </c>
      <c r="Z223" t="s">
        <v>36</v>
      </c>
    </row>
    <row r="224">
      <c r="A224" t="s">
        <v>1743</v>
      </c>
      <c r="B224" t="s">
        <v>1753</v>
      </c>
      <c r="C224" t="s">
        <v>28</v>
      </c>
      <c r="D224" t="s">
        <v>29</v>
      </c>
      <c r="E224">
        <v>85573</v>
      </c>
      <c r="F224">
        <v>82220</v>
      </c>
      <c r="G224">
        <v>100573</v>
      </c>
      <c r="H224">
        <v>15000</v>
      </c>
      <c r="I224">
        <v>144825</v>
      </c>
      <c r="J224" t="str">
        <f>HYPERLINK("https://www.kinguin.net/es/category/437624/street-fighter-6-years-1-2-fighters-edition-pc-steam-account","Abrir compra")</f>
        <v>Abrir compra</v>
      </c>
      <c r="K224" t="str">
        <f>HYPERLINK("https://store.steampowered.com/app/1364780/Street_Fighter_6/","Abrir Steam")</f>
        <v>Abrir Steam</v>
      </c>
      <c r="L224" t="s">
        <v>42</v>
      </c>
      <c r="M224" t="s">
        <v>72</v>
      </c>
      <c r="N224" t="s">
        <v>32</v>
      </c>
      <c r="O224" t="s">
        <v>1754</v>
      </c>
      <c r="P224" t="s">
        <v>1755</v>
      </c>
      <c r="Q224" t="s">
        <v>32</v>
      </c>
      <c r="R224" t="s">
        <v>1756</v>
      </c>
      <c r="S224" t="s">
        <v>1757</v>
      </c>
      <c r="T224" t="s">
        <v>36</v>
      </c>
      <c r="U224" t="s">
        <v>36</v>
      </c>
      <c r="V224" t="s">
        <v>36</v>
      </c>
      <c r="W224" t="s">
        <v>1758</v>
      </c>
      <c r="X224" t="s">
        <v>36</v>
      </c>
      <c r="Y224" t="s">
        <v>36</v>
      </c>
      <c r="Z224" t="s">
        <v>36</v>
      </c>
    </row>
    <row r="225">
      <c r="A225" t="s">
        <v>1743</v>
      </c>
      <c r="B225" t="s">
        <v>53</v>
      </c>
      <c r="C225" t="s">
        <v>32</v>
      </c>
      <c r="D225" t="s">
        <v>41</v>
      </c>
      <c r="E225">
        <v>24711</v>
      </c>
      <c r="F225">
        <v>54795</v>
      </c>
      <c r="G225">
        <v>41096</v>
      </c>
      <c r="H225">
        <v>16385</v>
      </c>
      <c r="I225">
        <v>59178</v>
      </c>
      <c r="J225" t="str">
        <f>HYPERLINK("https://www.eneba.com/latam/steam-street-fighter-6-pc-steam-key-latam","Abrir compra")</f>
        <v>Abrir compra</v>
      </c>
      <c r="K225" t="str">
        <f>HYPERLINK("https://store.steampowered.com/app/1364780/Street_Fighter_6/","Abrir Steam")</f>
        <v>Abrir Steam</v>
      </c>
      <c r="L225" t="s">
        <v>194</v>
      </c>
      <c r="M225" t="s">
        <v>31</v>
      </c>
      <c r="N225" t="s">
        <v>32</v>
      </c>
      <c r="O225" t="s">
        <v>1759</v>
      </c>
      <c r="P225" t="s">
        <v>1760</v>
      </c>
      <c r="Q225" t="s">
        <v>32</v>
      </c>
      <c r="R225" t="s">
        <v>1761</v>
      </c>
      <c r="S225" t="s">
        <v>36</v>
      </c>
      <c r="T225" t="s">
        <v>1762</v>
      </c>
      <c r="U225" t="s">
        <v>36</v>
      </c>
      <c r="V225" t="s">
        <v>36</v>
      </c>
      <c r="W225" t="s">
        <v>1763</v>
      </c>
      <c r="X225" t="s">
        <v>1764</v>
      </c>
      <c r="Y225" t="s">
        <v>36</v>
      </c>
      <c r="Z225" t="s">
        <v>36</v>
      </c>
    </row>
    <row r="226">
      <c r="A226" t="s">
        <v>1743</v>
      </c>
      <c r="B226" t="s">
        <v>63</v>
      </c>
      <c r="C226" t="s">
        <v>28</v>
      </c>
      <c r="D226" t="s">
        <v>29</v>
      </c>
      <c r="E226">
        <v>22104</v>
      </c>
      <c r="F226">
        <v>54795</v>
      </c>
      <c r="G226">
        <v>37104</v>
      </c>
      <c r="H226">
        <v>15000</v>
      </c>
      <c r="I226">
        <v>53430</v>
      </c>
      <c r="J226" t="str">
        <f>HYPERLINK("https://www.kinguin.net/es/category/153297/street-fighter-6-steam-account","Abrir compra")</f>
        <v>Abrir compra</v>
      </c>
      <c r="K226" t="str">
        <f>HYPERLINK("https://store.steampowered.com/app/1364780/Street_Fighter_6/","Abrir Steam")</f>
        <v>Abrir Steam</v>
      </c>
      <c r="L226" t="s">
        <v>42</v>
      </c>
      <c r="M226" t="s">
        <v>72</v>
      </c>
      <c r="N226" t="s">
        <v>32</v>
      </c>
      <c r="O226" t="s">
        <v>1765</v>
      </c>
      <c r="P226" t="s">
        <v>1766</v>
      </c>
      <c r="Q226" t="s">
        <v>32</v>
      </c>
      <c r="R226" t="s">
        <v>1767</v>
      </c>
      <c r="S226" t="s">
        <v>1248</v>
      </c>
      <c r="T226" t="s">
        <v>36</v>
      </c>
      <c r="U226" t="s">
        <v>36</v>
      </c>
      <c r="V226" t="s">
        <v>36</v>
      </c>
      <c r="W226" t="s">
        <v>1768</v>
      </c>
      <c r="X226" t="s">
        <v>36</v>
      </c>
      <c r="Y226" t="s">
        <v>36</v>
      </c>
      <c r="Z226" t="s">
        <v>36</v>
      </c>
    </row>
    <row r="227">
      <c r="A227" t="s">
        <v>1769</v>
      </c>
      <c r="B227" t="s">
        <v>63</v>
      </c>
      <c r="C227" t="s">
        <v>28</v>
      </c>
      <c r="D227" t="s">
        <v>29</v>
      </c>
      <c r="E227">
        <v>20666</v>
      </c>
      <c r="F227">
        <v>38351</v>
      </c>
      <c r="G227">
        <v>35666</v>
      </c>
      <c r="H227">
        <v>15000</v>
      </c>
      <c r="I227">
        <v>51359</v>
      </c>
      <c r="J227" t="str">
        <f>HYPERLINK("https://driffle.com/es/subnautica-2-global-pc-steam-account-p9995025","Abrir compra")</f>
        <v>Abrir compra</v>
      </c>
      <c r="K227" t="str">
        <f>HYPERLINK("https://store.steampowered.com/app/1962700/Subnautica_2/","Abrir Steam")</f>
        <v>Abrir Steam</v>
      </c>
      <c r="L227" t="s">
        <v>30</v>
      </c>
      <c r="M227" t="s">
        <v>31</v>
      </c>
      <c r="N227" t="s">
        <v>32</v>
      </c>
      <c r="O227" t="s">
        <v>1770</v>
      </c>
      <c r="P227" t="s">
        <v>1771</v>
      </c>
      <c r="Q227" t="s">
        <v>32</v>
      </c>
      <c r="R227" t="s">
        <v>1772</v>
      </c>
      <c r="S227" t="s">
        <v>1661</v>
      </c>
      <c r="T227" t="s">
        <v>36</v>
      </c>
      <c r="U227" t="s">
        <v>1773</v>
      </c>
      <c r="V227" t="s">
        <v>36</v>
      </c>
      <c r="W227" t="s">
        <v>1774</v>
      </c>
      <c r="X227" t="s">
        <v>36</v>
      </c>
      <c r="Y227" t="s">
        <v>1775</v>
      </c>
      <c r="Z227" t="s">
        <v>36</v>
      </c>
    </row>
    <row r="228">
      <c r="A228" t="s">
        <v>1776</v>
      </c>
      <c r="B228" t="s">
        <v>53</v>
      </c>
      <c r="C228" t="s">
        <v>32</v>
      </c>
      <c r="D228" t="s">
        <v>41</v>
      </c>
      <c r="E228">
        <v>31584</v>
      </c>
      <c r="F228">
        <v>58449</v>
      </c>
      <c r="G228">
        <v>49265</v>
      </c>
      <c r="H228">
        <v>17681</v>
      </c>
      <c r="I228">
        <v>70942</v>
      </c>
      <c r="J228" t="str">
        <f>HYPERLINK("https://www.loaded.com/es_es/tekken-8-pc-steam","Abrir compra")</f>
        <v>Abrir compra</v>
      </c>
      <c r="K228" t="str">
        <f>HYPERLINK("https://store.steampowered.com/app/1778820/TEKKEN_8/?curator_clanid=4777282","Abrir Steam")</f>
        <v>Abrir Steam</v>
      </c>
      <c r="L228" t="s">
        <v>96</v>
      </c>
      <c r="M228" t="s">
        <v>72</v>
      </c>
      <c r="N228" t="s">
        <v>32</v>
      </c>
      <c r="O228" t="s">
        <v>1777</v>
      </c>
      <c r="P228" t="s">
        <v>1778</v>
      </c>
      <c r="Q228" t="s">
        <v>32</v>
      </c>
      <c r="R228" t="s">
        <v>1779</v>
      </c>
      <c r="S228" t="s">
        <v>36</v>
      </c>
      <c r="T228" t="s">
        <v>1171</v>
      </c>
      <c r="U228" t="s">
        <v>1780</v>
      </c>
      <c r="V228" t="s">
        <v>101</v>
      </c>
      <c r="W228" t="s">
        <v>1781</v>
      </c>
      <c r="X228" t="s">
        <v>1782</v>
      </c>
      <c r="Y228" t="s">
        <v>1783</v>
      </c>
      <c r="Z228" t="s">
        <v>1784</v>
      </c>
    </row>
    <row r="229">
      <c r="A229" t="s">
        <v>1776</v>
      </c>
      <c r="B229" t="s">
        <v>63</v>
      </c>
      <c r="C229" t="s">
        <v>28</v>
      </c>
      <c r="D229" t="s">
        <v>29</v>
      </c>
      <c r="E229">
        <v>25991</v>
      </c>
      <c r="F229">
        <v>58449</v>
      </c>
      <c r="G229">
        <v>40991</v>
      </c>
      <c r="H229">
        <v>15000</v>
      </c>
      <c r="I229">
        <v>59027</v>
      </c>
      <c r="J229" t="str">
        <f>HYPERLINK("https://www.kinguin.net/es/category/180122/tekken-8-steam-account","Abrir compra")</f>
        <v>Abrir compra</v>
      </c>
      <c r="K229" t="str">
        <f>HYPERLINK("https://store.steampowered.com/app/1778820/TEKKEN_8/?curator_clanid=4777282","Abrir Steam")</f>
        <v>Abrir Steam</v>
      </c>
      <c r="L229" t="s">
        <v>42</v>
      </c>
      <c r="M229" t="s">
        <v>72</v>
      </c>
      <c r="N229" t="s">
        <v>32</v>
      </c>
      <c r="O229" t="s">
        <v>1785</v>
      </c>
      <c r="P229" t="s">
        <v>1786</v>
      </c>
      <c r="Q229" t="s">
        <v>32</v>
      </c>
      <c r="R229" t="s">
        <v>1787</v>
      </c>
      <c r="S229" t="s">
        <v>1788</v>
      </c>
      <c r="T229" t="s">
        <v>36</v>
      </c>
      <c r="U229" t="s">
        <v>1789</v>
      </c>
      <c r="V229" t="s">
        <v>36</v>
      </c>
      <c r="W229" t="s">
        <v>1790</v>
      </c>
      <c r="X229" t="s">
        <v>36</v>
      </c>
      <c r="Y229" t="s">
        <v>1791</v>
      </c>
      <c r="Z229" t="s">
        <v>36</v>
      </c>
    </row>
    <row r="230">
      <c r="A230" t="s">
        <v>1792</v>
      </c>
      <c r="B230" t="s">
        <v>53</v>
      </c>
      <c r="C230" t="s">
        <v>32</v>
      </c>
      <c r="D230" t="s">
        <v>41</v>
      </c>
      <c r="E230">
        <v>10681</v>
      </c>
      <c r="F230">
        <v>43832</v>
      </c>
      <c r="G230">
        <v>32874</v>
      </c>
      <c r="H230">
        <v>22193</v>
      </c>
      <c r="I230">
        <v>47339</v>
      </c>
      <c r="J230" t="str">
        <f>HYPERLINK("https://www.kinguin.net/es/category/301555/the-elder-scrolls-v-skyrim-special-edition-latam-ru-cis-tr-pc-steam-cd-key","Abrir compra")</f>
        <v>Abrir compra</v>
      </c>
      <c r="K230" t="str">
        <f>HYPERLINK("https://store.steampowered.com/app/489830/The_Elder_Scrolls_V_Skyrim_Special_Edition/","Abrir Steam")</f>
        <v>Abrir Steam</v>
      </c>
      <c r="L230" t="s">
        <v>42</v>
      </c>
      <c r="M230" t="s">
        <v>31</v>
      </c>
      <c r="N230" t="s">
        <v>32</v>
      </c>
      <c r="O230" t="s">
        <v>1793</v>
      </c>
      <c r="P230" t="s">
        <v>1794</v>
      </c>
      <c r="Q230" t="s">
        <v>32</v>
      </c>
      <c r="R230" t="s">
        <v>1795</v>
      </c>
      <c r="S230" t="s">
        <v>1796</v>
      </c>
      <c r="T230" t="s">
        <v>1797</v>
      </c>
      <c r="U230" t="s">
        <v>1798</v>
      </c>
      <c r="V230" t="s">
        <v>1799</v>
      </c>
      <c r="W230" t="s">
        <v>1800</v>
      </c>
      <c r="X230" t="s">
        <v>1801</v>
      </c>
      <c r="Y230" t="s">
        <v>1802</v>
      </c>
      <c r="Z230" t="s">
        <v>1803</v>
      </c>
    </row>
    <row r="231">
      <c r="A231" t="s">
        <v>1792</v>
      </c>
      <c r="B231" t="s">
        <v>63</v>
      </c>
      <c r="C231" t="s">
        <v>28</v>
      </c>
      <c r="D231" t="s">
        <v>29</v>
      </c>
      <c r="E231">
        <v>14710</v>
      </c>
      <c r="F231">
        <v>43832</v>
      </c>
      <c r="G231">
        <v>29710</v>
      </c>
      <c r="H231">
        <v>15000</v>
      </c>
      <c r="I231">
        <v>42782</v>
      </c>
      <c r="J231" t="str">
        <f>HYPERLINK("https://www.kinguin.net/es/category/206801/the-elder-scrolls-v-skyrim-special-edition-pc-steam-account","Abrir compra")</f>
        <v>Abrir compra</v>
      </c>
      <c r="K231" t="str">
        <f>HYPERLINK("https://store.steampowered.com/app/489830/The_Elder_Scrolls_V_Skyrim_Special_Edition/","Abrir Steam")</f>
        <v>Abrir Steam</v>
      </c>
      <c r="L231" t="s">
        <v>42</v>
      </c>
      <c r="M231" t="s">
        <v>72</v>
      </c>
      <c r="N231" t="s">
        <v>32</v>
      </c>
      <c r="O231" t="s">
        <v>1804</v>
      </c>
      <c r="P231" t="s">
        <v>1805</v>
      </c>
      <c r="Q231" t="s">
        <v>32</v>
      </c>
      <c r="R231" t="s">
        <v>1806</v>
      </c>
      <c r="S231" t="s">
        <v>1807</v>
      </c>
      <c r="T231" t="s">
        <v>36</v>
      </c>
      <c r="U231" t="s">
        <v>1808</v>
      </c>
      <c r="V231" t="s">
        <v>36</v>
      </c>
      <c r="W231" t="s">
        <v>1809</v>
      </c>
      <c r="X231" t="s">
        <v>36</v>
      </c>
      <c r="Y231" t="s">
        <v>1810</v>
      </c>
      <c r="Z231" t="s">
        <v>36</v>
      </c>
    </row>
    <row r="232">
      <c r="A232" t="s">
        <v>1811</v>
      </c>
      <c r="B232" t="s">
        <v>53</v>
      </c>
      <c r="C232" t="s">
        <v>32</v>
      </c>
      <c r="D232" t="s">
        <v>41</v>
      </c>
      <c r="E232">
        <v>43671</v>
      </c>
      <c r="F232">
        <v>109608</v>
      </c>
      <c r="G232">
        <v>73735</v>
      </c>
      <c r="H232">
        <v>30064</v>
      </c>
      <c r="I232">
        <v>106178</v>
      </c>
      <c r="J232" t="str">
        <f>HYPERLINK("https://www.kinguin.net/es/category/160275/the-last-of-us-part-1-latam-steam-cd-key","Abrir compra")</f>
        <v>Abrir compra</v>
      </c>
      <c r="K232" t="str">
        <f>HYPERLINK("https://store.steampowered.com/app/1888930/The_Last_of_Us_Parte_I/","Abrir Steam")</f>
        <v>Abrir Steam</v>
      </c>
      <c r="L232" t="s">
        <v>42</v>
      </c>
      <c r="M232" t="s">
        <v>31</v>
      </c>
      <c r="N232" t="s">
        <v>32</v>
      </c>
      <c r="O232" t="s">
        <v>1812</v>
      </c>
      <c r="P232" t="s">
        <v>1813</v>
      </c>
      <c r="Q232" t="s">
        <v>32</v>
      </c>
      <c r="R232" t="s">
        <v>1814</v>
      </c>
      <c r="S232" t="s">
        <v>1815</v>
      </c>
      <c r="T232" t="s">
        <v>36</v>
      </c>
      <c r="U232" t="s">
        <v>36</v>
      </c>
      <c r="V232" t="s">
        <v>36</v>
      </c>
      <c r="W232" t="s">
        <v>1816</v>
      </c>
      <c r="X232" t="s">
        <v>1817</v>
      </c>
      <c r="Y232" t="s">
        <v>1818</v>
      </c>
      <c r="Z232" t="s">
        <v>1819</v>
      </c>
    </row>
    <row r="233">
      <c r="A233" t="s">
        <v>1811</v>
      </c>
      <c r="B233" t="s">
        <v>63</v>
      </c>
      <c r="C233" t="s">
        <v>28</v>
      </c>
      <c r="D233" t="s">
        <v>29</v>
      </c>
      <c r="E233">
        <v>38426</v>
      </c>
      <c r="F233">
        <v>109608</v>
      </c>
      <c r="G233">
        <v>64117</v>
      </c>
      <c r="H233">
        <v>25691</v>
      </c>
      <c r="I233">
        <v>92328</v>
      </c>
      <c r="J233" t="str">
        <f>HYPERLINK("https://www.kinguin.net/es/category/150724/the-last-of-us-part-1-steam-account","Abrir compra")</f>
        <v>Abrir compra</v>
      </c>
      <c r="K233" t="str">
        <f>HYPERLINK("https://store.steampowered.com/app/1888930/The_Last_of_Us_Parte_I/","Abrir Steam")</f>
        <v>Abrir Steam</v>
      </c>
      <c r="L233" t="s">
        <v>42</v>
      </c>
      <c r="M233" t="s">
        <v>72</v>
      </c>
      <c r="N233" t="s">
        <v>32</v>
      </c>
      <c r="O233" t="s">
        <v>1820</v>
      </c>
      <c r="P233" t="s">
        <v>1821</v>
      </c>
      <c r="Q233" t="s">
        <v>32</v>
      </c>
      <c r="R233" t="s">
        <v>1822</v>
      </c>
      <c r="S233" t="s">
        <v>1823</v>
      </c>
      <c r="T233" t="s">
        <v>36</v>
      </c>
      <c r="U233" t="s">
        <v>36</v>
      </c>
      <c r="V233" t="s">
        <v>36</v>
      </c>
      <c r="W233" t="s">
        <v>1824</v>
      </c>
      <c r="X233" t="s">
        <v>36</v>
      </c>
      <c r="Y233" t="s">
        <v>36</v>
      </c>
      <c r="Z233" t="s">
        <v>36</v>
      </c>
    </row>
    <row r="234">
      <c r="A234" t="s">
        <v>1825</v>
      </c>
      <c r="B234" t="s">
        <v>53</v>
      </c>
      <c r="C234" t="s">
        <v>32</v>
      </c>
      <c r="D234" t="s">
        <v>41</v>
      </c>
      <c r="E234">
        <v>53357</v>
      </c>
      <c r="F234">
        <v>73066</v>
      </c>
      <c r="G234">
        <v>88357</v>
      </c>
      <c r="H234">
        <v>35000</v>
      </c>
      <c r="I234">
        <v>127234</v>
      </c>
      <c r="J234" t="str">
        <f>HYPERLINK("https://www.kinguin.net/es/category/326607/the-last-of-us-part-2-remastered-latam-pc-steam-cd-key","Abrir compra")</f>
        <v>Abrir compra</v>
      </c>
      <c r="K234" t="str">
        <f>HYPERLINK("https://store.steampowered.com/app/2531310/The_Last_of_Us_Parte_II_Remastered/","Abrir Steam")</f>
        <v>Abrir Steam</v>
      </c>
      <c r="L234" t="s">
        <v>42</v>
      </c>
      <c r="M234" t="s">
        <v>31</v>
      </c>
      <c r="N234" t="s">
        <v>32</v>
      </c>
      <c r="O234" t="s">
        <v>1826</v>
      </c>
      <c r="P234" t="s">
        <v>1827</v>
      </c>
      <c r="Q234" t="s">
        <v>32</v>
      </c>
      <c r="R234" t="s">
        <v>1828</v>
      </c>
      <c r="S234" t="s">
        <v>1829</v>
      </c>
      <c r="T234" t="s">
        <v>36</v>
      </c>
      <c r="U234" t="s">
        <v>36</v>
      </c>
      <c r="V234" t="s">
        <v>36</v>
      </c>
      <c r="W234" t="s">
        <v>1830</v>
      </c>
      <c r="X234" t="s">
        <v>1831</v>
      </c>
      <c r="Y234" t="s">
        <v>1832</v>
      </c>
      <c r="Z234" t="s">
        <v>1833</v>
      </c>
    </row>
    <row r="235">
      <c r="A235" t="s">
        <v>1825</v>
      </c>
      <c r="B235" t="s">
        <v>63</v>
      </c>
      <c r="C235" t="s">
        <v>28</v>
      </c>
      <c r="D235" t="s">
        <v>29</v>
      </c>
      <c r="E235">
        <v>65301</v>
      </c>
      <c r="F235">
        <v>73066</v>
      </c>
      <c r="G235">
        <v>80301</v>
      </c>
      <c r="H235">
        <v>15000</v>
      </c>
      <c r="I235">
        <v>115633</v>
      </c>
      <c r="J235" t="str">
        <f>HYPERLINK("https://www.kinguin.net/es/category/321634/the-last-of-us-part-2-remastered-pc-steam-account","Abrir compra")</f>
        <v>Abrir compra</v>
      </c>
      <c r="K235" t="str">
        <f>HYPERLINK("https://store.steampowered.com/app/2531310/The_Last_of_Us_Parte_II_Remastered/","Abrir Steam")</f>
        <v>Abrir Steam</v>
      </c>
      <c r="L235" t="s">
        <v>42</v>
      </c>
      <c r="M235" t="s">
        <v>72</v>
      </c>
      <c r="N235" t="s">
        <v>32</v>
      </c>
      <c r="O235" t="s">
        <v>1834</v>
      </c>
      <c r="P235" t="s">
        <v>1835</v>
      </c>
      <c r="Q235" t="s">
        <v>32</v>
      </c>
      <c r="R235" t="s">
        <v>1836</v>
      </c>
      <c r="S235" t="s">
        <v>1837</v>
      </c>
      <c r="T235" t="s">
        <v>36</v>
      </c>
      <c r="U235" t="s">
        <v>36</v>
      </c>
      <c r="V235" t="s">
        <v>36</v>
      </c>
      <c r="W235" t="s">
        <v>1838</v>
      </c>
      <c r="X235" t="s">
        <v>36</v>
      </c>
      <c r="Y235" t="s">
        <v>36</v>
      </c>
      <c r="Z235" t="s">
        <v>36</v>
      </c>
    </row>
    <row r="236">
      <c r="A236" t="s">
        <v>1839</v>
      </c>
      <c r="B236" t="s">
        <v>1722</v>
      </c>
      <c r="C236" t="s">
        <v>28</v>
      </c>
      <c r="D236" t="s">
        <v>29</v>
      </c>
      <c r="E236">
        <v>13098</v>
      </c>
      <c r="F236">
        <v>69412</v>
      </c>
      <c r="G236">
        <v>38310</v>
      </c>
      <c r="H236">
        <v>25212</v>
      </c>
      <c r="I236">
        <v>55166</v>
      </c>
      <c r="J236" t="str">
        <f>HYPERLINK("https://www.kinguin.net/es/category/246280/the-witcher-3-wild-hunt-complete-edition-pc-steam-account","Abrir compra")</f>
        <v>Abrir compra</v>
      </c>
      <c r="K236" t="str">
        <f>HYPERLINK("https://store.steampowered.com/app/292030/The_Witcher_3_Wild_Hunt/","Abrir Steam")</f>
        <v>Abrir Steam</v>
      </c>
      <c r="L236" t="s">
        <v>42</v>
      </c>
      <c r="M236" t="s">
        <v>72</v>
      </c>
      <c r="N236" t="s">
        <v>32</v>
      </c>
      <c r="O236" t="s">
        <v>1840</v>
      </c>
      <c r="P236" t="s">
        <v>1841</v>
      </c>
      <c r="Q236" t="s">
        <v>32</v>
      </c>
      <c r="R236" t="s">
        <v>1842</v>
      </c>
      <c r="S236" t="s">
        <v>1843</v>
      </c>
      <c r="T236" t="s">
        <v>36</v>
      </c>
      <c r="U236" t="s">
        <v>36</v>
      </c>
      <c r="V236" t="s">
        <v>36</v>
      </c>
      <c r="W236" t="s">
        <v>1844</v>
      </c>
      <c r="X236" t="s">
        <v>36</v>
      </c>
      <c r="Y236" t="s">
        <v>36</v>
      </c>
      <c r="Z236" t="s">
        <v>36</v>
      </c>
    </row>
    <row r="237">
      <c r="A237" t="s">
        <v>1839</v>
      </c>
      <c r="B237" t="s">
        <v>63</v>
      </c>
      <c r="C237" t="s">
        <v>28</v>
      </c>
      <c r="D237" t="s">
        <v>29</v>
      </c>
      <c r="E237">
        <v>4313</v>
      </c>
      <c r="F237">
        <v>54795</v>
      </c>
      <c r="G237">
        <v>29095</v>
      </c>
      <c r="H237">
        <v>24782</v>
      </c>
      <c r="I237">
        <v>41897</v>
      </c>
      <c r="J237" t="str">
        <f>HYPERLINK("https://www.kinguin.net/es/category/150064/the-witcher-3-wild-hunt-steam-account","Abrir compra")</f>
        <v>Abrir compra</v>
      </c>
      <c r="K237" t="str">
        <f>HYPERLINK("https://store.steampowered.com/app/292030/The_Witcher_3_Wild_Hunt/","Abrir Steam")</f>
        <v>Abrir Steam</v>
      </c>
      <c r="L237" t="s">
        <v>42</v>
      </c>
      <c r="M237" t="s">
        <v>72</v>
      </c>
      <c r="N237" t="s">
        <v>32</v>
      </c>
      <c r="O237" t="s">
        <v>1845</v>
      </c>
      <c r="P237" t="s">
        <v>1846</v>
      </c>
      <c r="Q237" t="s">
        <v>32</v>
      </c>
      <c r="R237" t="s">
        <v>1847</v>
      </c>
      <c r="S237" t="s">
        <v>1848</v>
      </c>
      <c r="T237" t="s">
        <v>36</v>
      </c>
      <c r="U237" t="s">
        <v>36</v>
      </c>
      <c r="V237" t="s">
        <v>36</v>
      </c>
      <c r="W237" t="s">
        <v>1849</v>
      </c>
      <c r="X237" t="s">
        <v>36</v>
      </c>
      <c r="Y237" t="s">
        <v>36</v>
      </c>
      <c r="Z237" t="s">
        <v>36</v>
      </c>
    </row>
    <row r="238">
      <c r="A238" t="s">
        <v>1850</v>
      </c>
      <c r="B238" t="s">
        <v>53</v>
      </c>
      <c r="C238" t="s">
        <v>32</v>
      </c>
      <c r="D238" t="s">
        <v>41</v>
      </c>
      <c r="E238">
        <v>18960</v>
      </c>
      <c r="F238">
        <v>91337</v>
      </c>
      <c r="G238">
        <v>45960</v>
      </c>
      <c r="H238">
        <v>27000</v>
      </c>
      <c r="I238">
        <v>66182</v>
      </c>
      <c r="J238" t="str">
        <f>HYPERLINK("https://driffle.com/es/uncharted-legacy-of-thieves-collection-latam-pc-steam-digital-key-p9975841","Abrir compra")</f>
        <v>Abrir compra</v>
      </c>
      <c r="K238" t="str">
        <f>HYPERLINK("https://store.steampowered.com/app/1659420/UNCHARTED_Coleccin_Legado_de_los_Ladrones/?curator_clanid=4777282","Abrir Steam")</f>
        <v>Abrir Steam</v>
      </c>
      <c r="L238" t="s">
        <v>30</v>
      </c>
      <c r="M238" t="s">
        <v>31</v>
      </c>
      <c r="N238" t="s">
        <v>32</v>
      </c>
      <c r="O238" t="s">
        <v>1851</v>
      </c>
      <c r="P238" t="s">
        <v>1852</v>
      </c>
      <c r="Q238" t="s">
        <v>32</v>
      </c>
      <c r="R238" t="s">
        <v>1853</v>
      </c>
      <c r="S238" t="s">
        <v>36</v>
      </c>
      <c r="T238" t="s">
        <v>1854</v>
      </c>
      <c r="U238" t="s">
        <v>1855</v>
      </c>
      <c r="V238" t="s">
        <v>1856</v>
      </c>
      <c r="W238" t="s">
        <v>1857</v>
      </c>
      <c r="X238" t="s">
        <v>1858</v>
      </c>
      <c r="Y238" t="s">
        <v>1859</v>
      </c>
      <c r="Z238" t="s">
        <v>1860</v>
      </c>
    </row>
    <row r="239">
      <c r="A239" t="s">
        <v>1861</v>
      </c>
      <c r="B239" t="s">
        <v>53</v>
      </c>
      <c r="C239" t="s">
        <v>32</v>
      </c>
      <c r="D239" t="s">
        <v>41</v>
      </c>
      <c r="E239">
        <v>38189</v>
      </c>
      <c r="F239">
        <v>109608</v>
      </c>
      <c r="G239">
        <v>73189</v>
      </c>
      <c r="H239">
        <v>35000</v>
      </c>
      <c r="I239">
        <v>105392</v>
      </c>
      <c r="J239" t="str">
        <f>HYPERLINK("https://www.eneba.com/latam/steam-until-dawn-pc-steam-key-latam","Abrir compra")</f>
        <v>Abrir compra</v>
      </c>
      <c r="K239" t="str">
        <f>HYPERLINK("https://store.steampowered.com/app/2172010/Until_Dawn/?curator_clanid=4777282","Abrir Steam")</f>
        <v>Abrir Steam</v>
      </c>
      <c r="L239" t="s">
        <v>194</v>
      </c>
      <c r="M239" t="s">
        <v>31</v>
      </c>
      <c r="N239" t="s">
        <v>32</v>
      </c>
      <c r="O239" t="s">
        <v>1862</v>
      </c>
      <c r="P239" t="s">
        <v>1863</v>
      </c>
      <c r="Q239" t="s">
        <v>32</v>
      </c>
      <c r="R239" t="s">
        <v>1864</v>
      </c>
      <c r="S239" t="s">
        <v>1865</v>
      </c>
      <c r="T239" t="s">
        <v>1866</v>
      </c>
      <c r="U239" t="s">
        <v>1867</v>
      </c>
      <c r="V239" t="s">
        <v>36</v>
      </c>
      <c r="W239" t="s">
        <v>1868</v>
      </c>
      <c r="X239" t="s">
        <v>1869</v>
      </c>
      <c r="Y239" t="s">
        <v>1870</v>
      </c>
      <c r="Z239" t="s">
        <v>36</v>
      </c>
    </row>
    <row r="240">
      <c r="A240" t="s">
        <v>1861</v>
      </c>
      <c r="B240" t="s">
        <v>63</v>
      </c>
      <c r="C240" t="s">
        <v>28</v>
      </c>
      <c r="D240" t="s">
        <v>29</v>
      </c>
      <c r="E240">
        <v>83677</v>
      </c>
      <c r="F240">
        <v>109608</v>
      </c>
      <c r="G240">
        <v>98677</v>
      </c>
      <c r="H240">
        <v>15000</v>
      </c>
      <c r="I240">
        <v>142095</v>
      </c>
      <c r="J240" t="str">
        <f>HYPERLINK("https://www.kinguin.net/es/category/272529/until-dawn-pc-steam-account","Abrir compra")</f>
        <v>Abrir compra</v>
      </c>
      <c r="K240" t="str">
        <f>HYPERLINK("https://store.steampowered.com/app/2172010/Until_Dawn/?curator_clanid=4777282","Abrir Steam")</f>
        <v>Abrir Steam</v>
      </c>
      <c r="L240" t="s">
        <v>42</v>
      </c>
      <c r="M240" t="s">
        <v>86</v>
      </c>
      <c r="N240" t="s">
        <v>32</v>
      </c>
      <c r="O240" t="s">
        <v>1871</v>
      </c>
      <c r="P240" t="s">
        <v>1872</v>
      </c>
      <c r="Q240" t="s">
        <v>32</v>
      </c>
      <c r="R240" t="s">
        <v>1873</v>
      </c>
      <c r="S240" t="s">
        <v>1874</v>
      </c>
      <c r="T240" t="s">
        <v>36</v>
      </c>
      <c r="U240" t="s">
        <v>36</v>
      </c>
      <c r="V240" t="s">
        <v>36</v>
      </c>
      <c r="W240" t="s">
        <v>1875</v>
      </c>
      <c r="X240" t="s">
        <v>36</v>
      </c>
      <c r="Y240" t="s">
        <v>36</v>
      </c>
      <c r="Z240" t="s">
        <v>36</v>
      </c>
    </row>
    <row r="241">
      <c r="A241" t="s">
        <v>1876</v>
      </c>
      <c r="B241" t="s">
        <v>1877</v>
      </c>
      <c r="C241" t="s">
        <v>32</v>
      </c>
      <c r="D241" t="s">
        <v>41</v>
      </c>
      <c r="E241">
        <v>188336</v>
      </c>
      <c r="F241">
        <v>237505</v>
      </c>
      <c r="G241">
        <v>203336</v>
      </c>
      <c r="H241">
        <v>15000</v>
      </c>
      <c r="I241">
        <v>292804</v>
      </c>
      <c r="J241" t="str">
        <f>HYPERLINK("https://driffle.com/es/wwe-2k25-the-bloodline-edition-global-pc-steam-digital-key-p9930284","Abrir compra")</f>
        <v>Abrir compra</v>
      </c>
      <c r="K241" t="str">
        <f>HYPERLINK("https://store.steampowered.com/app/2878960/WWE_2K25/","Abrir Steam")</f>
        <v>Abrir Steam</v>
      </c>
      <c r="L241" t="s">
        <v>30</v>
      </c>
      <c r="M241" t="s">
        <v>86</v>
      </c>
      <c r="N241" t="s">
        <v>32</v>
      </c>
      <c r="O241" t="s">
        <v>1878</v>
      </c>
      <c r="P241" t="s">
        <v>1879</v>
      </c>
      <c r="Q241" t="s">
        <v>32</v>
      </c>
      <c r="R241" t="s">
        <v>1880</v>
      </c>
      <c r="S241" t="s">
        <v>1881</v>
      </c>
      <c r="T241" t="s">
        <v>36</v>
      </c>
      <c r="U241" t="s">
        <v>1882</v>
      </c>
      <c r="V241" t="s">
        <v>36</v>
      </c>
      <c r="W241" t="s">
        <v>1883</v>
      </c>
      <c r="X241" t="s">
        <v>36</v>
      </c>
      <c r="Y241" t="s">
        <v>1884</v>
      </c>
      <c r="Z241" t="s">
        <v>36</v>
      </c>
    </row>
    <row r="242">
      <c r="A242" t="s">
        <v>1876</v>
      </c>
      <c r="B242" t="s">
        <v>1885</v>
      </c>
      <c r="C242" t="s">
        <v>28</v>
      </c>
      <c r="D242" t="s">
        <v>29</v>
      </c>
      <c r="E242">
        <v>143448</v>
      </c>
      <c r="F242">
        <v>237505</v>
      </c>
      <c r="G242">
        <v>158448</v>
      </c>
      <c r="H242">
        <v>15000</v>
      </c>
      <c r="I242">
        <v>228165</v>
      </c>
      <c r="J242" t="str">
        <f>HYPERLINK("https://www.kinguin.net/es/category/319995/wwe-2k25-bloodline-edition-pc-steam-account","Abrir compra")</f>
        <v>Abrir compra</v>
      </c>
      <c r="K242" t="str">
        <f>HYPERLINK("https://store.steampowered.com/app/2878960/WWE_2K25/","Abrir Steam")</f>
        <v>Abrir Steam</v>
      </c>
      <c r="L242" t="s">
        <v>42</v>
      </c>
      <c r="M242" t="s">
        <v>86</v>
      </c>
      <c r="N242" t="s">
        <v>32</v>
      </c>
      <c r="O242" t="s">
        <v>1886</v>
      </c>
      <c r="P242" t="s">
        <v>1887</v>
      </c>
      <c r="Q242" t="s">
        <v>32</v>
      </c>
      <c r="R242" t="s">
        <v>1888</v>
      </c>
      <c r="S242" t="s">
        <v>1889</v>
      </c>
      <c r="T242" t="s">
        <v>36</v>
      </c>
      <c r="U242" t="s">
        <v>36</v>
      </c>
      <c r="V242" t="s">
        <v>36</v>
      </c>
      <c r="W242" t="s">
        <v>1890</v>
      </c>
      <c r="X242" t="s">
        <v>1891</v>
      </c>
      <c r="Y242" t="s">
        <v>36</v>
      </c>
      <c r="Z242" t="s">
        <v>36</v>
      </c>
    </row>
    <row r="243">
      <c r="A243" t="s">
        <v>1876</v>
      </c>
      <c r="B243" t="s">
        <v>53</v>
      </c>
      <c r="C243" t="s">
        <v>32</v>
      </c>
      <c r="D243" t="s">
        <v>41</v>
      </c>
      <c r="E243">
        <v>22104</v>
      </c>
      <c r="F243">
        <v>109608</v>
      </c>
      <c r="G243">
        <v>57104</v>
      </c>
      <c r="H243">
        <v>35000</v>
      </c>
      <c r="I243">
        <v>82230</v>
      </c>
      <c r="J243" t="str">
        <f>HYPERLINK("https://driffle.com/es/wwe-2k25-global-pc-steam-digital-key-p9930153","Abrir compra")</f>
        <v>Abrir compra</v>
      </c>
      <c r="K243" t="str">
        <f>HYPERLINK("https://store.steampowered.com/app/2878960/WWE_2K25/","Abrir Steam")</f>
        <v>Abrir Steam</v>
      </c>
      <c r="L243" t="s">
        <v>30</v>
      </c>
      <c r="M243" t="s">
        <v>86</v>
      </c>
      <c r="N243" t="s">
        <v>32</v>
      </c>
      <c r="O243" t="s">
        <v>1892</v>
      </c>
      <c r="P243" t="s">
        <v>1893</v>
      </c>
      <c r="Q243" t="s">
        <v>32</v>
      </c>
      <c r="R243" t="s">
        <v>1894</v>
      </c>
      <c r="S243" t="s">
        <v>1895</v>
      </c>
      <c r="T243" t="s">
        <v>1896</v>
      </c>
      <c r="U243" t="s">
        <v>1248</v>
      </c>
      <c r="V243" t="s">
        <v>36</v>
      </c>
      <c r="W243" t="s">
        <v>1897</v>
      </c>
      <c r="X243" t="s">
        <v>1898</v>
      </c>
      <c r="Y243" t="s">
        <v>1899</v>
      </c>
      <c r="Z243" t="s">
        <v>36</v>
      </c>
    </row>
    <row r="244">
      <c r="A244" t="s">
        <v>1876</v>
      </c>
      <c r="B244" t="s">
        <v>63</v>
      </c>
      <c r="C244" t="s">
        <v>28</v>
      </c>
      <c r="D244" t="s">
        <v>29</v>
      </c>
      <c r="E244">
        <v>48285</v>
      </c>
      <c r="F244">
        <v>109608</v>
      </c>
      <c r="G244">
        <v>68061</v>
      </c>
      <c r="H244">
        <v>19776</v>
      </c>
      <c r="I244">
        <v>98008</v>
      </c>
      <c r="J244" t="str">
        <f>HYPERLINK("https://www.kinguin.net/es/category/314612/wwe-2k25-pc-steam-account","Abrir compra")</f>
        <v>Abrir compra</v>
      </c>
      <c r="K244" t="str">
        <f>HYPERLINK("https://store.steampowered.com/app/2878960/WWE_2K25/","Abrir Steam")</f>
        <v>Abrir Steam</v>
      </c>
      <c r="L244" t="s">
        <v>42</v>
      </c>
      <c r="M244" t="s">
        <v>86</v>
      </c>
      <c r="N244" t="s">
        <v>32</v>
      </c>
      <c r="O244" t="s">
        <v>1900</v>
      </c>
      <c r="P244" t="s">
        <v>1901</v>
      </c>
      <c r="Q244" t="s">
        <v>32</v>
      </c>
      <c r="R244" t="s">
        <v>1902</v>
      </c>
      <c r="S244" t="s">
        <v>1903</v>
      </c>
      <c r="T244" t="s">
        <v>36</v>
      </c>
      <c r="U244" t="s">
        <v>36</v>
      </c>
      <c r="V244" t="s">
        <v>36</v>
      </c>
      <c r="W244" t="s">
        <v>1904</v>
      </c>
      <c r="X244" t="s">
        <v>36</v>
      </c>
      <c r="Y244" t="s">
        <v>36</v>
      </c>
      <c r="Z244" t="s">
        <v>36</v>
      </c>
    </row>
    <row r="245">
      <c r="A245" t="s">
        <v>1905</v>
      </c>
      <c r="B245" t="s">
        <v>1906</v>
      </c>
      <c r="C245" t="s">
        <v>28</v>
      </c>
      <c r="D245" t="s">
        <v>29</v>
      </c>
      <c r="E245">
        <v>149626</v>
      </c>
      <c r="F245">
        <v>237505</v>
      </c>
      <c r="G245">
        <v>164626</v>
      </c>
      <c r="H245">
        <v>15000</v>
      </c>
      <c r="I245">
        <v>237061</v>
      </c>
      <c r="J245" t="str">
        <f>HYPERLINK("https://www.kinguin.net/es/category/476568/wwe-2k26-attitude-era-edition-pc-steam-account","Abrir compra")</f>
        <v>Abrir compra</v>
      </c>
      <c r="K245" t="str">
        <f>HYPERLINK("https://store.steampowered.com/app/3717070/WWE_2K26/","Abrir Steam")</f>
        <v>Abrir Steam</v>
      </c>
      <c r="L245" t="s">
        <v>42</v>
      </c>
      <c r="M245" t="s">
        <v>86</v>
      </c>
      <c r="N245" t="s">
        <v>32</v>
      </c>
      <c r="O245" t="s">
        <v>1907</v>
      </c>
      <c r="P245" t="s">
        <v>1908</v>
      </c>
      <c r="Q245" t="s">
        <v>32</v>
      </c>
      <c r="R245" t="s">
        <v>1909</v>
      </c>
      <c r="S245" t="s">
        <v>1910</v>
      </c>
      <c r="T245" t="s">
        <v>36</v>
      </c>
      <c r="U245" t="s">
        <v>36</v>
      </c>
      <c r="V245" t="s">
        <v>36</v>
      </c>
      <c r="W245" t="s">
        <v>1911</v>
      </c>
      <c r="X245" t="s">
        <v>36</v>
      </c>
      <c r="Y245" t="s">
        <v>36</v>
      </c>
      <c r="Z245" t="s">
        <v>36</v>
      </c>
    </row>
    <row r="246">
      <c r="A246" t="s">
        <v>1905</v>
      </c>
      <c r="B246" t="s">
        <v>53</v>
      </c>
      <c r="C246" t="s">
        <v>32</v>
      </c>
      <c r="D246" t="s">
        <v>41</v>
      </c>
      <c r="E246">
        <v>61841</v>
      </c>
      <c r="F246">
        <v>127879</v>
      </c>
      <c r="G246">
        <v>88282</v>
      </c>
      <c r="H246">
        <v>26441</v>
      </c>
      <c r="I246">
        <v>127126</v>
      </c>
      <c r="J246" t="str">
        <f>HYPERLINK("https://www.eneba.com/latam/steam-wwe-2k26-steam-key-pc-global","Abrir compra")</f>
        <v>Abrir compra</v>
      </c>
      <c r="K246" t="str">
        <f>HYPERLINK("https://store.steampowered.com/app/3717070/WWE_2K26/","Abrir Steam")</f>
        <v>Abrir Steam</v>
      </c>
      <c r="L246" t="s">
        <v>194</v>
      </c>
      <c r="M246" t="s">
        <v>86</v>
      </c>
      <c r="N246" t="s">
        <v>32</v>
      </c>
      <c r="O246" t="s">
        <v>1912</v>
      </c>
      <c r="P246" t="s">
        <v>1913</v>
      </c>
      <c r="Q246" t="s">
        <v>32</v>
      </c>
      <c r="R246" t="s">
        <v>1914</v>
      </c>
      <c r="S246" t="s">
        <v>1915</v>
      </c>
      <c r="T246" t="s">
        <v>1916</v>
      </c>
      <c r="U246" t="s">
        <v>36</v>
      </c>
      <c r="V246" t="s">
        <v>36</v>
      </c>
      <c r="W246" t="s">
        <v>1917</v>
      </c>
      <c r="X246" t="s">
        <v>1918</v>
      </c>
      <c r="Y246" t="s">
        <v>36</v>
      </c>
      <c r="Z246" t="s">
        <v>36</v>
      </c>
    </row>
    <row r="247">
      <c r="A247" t="s">
        <v>1905</v>
      </c>
      <c r="B247" t="s">
        <v>63</v>
      </c>
      <c r="C247" t="s">
        <v>28</v>
      </c>
      <c r="D247" t="s">
        <v>29</v>
      </c>
      <c r="E247">
        <v>45852</v>
      </c>
      <c r="F247">
        <v>127879</v>
      </c>
      <c r="G247">
        <v>72852</v>
      </c>
      <c r="H247">
        <v>27000</v>
      </c>
      <c r="I247">
        <v>104907</v>
      </c>
      <c r="J247" t="str">
        <f>HYPERLINK("https://www.kinguin.net/es/category/464749/wwe-2k26-pc-steam-account","Abrir compra")</f>
        <v>Abrir compra</v>
      </c>
      <c r="K247" t="str">
        <f>HYPERLINK("https://store.steampowered.com/app/3717070/WWE_2K26/","Abrir Steam")</f>
        <v>Abrir Steam</v>
      </c>
      <c r="L247" t="s">
        <v>42</v>
      </c>
      <c r="M247" t="s">
        <v>72</v>
      </c>
      <c r="N247" t="s">
        <v>32</v>
      </c>
      <c r="O247" t="s">
        <v>1919</v>
      </c>
      <c r="P247" t="s">
        <v>1920</v>
      </c>
      <c r="Q247" t="s">
        <v>32</v>
      </c>
      <c r="R247" t="s">
        <v>1921</v>
      </c>
      <c r="S247" t="s">
        <v>1922</v>
      </c>
      <c r="T247" t="s">
        <v>36</v>
      </c>
      <c r="U247" t="s">
        <v>36</v>
      </c>
      <c r="V247" t="s">
        <v>36</v>
      </c>
      <c r="W247" t="s">
        <v>1923</v>
      </c>
      <c r="X247" t="s">
        <v>36</v>
      </c>
      <c r="Y247" t="s">
        <v>36</v>
      </c>
      <c r="Z247" t="s">
        <v>36</v>
      </c>
    </row>
    <row r="248">
      <c r="A248" t="s">
        <v>1905</v>
      </c>
      <c r="B248" t="s">
        <v>1924</v>
      </c>
      <c r="C248" t="s">
        <v>28</v>
      </c>
      <c r="D248" t="s">
        <v>29</v>
      </c>
      <c r="E248">
        <v>110079</v>
      </c>
      <c r="F248">
        <v>182692</v>
      </c>
      <c r="G248">
        <v>125079</v>
      </c>
      <c r="H248">
        <v>15000</v>
      </c>
      <c r="I248">
        <v>180114</v>
      </c>
      <c r="J248" t="str">
        <f>HYPERLINK("https://www.kinguin.net/es/category/476574/wwe-2k26-king-of-kings-edition-pc-steam-account","Abrir compra")</f>
        <v>Abrir compra</v>
      </c>
      <c r="K248" t="str">
        <f>HYPERLINK("https://store.steampowered.com/app/3717070/WWE_2K26/","Abrir Steam")</f>
        <v>Abrir Steam</v>
      </c>
      <c r="L248" t="s">
        <v>42</v>
      </c>
      <c r="M248" t="s">
        <v>86</v>
      </c>
      <c r="N248" t="s">
        <v>32</v>
      </c>
      <c r="O248" t="s">
        <v>1925</v>
      </c>
      <c r="P248" t="s">
        <v>1926</v>
      </c>
      <c r="Q248" t="s">
        <v>32</v>
      </c>
      <c r="R248" t="s">
        <v>1927</v>
      </c>
      <c r="S248" t="s">
        <v>1928</v>
      </c>
      <c r="T248" t="s">
        <v>36</v>
      </c>
      <c r="U248" t="s">
        <v>36</v>
      </c>
      <c r="V248" t="s">
        <v>36</v>
      </c>
      <c r="W248" t="s">
        <v>1929</v>
      </c>
      <c r="X248" t="s">
        <v>36</v>
      </c>
      <c r="Y248" t="s">
        <v>36</v>
      </c>
      <c r="Z248" t="s">
        <v>36</v>
      </c>
    </row>
  </sheetData>
</worksheet>
</file>