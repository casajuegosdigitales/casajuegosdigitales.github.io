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a juegos" sheetId="1" r:id="rId1"/>
  </sheets>
</workbook>
</file>

<file path=xl/sharedStrings.xml><?xml version="1.0" encoding="utf-8"?>
<sst xmlns="http://schemas.openxmlformats.org/spreadsheetml/2006/main" count="145" uniqueCount="145">
  <si>
    <t>juego</t>
  </si>
  <si>
    <t>version</t>
  </si>
  <si>
    <t>tipo</t>
  </si>
  <si>
    <t>compra Ars</t>
  </si>
  <si>
    <t>Precio Steam (Ars)</t>
  </si>
  <si>
    <t>venta Transfer</t>
  </si>
  <si>
    <t>venta CuotasArs</t>
  </si>
  <si>
    <t>ganancia</t>
  </si>
  <si>
    <t>link Steam</t>
  </si>
  <si>
    <t>kinguin</t>
  </si>
  <si>
    <t>driffle</t>
  </si>
  <si>
    <t>loaded</t>
  </si>
  <si>
    <t>eneba</t>
  </si>
  <si>
    <t>007 First Light</t>
  </si>
  <si>
    <t>Edicion estandar</t>
  </si>
  <si>
    <t>CD Key</t>
  </si>
  <si>
    <t/>
  </si>
  <si>
    <t>Cuenta</t>
  </si>
  <si>
    <t>Edición Deluxe</t>
  </si>
  <si>
    <t>A way out</t>
  </si>
  <si>
    <t>ARC Raiders</t>
  </si>
  <si>
    <t>ARK: Survival Ascended</t>
  </si>
  <si>
    <t>Assassin's Creed Mirage</t>
  </si>
  <si>
    <t>Master Assassin Edition</t>
  </si>
  <si>
    <t>Assassin's Creed Shadows</t>
  </si>
  <si>
    <t>Premium Edition</t>
  </si>
  <si>
    <t>Baldur's Gate 3</t>
  </si>
  <si>
    <t>Battlefield 6</t>
  </si>
  <si>
    <t>Phantom Edition</t>
  </si>
  <si>
    <t>Black Myth: Wukong</t>
  </si>
  <si>
    <t>Borderlands 4</t>
  </si>
  <si>
    <t>Edición Super Deluxe</t>
  </si>
  <si>
    <t>Call of Duty: Black Ops 7</t>
  </si>
  <si>
    <t>Vault Edition</t>
  </si>
  <si>
    <t>Call of Duty: Black Ops III</t>
  </si>
  <si>
    <t>Zombies Chronicles Edition</t>
  </si>
  <si>
    <t>Zombies Deluxe</t>
  </si>
  <si>
    <t>Clair Obscur: Expedition 33</t>
  </si>
  <si>
    <t>Crimson Desert</t>
  </si>
  <si>
    <t>Cuphead</t>
  </si>
  <si>
    <t>&amp; The Delicious Last Course</t>
  </si>
  <si>
    <t>Cyberpunk 2077</t>
  </si>
  <si>
    <t>Ultimate Edition</t>
  </si>
  <si>
    <t>DayZ</t>
  </si>
  <si>
    <t>Deluxe Edition</t>
  </si>
  <si>
    <t>Cool Edition</t>
  </si>
  <si>
    <t>Dead by Daylight</t>
  </si>
  <si>
    <t>Gold Edition</t>
  </si>
  <si>
    <t>Death Stranding 2: On the Beach</t>
  </si>
  <si>
    <t>Diablo IV</t>
  </si>
  <si>
    <t>Age of Hatred Collection</t>
  </si>
  <si>
    <t>DRAGON BALL: Sparking! ZERO</t>
  </si>
  <si>
    <t>Detroit: Become Human</t>
  </si>
  <si>
    <t>Dispatch</t>
  </si>
  <si>
    <t>Dying Light: The Beast</t>
  </si>
  <si>
    <t>Dynasty Warriors: Origins</t>
  </si>
  <si>
    <t>EA SPORTS™ College Football 27</t>
  </si>
  <si>
    <t>EA SPORTS FC 26</t>
  </si>
  <si>
    <t>The World's Game Edition</t>
  </si>
  <si>
    <t>EA SPORTS FC™ 27</t>
  </si>
  <si>
    <t>Ultimate Plus Edition</t>
  </si>
  <si>
    <t>ELDEN RING</t>
  </si>
  <si>
    <t>Shadow of the Erdtree Edition</t>
  </si>
  <si>
    <t>Shadow of the Erdtree Deluxe Edition</t>
  </si>
  <si>
    <t>ELDEN RING NIGHTREIGN</t>
  </si>
  <si>
    <t>F1 25</t>
  </si>
  <si>
    <t>2026 Season Edition</t>
  </si>
  <si>
    <t>Fallout 76</t>
  </si>
  <si>
    <t>FINAL FANTASY VII REMAKE INTERGRADE</t>
  </si>
  <si>
    <t>Forza Horizon 5</t>
  </si>
  <si>
    <t>Forza Horizon 6</t>
  </si>
  <si>
    <t>Gears of War: E-Day</t>
  </si>
  <si>
    <t>Ghost of Tsushima</t>
  </si>
  <si>
    <t>Director's Cut</t>
  </si>
  <si>
    <t>God of War</t>
  </si>
  <si>
    <t>God Of War Ragnarök</t>
  </si>
  <si>
    <t>Gothic 1 Remake</t>
  </si>
  <si>
    <t>Grand Theft Auto V</t>
  </si>
  <si>
    <t>Enhanced</t>
  </si>
  <si>
    <t>Halo: Campaign Evolved</t>
  </si>
  <si>
    <t>HELLDIVERS 2</t>
  </si>
  <si>
    <t>Super Citizen Edition</t>
  </si>
  <si>
    <t>HITMAN World of Assassination</t>
  </si>
  <si>
    <t>Hogwarts Legacy</t>
  </si>
  <si>
    <t>Invincible VS</t>
  </si>
  <si>
    <t>It takes two</t>
  </si>
  <si>
    <t>LEGO Batman: Legacy of the Dark Knight</t>
  </si>
  <si>
    <t>MARVEL Tokon: Fighting Souls</t>
  </si>
  <si>
    <t>Marvel vs. Capcom: Infinite</t>
  </si>
  <si>
    <t>Marvel's Spider-Man 2</t>
  </si>
  <si>
    <t>Marvel's Spider-Man Remastered</t>
  </si>
  <si>
    <t>Marvel's Spider-Man: Miles Morales</t>
  </si>
  <si>
    <t>Microsoft Flight Simulator 2024</t>
  </si>
  <si>
    <t>Premium Deluxe</t>
  </si>
  <si>
    <t>Aviator Edition</t>
  </si>
  <si>
    <t>Monster Hunter Wilds</t>
  </si>
  <si>
    <t>Mortal Kombat 1</t>
  </si>
  <si>
    <t>Definitive Edition</t>
  </si>
  <si>
    <t>NBA 2K26</t>
  </si>
  <si>
    <t>Slam Edition</t>
  </si>
  <si>
    <t>Superstar Edition</t>
  </si>
  <si>
    <t>NieR: Automata</t>
  </si>
  <si>
    <t>(Game of the YoRHa Edition</t>
  </si>
  <si>
    <t>Path of Exile 2</t>
  </si>
  <si>
    <t>Lord of Ogham Supporter Pack</t>
  </si>
  <si>
    <t>King of the Faridun Supporter Pack</t>
  </si>
  <si>
    <t>Persona 3 Reload</t>
  </si>
  <si>
    <t>PRAGMATA</t>
  </si>
  <si>
    <t>Ready Or Not</t>
  </si>
  <si>
    <t>Red Dead Redemption 2</t>
  </si>
  <si>
    <t>RESIDENT EVIL 2</t>
  </si>
  <si>
    <t>Resident Evil 3</t>
  </si>
  <si>
    <t>Resident Evil 4 (2023)</t>
  </si>
  <si>
    <t>Resident Evil 7 Gold Edition &amp; Village Gold Edition</t>
  </si>
  <si>
    <t>Gold Edition Bundle</t>
  </si>
  <si>
    <t>Resident Evil 7: Biohazard</t>
  </si>
  <si>
    <t>Resident Evil Requiem</t>
  </si>
  <si>
    <t>Resident Evil Village</t>
  </si>
  <si>
    <t>Resident Evil: Raccoon City Edition (Resident Evil 2, Resident Evil 3, RESIDENT EVIL RESISTANCE)</t>
  </si>
  <si>
    <t>Sea of Thieves</t>
  </si>
  <si>
    <t>2026 Edition</t>
  </si>
  <si>
    <t>2026 Deluxe Edition</t>
  </si>
  <si>
    <t>2026 Premium Edition</t>
  </si>
  <si>
    <t>SILENT HILL 2</t>
  </si>
  <si>
    <t>SILENT HILL f</t>
  </si>
  <si>
    <t>SILENT HILL: Townfall</t>
  </si>
  <si>
    <t>Split Fiction</t>
  </si>
  <si>
    <t>STAR WARS Jedi: Survivor</t>
  </si>
  <si>
    <t>Stellar Blade</t>
  </si>
  <si>
    <t>Complete Edition</t>
  </si>
  <si>
    <t>Street Fighter 6</t>
  </si>
  <si>
    <t>6 Years 1-2 Fighters Edition</t>
  </si>
  <si>
    <t>Subnautica 2</t>
  </si>
  <si>
    <t>TEKKEN 8</t>
  </si>
  <si>
    <t>The Elder Scrolls V: Skyrim Special Edition</t>
  </si>
  <si>
    <t>The Last of Us Part 1</t>
  </si>
  <si>
    <t>The Last of Us Part 2 Remastered</t>
  </si>
  <si>
    <t>The Witcher 3: Wild Hunt</t>
  </si>
  <si>
    <t>UNCHARTED™: Legacy of Thieves Collection</t>
  </si>
  <si>
    <t>Until Dawn</t>
  </si>
  <si>
    <t>WWE 2K25</t>
  </si>
  <si>
    <t>Bloodline Edition</t>
  </si>
  <si>
    <t>WWE 2K26</t>
  </si>
  <si>
    <t>King of Kings Edition</t>
  </si>
  <si>
    <t>Attitude Era Edition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</si>
</sst>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>
        <v>62740</v>
      </c>
      <c r="E2">
        <v>75001</v>
      </c>
      <c r="F2">
        <v>77740</v>
      </c>
      <c r="G2">
        <v>111946</v>
      </c>
      <c r="H2">
        <v>15000</v>
      </c>
      <c r="I2" t="str">
        <f>HYPERLINK("https://store.steampowered.com/app/3768760/007_First_Light/","Abrir Steam")</f>
        <v>Abrir Steam</v>
      </c>
      <c r="J2" t="str">
        <f>HYPERLINK("https://www.kinguin.net/es/category/534950/007-first-light-latam-pc-steam-cd-key","Kinguin")</f>
        <v>Kinguin</v>
      </c>
      <c r="K2" t="str">
        <f>HYPERLINK("https://driffle.com/es/007-first-light-latam-pc-steam-digital-key-p9995849","Driffle")</f>
        <v>Driffle</v>
      </c>
      <c r="L2" t="str">
        <f>HYPERLINK("https://www.loaded.com/es_es/007-first-light-pc-latin-america-steam","Loaded")</f>
        <v>Loaded</v>
      </c>
      <c r="M2" t="str">
        <f>HYPERLINK("https://www.eneba.com/latam/steam-007-first-light-steam-key-pc-latam","Eneba")</f>
        <v>Eneba</v>
      </c>
    </row>
    <row r="3">
      <c r="A3" t="s">
        <v>16</v>
      </c>
      <c r="B3" t="s">
        <v>16</v>
      </c>
      <c r="C3" t="s">
        <v>17</v>
      </c>
      <c r="D3">
        <v>43922</v>
      </c>
      <c r="E3">
        <v>75001</v>
      </c>
      <c r="F3">
        <v>58922</v>
      </c>
      <c r="G3">
        <v>84848</v>
      </c>
      <c r="H3">
        <v>15000</v>
      </c>
      <c r="I3" t="str">
        <f>HYPERLINK("https://store.steampowered.com/app/3768760/007_First_Light/","Abrir Steam")</f>
        <v>Abrir Steam</v>
      </c>
      <c r="J3" t="str">
        <f>HYPERLINK("https://www.kinguin.net/es/category/404893/007-first-light-pc-steam-account","Kinguin")</f>
        <v>Kinguin</v>
      </c>
      <c r="K3" t="str">
        <f>HYPERLINK("https://driffle.com/007-first-light-global-pc-steam-account-p9994206","Driffle")</f>
        <v>Driffle</v>
      </c>
      <c r="L3" t="s">
        <v>16</v>
      </c>
      <c r="M3" t="s">
        <v>16</v>
      </c>
    </row>
    <row r="4">
      <c r="A4" t="s">
        <v>16</v>
      </c>
      <c r="B4" t="s">
        <v>18</v>
      </c>
      <c r="C4" t="s">
        <v>15</v>
      </c>
      <c r="D4">
        <v>88912</v>
      </c>
      <c r="E4">
        <v>86254</v>
      </c>
      <c r="F4">
        <v>103912</v>
      </c>
      <c r="G4">
        <v>149633</v>
      </c>
      <c r="H4">
        <v>15000</v>
      </c>
      <c r="I4" t="str">
        <f>HYPERLINK("https://store.steampowered.com/app/3768760/007_First_Light/","Abrir Steam")</f>
        <v>Abrir Steam</v>
      </c>
      <c r="J4" t="str">
        <f>HYPERLINK("https://www.kinguin.net/es/category/537471/007-first-light-deluxe-edition-latam-pc-steam-cd-key","Kinguin")</f>
        <v>Kinguin</v>
      </c>
      <c r="K4" t="str">
        <f>HYPERLINK("https://driffle.com/es/007-first-light-deluxe-edition-latam-pc-steam-digital-key-p9995852","Driffle")</f>
        <v>Driffle</v>
      </c>
      <c r="L4" t="str">
        <f>HYPERLINK("https://www.loaded.com/es_es/007-first-light-deluxe-edition-pc-steam","Loaded")</f>
        <v>Loaded</v>
      </c>
      <c r="M4" t="str">
        <f>HYPERLINK("https://www.eneba.com/latam/steam-007-first-light-deluxe-edition-steam-key-pc-latam","Eneba")</f>
        <v>Eneba</v>
      </c>
    </row>
    <row r="5">
      <c r="A5" t="s">
        <v>16</v>
      </c>
      <c r="B5" t="s">
        <v>16</v>
      </c>
      <c r="C5" t="s">
        <v>17</v>
      </c>
      <c r="D5">
        <v>56621</v>
      </c>
      <c r="E5">
        <v>86254</v>
      </c>
      <c r="F5">
        <v>71621</v>
      </c>
      <c r="G5">
        <v>103134</v>
      </c>
      <c r="H5">
        <v>15000</v>
      </c>
      <c r="I5" t="str">
        <f>HYPERLINK("https://store.steampowered.com/app/3768760/007_First_Light/","Abrir Steam")</f>
        <v>Abrir Steam</v>
      </c>
      <c r="J5" t="str">
        <f>HYPERLINK("https://www.kinguin.net/es/category/535348/007-first-light-deluxe-edition-pc-steam-account","Kinguin")</f>
        <v>Kinguin</v>
      </c>
      <c r="K5" t="str">
        <f>HYPERLINK("https://driffle.com/es/007-first-light-deluxe-edition-global-pc-steam-account-p9995859","Driffle")</f>
        <v>Driffle</v>
      </c>
      <c r="L5" t="s">
        <v>16</v>
      </c>
      <c r="M5" t="s">
        <v>16</v>
      </c>
    </row>
    <row r="6">
      <c r="A6" t="s">
        <v>19</v>
      </c>
      <c r="B6" t="s">
        <v>14</v>
      </c>
      <c r="C6" t="s">
        <v>15</v>
      </c>
      <c r="D6">
        <v>0</v>
      </c>
      <c r="E6">
        <v>56246</v>
      </c>
      <c r="F6">
        <v>0</v>
      </c>
      <c r="G6">
        <v>0</v>
      </c>
      <c r="H6">
        <v>0</v>
      </c>
      <c r="I6" t="str">
        <f>HYPERLINK("https://store.steampowered.com/app/1222700/A_Way_Out/?l=spanish","Abrir Steam")</f>
        <v>Abrir Steam</v>
      </c>
      <c r="J6" t="s">
        <v>16</v>
      </c>
      <c r="K6" t="s">
        <v>16</v>
      </c>
      <c r="L6" t="s">
        <v>16</v>
      </c>
      <c r="M6" t="s">
        <v>16</v>
      </c>
    </row>
    <row r="7">
      <c r="A7" t="s">
        <v>16</v>
      </c>
      <c r="B7" t="s">
        <v>16</v>
      </c>
      <c r="C7" t="s">
        <v>17</v>
      </c>
      <c r="D7">
        <v>7156</v>
      </c>
      <c r="E7">
        <v>56246</v>
      </c>
      <c r="F7">
        <v>30798</v>
      </c>
      <c r="G7">
        <v>44349</v>
      </c>
      <c r="H7">
        <v>23642</v>
      </c>
      <c r="I7" t="str">
        <f>HYPERLINK("https://store.steampowered.com/app/1222700/A_Way_Out/?l=spanish","Abrir Steam")</f>
        <v>Abrir Steam</v>
      </c>
      <c r="J7" t="str">
        <f>HYPERLINK("https://www.kinguin.net/es/category/163457/a-way-out-steam-account","Kinguin")</f>
        <v>Kinguin</v>
      </c>
      <c r="K7" t="str">
        <f>HYPERLINK("https://driffle.com/es/a-way-out-global-pc-steam-account-p9941450","Driffle")</f>
        <v>Driffle</v>
      </c>
      <c r="L7" t="s">
        <v>16</v>
      </c>
      <c r="M7" t="s">
        <v>16</v>
      </c>
    </row>
    <row r="8">
      <c r="A8" t="s">
        <v>20</v>
      </c>
      <c r="B8" t="s">
        <v>14</v>
      </c>
      <c r="C8" t="s">
        <v>15</v>
      </c>
      <c r="D8">
        <v>47162</v>
      </c>
      <c r="E8">
        <v>75001</v>
      </c>
      <c r="F8">
        <v>0</v>
      </c>
      <c r="G8">
        <v>0</v>
      </c>
      <c r="H8">
        <v>0</v>
      </c>
      <c r="I8" t="str">
        <f>HYPERLINK("https://store.steampowered.com/app/1808500/ARC_Raiders/","Abrir Steam")</f>
        <v>Abrir Steam</v>
      </c>
      <c r="J8" t="str">
        <f>HYPERLINK("https://www.kinguin.net/es/category/391296/arc-raiders-pc-steam-cd-key","Kinguin")</f>
        <v>Kinguin</v>
      </c>
      <c r="K8" t="str">
        <f>HYPERLINK("https://driffle.com/es/arc-raiders-global-pc-steam-digital-key-p9938981","Driffle")</f>
        <v>Driffle</v>
      </c>
      <c r="L8" t="str">
        <f>HYPERLINK("https://www.loaded.com/es_es/arc-raiders-pc-steam","Loaded")</f>
        <v>Loaded</v>
      </c>
      <c r="M8" t="str">
        <f>HYPERLINK("https://www.eneba.com/latam/steam-arc-raiders-steam-key-pc-global","Eneba")</f>
        <v>Eneba</v>
      </c>
    </row>
    <row r="9">
      <c r="A9" t="s">
        <v>16</v>
      </c>
      <c r="B9" t="s">
        <v>16</v>
      </c>
      <c r="C9" t="s">
        <v>17</v>
      </c>
      <c r="D9">
        <v>23491</v>
      </c>
      <c r="E9">
        <v>75001</v>
      </c>
      <c r="F9">
        <v>44647</v>
      </c>
      <c r="G9">
        <v>64292</v>
      </c>
      <c r="H9">
        <v>21156</v>
      </c>
      <c r="I9" t="str">
        <f>HYPERLINK("https://store.steampowered.com/app/1808500/ARC_Raiders/","Abrir Steam")</f>
        <v>Abrir Steam</v>
      </c>
      <c r="J9" t="str">
        <f>HYPERLINK("https://www.kinguin.net/es/category/391303/arc-raiders-pc-steam-account","Kinguin")</f>
        <v>Kinguin</v>
      </c>
      <c r="K9" t="s">
        <v>16</v>
      </c>
      <c r="L9" t="s">
        <v>16</v>
      </c>
      <c r="M9" t="s">
        <v>16</v>
      </c>
    </row>
    <row r="10">
      <c r="A10" t="s">
        <v>16</v>
      </c>
      <c r="B10" t="s">
        <v>18</v>
      </c>
      <c r="C10" t="s">
        <v>15</v>
      </c>
      <c r="D10">
        <v>65586</v>
      </c>
      <c r="E10">
        <v>112511</v>
      </c>
      <c r="F10">
        <v>82864</v>
      </c>
      <c r="G10">
        <v>119324</v>
      </c>
      <c r="H10">
        <v>17278</v>
      </c>
      <c r="I10" t="str">
        <f>HYPERLINK("https://store.steampowered.com/app/1808500/ARC_Raiders/","Abrir Steam")</f>
        <v>Abrir Steam</v>
      </c>
      <c r="J10" t="str">
        <f>HYPERLINK("https://www.kinguin.net/es/category/408331/arc-raiders-deluxe-edition-pc-steam-cd-key","Kinguin")</f>
        <v>Kinguin</v>
      </c>
      <c r="K10" t="str">
        <f>HYPERLINK("https://driffle.com/es/arc-raiders-deluxe-edition-global-pc-steam-digital-key-p9969559","Driffle")</f>
        <v>Driffle</v>
      </c>
      <c r="L10" t="str">
        <f>HYPERLINK("https://www.loaded.com/es_es/arc-raiders-deluxe-edition-pc-steam","Loaded")</f>
        <v>Loaded</v>
      </c>
      <c r="M10" t="str">
        <f>HYPERLINK("https://www.eneba.com/latam/steam-arc-raiders-deluxe-edition-steam-key-pc-global","Eneba")</f>
        <v>Eneba</v>
      </c>
    </row>
    <row r="11">
      <c r="A11" t="s">
        <v>16</v>
      </c>
      <c r="B11" t="s">
        <v>16</v>
      </c>
      <c r="C11" t="s">
        <v>17</v>
      </c>
      <c r="D11">
        <v>41306</v>
      </c>
      <c r="E11">
        <v>112511</v>
      </c>
      <c r="F11">
        <v>66402</v>
      </c>
      <c r="G11">
        <v>95619</v>
      </c>
      <c r="H11">
        <v>25096</v>
      </c>
      <c r="I11" t="str">
        <f>HYPERLINK("https://store.steampowered.com/app/1808500/ARC_Raiders/","Abrir Steam")</f>
        <v>Abrir Steam</v>
      </c>
      <c r="J11" t="str">
        <f>HYPERLINK("https://www.kinguin.net/es/category/391314/arc-raiders-deluxe-edition-pc-steam-account","Kinguin")</f>
        <v>Kinguin</v>
      </c>
      <c r="K11" t="s">
        <v>16</v>
      </c>
      <c r="L11" t="s">
        <v>16</v>
      </c>
      <c r="M11" t="s">
        <v>16</v>
      </c>
    </row>
    <row r="12">
      <c r="A12" t="s">
        <v>21</v>
      </c>
      <c r="B12" t="s">
        <v>14</v>
      </c>
      <c r="C12" t="s">
        <v>15</v>
      </c>
      <c r="D12">
        <v>86313</v>
      </c>
      <c r="E12">
        <v>84379</v>
      </c>
      <c r="F12">
        <v>101358</v>
      </c>
      <c r="G12">
        <v>145956</v>
      </c>
      <c r="H12">
        <v>15045</v>
      </c>
      <c r="I12" t="str">
        <f>HYPERLINK("https://store.steampowered.com/app/2399830/ARK_Survival_Ascended/","Abrir Steam")</f>
        <v>Abrir Steam</v>
      </c>
      <c r="J12" t="str">
        <f>HYPERLINK("https://www.kinguin.net/es/category/193795/ark-survival-ascended-steam-cd-key","Kinguin")</f>
        <v>Kinguin</v>
      </c>
      <c r="K12" t="str">
        <f>HYPERLINK("https://driffle.com/es/ark-survival-ascended-pc-steam-digital-code-p9888561","Driffle")</f>
        <v>Driffle</v>
      </c>
      <c r="L12" t="s">
        <v>16</v>
      </c>
      <c r="M12" t="str">
        <f>HYPERLINK("https://www.eneba.com/latam/steam-ark-survival-ascended-pc-steam-key-global","Eneba")</f>
        <v>Eneba</v>
      </c>
    </row>
    <row r="13">
      <c r="A13" t="s">
        <v>16</v>
      </c>
      <c r="B13" t="s">
        <v>16</v>
      </c>
      <c r="C13" t="s">
        <v>17</v>
      </c>
      <c r="D13">
        <v>12930</v>
      </c>
      <c r="E13">
        <v>84379</v>
      </c>
      <c r="F13">
        <v>39930</v>
      </c>
      <c r="G13">
        <v>57499</v>
      </c>
      <c r="H13">
        <v>27000</v>
      </c>
      <c r="I13" t="str">
        <f>HYPERLINK("https://store.steampowered.com/app/2399830/ARK_Survival_Ascended/","Abrir Steam")</f>
        <v>Abrir Steam</v>
      </c>
      <c r="J13" t="str">
        <f>HYPERLINK("https://www.kinguin.net/es/category/193815/ark-survival-ascended-steam-account","Kinguin")</f>
        <v>Kinguin</v>
      </c>
      <c r="K13" t="str">
        <f>HYPERLINK("https://driffle.com/es/ark-survival-ascended-global-pc-steam-account-p9945608","Driffle")</f>
        <v>Driffle</v>
      </c>
      <c r="L13" t="s">
        <v>16</v>
      </c>
      <c r="M13" t="s">
        <v>16</v>
      </c>
    </row>
    <row r="14">
      <c r="A14" t="s">
        <v>22</v>
      </c>
      <c r="B14" t="s">
        <v>14</v>
      </c>
      <c r="C14" t="s">
        <v>15</v>
      </c>
      <c r="D14">
        <v>0</v>
      </c>
      <c r="E14">
        <v>75001</v>
      </c>
      <c r="F14">
        <v>0</v>
      </c>
      <c r="G14">
        <v>0</v>
      </c>
      <c r="H14">
        <v>0</v>
      </c>
      <c r="I14" t="str">
        <f>HYPERLINK("https://store.steampowered.com/app/3035570/Assassins_Creed_Mirage/","Abrir Steam")</f>
        <v>Abrir Steam</v>
      </c>
      <c r="J14" t="s">
        <v>16</v>
      </c>
      <c r="K14" t="s">
        <v>16</v>
      </c>
      <c r="L14" t="s">
        <v>16</v>
      </c>
      <c r="M14" t="s">
        <v>16</v>
      </c>
    </row>
    <row r="15">
      <c r="A15" t="s">
        <v>16</v>
      </c>
      <c r="B15" t="s">
        <v>16</v>
      </c>
      <c r="C15" t="s">
        <v>17</v>
      </c>
      <c r="D15">
        <v>46998</v>
      </c>
      <c r="E15">
        <v>75001</v>
      </c>
      <c r="F15">
        <v>61998</v>
      </c>
      <c r="G15">
        <v>89277</v>
      </c>
      <c r="H15">
        <v>15000</v>
      </c>
      <c r="I15" t="str">
        <f>HYPERLINK("https://store.steampowered.com/app/3035570/Assassins_Creed_Mirage/","Abrir Steam")</f>
        <v>Abrir Steam</v>
      </c>
      <c r="J15" t="str">
        <f>HYPERLINK("https://www.kinguin.net/es/category/280875/assassin-s-creed-mirage-pc-steam-account","Kinguin")</f>
        <v>Kinguin</v>
      </c>
      <c r="K15" t="str">
        <f>HYPERLINK("https://driffle.com/es/assassins-creed-mirage-global-pc-steam-account-p9972488","Driffle")</f>
        <v>Driffle</v>
      </c>
      <c r="L15" t="s">
        <v>16</v>
      </c>
      <c r="M15" t="s">
        <v>16</v>
      </c>
    </row>
    <row r="16">
      <c r="A16" t="s">
        <v>16</v>
      </c>
      <c r="B16" t="s">
        <v>18</v>
      </c>
      <c r="C16" t="s">
        <v>15</v>
      </c>
      <c r="D16">
        <v>0</v>
      </c>
      <c r="E16">
        <v>90005</v>
      </c>
      <c r="F16">
        <v>0</v>
      </c>
      <c r="G16">
        <v>0</v>
      </c>
      <c r="H16">
        <v>0</v>
      </c>
      <c r="I16" t="str">
        <f>HYPERLINK("https://store.steampowered.com/app/3035570/Assassins_Creed_Mirage/","Abrir Steam")</f>
        <v>Abrir Steam</v>
      </c>
      <c r="J16" t="s">
        <v>16</v>
      </c>
      <c r="K16" t="s">
        <v>16</v>
      </c>
      <c r="L16" t="s">
        <v>16</v>
      </c>
      <c r="M16" t="s">
        <v>16</v>
      </c>
    </row>
    <row r="17">
      <c r="A17" t="s">
        <v>16</v>
      </c>
      <c r="B17" t="s">
        <v>16</v>
      </c>
      <c r="C17" t="s">
        <v>17</v>
      </c>
      <c r="D17">
        <v>0</v>
      </c>
      <c r="E17">
        <v>90005</v>
      </c>
      <c r="F17">
        <v>0</v>
      </c>
      <c r="G17">
        <v>0</v>
      </c>
      <c r="H17">
        <v>0</v>
      </c>
      <c r="I17" t="str">
        <f>HYPERLINK("https://store.steampowered.com/app/3035570/Assassins_Creed_Mirage/","Abrir Steam")</f>
        <v>Abrir Steam</v>
      </c>
      <c r="J17" t="str">
        <f>HYPERLINK("https://www.kinguin.net/es/category/281040/assassin-s-creed-mirage-deluxe-edition-pc-steam-account","Kinguin")</f>
        <v>Kinguin</v>
      </c>
      <c r="K17" t="s">
        <v>16</v>
      </c>
      <c r="L17" t="s">
        <v>16</v>
      </c>
      <c r="M17" t="s">
        <v>16</v>
      </c>
    </row>
    <row r="18">
      <c r="A18" t="s">
        <v>16</v>
      </c>
      <c r="B18" t="s">
        <v>23</v>
      </c>
      <c r="C18" t="s">
        <v>15</v>
      </c>
      <c r="D18">
        <v>0</v>
      </c>
      <c r="E18">
        <v>135017</v>
      </c>
      <c r="F18">
        <v>0</v>
      </c>
      <c r="G18">
        <v>0</v>
      </c>
      <c r="H18">
        <v>0</v>
      </c>
      <c r="I18" t="str">
        <f>HYPERLINK("https://store.steampowered.com/app/3035570/Assassins_Creed_Mirage/","Abrir Steam")</f>
        <v>Abrir Steam</v>
      </c>
      <c r="J18" t="s">
        <v>16</v>
      </c>
      <c r="K18" t="s">
        <v>16</v>
      </c>
      <c r="L18" t="s">
        <v>16</v>
      </c>
      <c r="M18" t="s">
        <v>16</v>
      </c>
    </row>
    <row r="19">
      <c r="A19" t="s">
        <v>16</v>
      </c>
      <c r="B19" t="s">
        <v>16</v>
      </c>
      <c r="C19" t="s">
        <v>17</v>
      </c>
      <c r="D19">
        <v>0</v>
      </c>
      <c r="E19">
        <v>135017</v>
      </c>
      <c r="F19">
        <v>0</v>
      </c>
      <c r="G19">
        <v>0</v>
      </c>
      <c r="H19">
        <v>0</v>
      </c>
      <c r="I19" t="str">
        <f>HYPERLINK("https://store.steampowered.com/app/3035570/Assassins_Creed_Mirage/","Abrir Steam")</f>
        <v>Abrir Steam</v>
      </c>
      <c r="J19" t="str">
        <f>HYPERLINK("https://www.kinguin.net/es/category/281038/assassin-s-creed-mirage-master-assassin-edition-pc-steam-account","Kinguin")</f>
        <v>Kinguin</v>
      </c>
      <c r="K19" t="s">
        <v>16</v>
      </c>
      <c r="L19" t="s">
        <v>16</v>
      </c>
      <c r="M19" t="s">
        <v>16</v>
      </c>
    </row>
    <row r="20">
      <c r="A20" t="s">
        <v>24</v>
      </c>
      <c r="B20" t="s">
        <v>14</v>
      </c>
      <c r="C20" t="s">
        <v>15</v>
      </c>
      <c r="D20">
        <v>0</v>
      </c>
      <c r="E20">
        <v>105009</v>
      </c>
      <c r="F20">
        <v>0</v>
      </c>
      <c r="G20">
        <v>0</v>
      </c>
      <c r="H20">
        <v>0</v>
      </c>
      <c r="I20" t="str">
        <f>HYPERLINK("https://store.steampowered.com/app/3159330/Assassins_Creed_Shadows/","Abrir Steam")</f>
        <v>Abrir Steam</v>
      </c>
      <c r="J20" t="str">
        <f>HYPERLINK("https://www.kinguin.net/es/category/248505/assassins-creed-shadows-pc-ubisoft-connect-cd-key","Kinguin")</f>
        <v>Kinguin</v>
      </c>
      <c r="K20" t="str">
        <f>HYPERLINK("https://driffle.com/es/assassins-creed-shadows-pc-ubisoft-connect-digital-key-p9910817","Driffle")</f>
        <v>Driffle</v>
      </c>
      <c r="L20" t="str">
        <f>HYPERLINK("https://www.loaded.com/es_es/assassin-s-creed-shadows-pc-ww-ubisoft-connect","Loaded")</f>
        <v>Loaded</v>
      </c>
      <c r="M20" t="s">
        <v>16</v>
      </c>
    </row>
    <row r="21">
      <c r="A21" t="s">
        <v>16</v>
      </c>
      <c r="B21" t="s">
        <v>16</v>
      </c>
      <c r="C21" t="s">
        <v>17</v>
      </c>
      <c r="D21">
        <v>34463</v>
      </c>
      <c r="E21">
        <v>105009</v>
      </c>
      <c r="F21">
        <v>60739</v>
      </c>
      <c r="G21">
        <v>87464</v>
      </c>
      <c r="H21">
        <v>26276</v>
      </c>
      <c r="I21" t="str">
        <f>HYPERLINK("https://store.steampowered.com/app/3159330/Assassins_Creed_Shadows/","Abrir Steam")</f>
        <v>Abrir Steam</v>
      </c>
      <c r="J21" t="str">
        <f>HYPERLINK("https://www.kinguin.net/es/category/305769/assassins-creed-shadows-pc-steam-account","Kinguin")</f>
        <v>Kinguin</v>
      </c>
      <c r="K21" t="str">
        <f>HYPERLINK("https://driffle.com/es/assassins-creed-shadows-global-pc-steam-account-p9979431","Driffle")</f>
        <v>Driffle</v>
      </c>
      <c r="L21" t="s">
        <v>16</v>
      </c>
      <c r="M21" t="s">
        <v>16</v>
      </c>
    </row>
    <row r="22">
      <c r="A22" t="s">
        <v>16</v>
      </c>
      <c r="B22" t="s">
        <v>18</v>
      </c>
      <c r="C22" t="s">
        <v>15</v>
      </c>
      <c r="D22">
        <v>0</v>
      </c>
      <c r="E22">
        <v>135017</v>
      </c>
      <c r="F22">
        <v>0</v>
      </c>
      <c r="G22">
        <v>0</v>
      </c>
      <c r="H22">
        <v>0</v>
      </c>
      <c r="I22" t="str">
        <f>HYPERLINK("https://store.steampowered.com/app/3159330/Assassins_Creed_Shadows/","Abrir Steam")</f>
        <v>Abrir Steam</v>
      </c>
      <c r="J22" t="str">
        <f>HYPERLINK("https://www.kinguin.net/es/category/322501/assassin-s-creed-shadows-deluxe-edition-pc-ubisoft-connect-cd-key","Kinguin")</f>
        <v>Kinguin</v>
      </c>
      <c r="K22" t="str">
        <f>HYPERLINK("https://driffle.com/es/assassins-creed-shadows-deluxe-edition-global-pc-ubisoft-connect-digital-key-p9934576","Driffle")</f>
        <v>Driffle</v>
      </c>
      <c r="L22" t="str">
        <f>HYPERLINK("https://www.loaded.com/es_es/assassin-s-creed-shadows-digital-deluxe-edition-pc-ww-ubisoft-connect","Loaded")</f>
        <v>Loaded</v>
      </c>
      <c r="M22" t="s">
        <v>16</v>
      </c>
    </row>
    <row r="23">
      <c r="A23" t="s">
        <v>16</v>
      </c>
      <c r="B23" t="s">
        <v>16</v>
      </c>
      <c r="C23" t="s">
        <v>17</v>
      </c>
      <c r="D23">
        <v>95706</v>
      </c>
      <c r="E23">
        <v>135017</v>
      </c>
      <c r="F23">
        <v>110706</v>
      </c>
      <c r="G23">
        <v>159417</v>
      </c>
      <c r="H23">
        <v>15000</v>
      </c>
      <c r="I23" t="str">
        <f>HYPERLINK("https://store.steampowered.com/app/3159330/Assassins_Creed_Shadows/","Abrir Steam")</f>
        <v>Abrir Steam</v>
      </c>
      <c r="J23" t="str">
        <f>HYPERLINK("https://www.kinguin.net/es/category/305807/assassins-creed-shadows-deluxe-edition-pc-steam-account","Kinguin")</f>
        <v>Kinguin</v>
      </c>
      <c r="K23" t="s">
        <v>16</v>
      </c>
      <c r="L23" t="s">
        <v>16</v>
      </c>
      <c r="M23" t="s">
        <v>16</v>
      </c>
    </row>
    <row r="24">
      <c r="A24" t="s">
        <v>16</v>
      </c>
      <c r="B24" t="s">
        <v>25</v>
      </c>
      <c r="C24" t="s">
        <v>15</v>
      </c>
      <c r="D24">
        <v>0</v>
      </c>
      <c r="E24">
        <v>165025</v>
      </c>
      <c r="F24">
        <v>0</v>
      </c>
      <c r="G24">
        <v>0</v>
      </c>
      <c r="H24">
        <v>0</v>
      </c>
      <c r="I24" t="str">
        <f>HYPERLINK("https://store.steampowered.com/app/3159330/Assassins_Creed_Shadows/","Abrir Steam")</f>
        <v>Abrir Steam</v>
      </c>
      <c r="J24" t="str">
        <f>HYPERLINK("https://www.kinguin.net/es/category/435333/assassin-s-creed-shadows-premium-edition-pc-ubisoft-connect-cd-key","Kinguin")</f>
        <v>Kinguin</v>
      </c>
      <c r="K24" t="str">
        <f>HYPERLINK("https://driffle.com/es/assassins-creed-shadows-premium-edition-global-pc-ubisoft-connect-digital-key-p9981887","Driffle")</f>
        <v>Driffle</v>
      </c>
      <c r="L24" t="s">
        <v>16</v>
      </c>
      <c r="M24" t="s">
        <v>16</v>
      </c>
    </row>
    <row r="25">
      <c r="A25" t="s">
        <v>16</v>
      </c>
      <c r="B25" t="s">
        <v>16</v>
      </c>
      <c r="C25" t="s">
        <v>17</v>
      </c>
      <c r="D25">
        <v>0</v>
      </c>
      <c r="E25">
        <v>165025</v>
      </c>
      <c r="F25">
        <v>0</v>
      </c>
      <c r="G25">
        <v>0</v>
      </c>
      <c r="H25">
        <v>0</v>
      </c>
      <c r="I25" t="str">
        <f>HYPERLINK("https://store.steampowered.com/app/3159330/Assassins_Creed_Shadows/","Abrir Steam")</f>
        <v>Abrir Steam</v>
      </c>
      <c r="J25" t="s">
        <v>16</v>
      </c>
      <c r="K25" t="s">
        <v>16</v>
      </c>
      <c r="L25" t="s">
        <v>16</v>
      </c>
      <c r="M25" t="s">
        <v>16</v>
      </c>
    </row>
    <row r="26">
      <c r="A26" t="s">
        <v>26</v>
      </c>
      <c r="B26" t="s">
        <v>14</v>
      </c>
      <c r="C26" t="s">
        <v>15</v>
      </c>
      <c r="D26">
        <v>0</v>
      </c>
      <c r="E26">
        <v>65624</v>
      </c>
      <c r="F26">
        <v>0</v>
      </c>
      <c r="G26">
        <v>0</v>
      </c>
      <c r="H26">
        <v>0</v>
      </c>
      <c r="I26" t="str">
        <f>HYPERLINK("https://store.steampowered.com/app/1086940/Baldurs_Gate_3/","Abrir Steam")</f>
        <v>Abrir Steam</v>
      </c>
      <c r="J26" t="s">
        <v>16</v>
      </c>
      <c r="K26" t="s">
        <v>16</v>
      </c>
      <c r="L26" t="s">
        <v>16</v>
      </c>
      <c r="M26" t="s">
        <v>16</v>
      </c>
    </row>
    <row r="27">
      <c r="A27" t="s">
        <v>16</v>
      </c>
      <c r="B27" t="s">
        <v>16</v>
      </c>
      <c r="C27" t="s">
        <v>17</v>
      </c>
      <c r="D27">
        <v>21171</v>
      </c>
      <c r="E27">
        <v>65624</v>
      </c>
      <c r="F27">
        <v>40062</v>
      </c>
      <c r="G27">
        <v>57689</v>
      </c>
      <c r="H27">
        <v>18891</v>
      </c>
      <c r="I27" t="str">
        <f>HYPERLINK("https://store.steampowered.com/app/1086940/Baldurs_Gate_3/","Abrir Steam")</f>
        <v>Abrir Steam</v>
      </c>
      <c r="J27" t="str">
        <f>HYPERLINK("https://www.kinguin.net/es/category/137430/baldur-s-gate-3-pc-steam-account","Kinguin")</f>
        <v>Kinguin</v>
      </c>
      <c r="K27" t="str">
        <f>HYPERLINK("https://driffle.com/es/baldurs-gate-3-global-pc-mac-steam-account-p9945610","Driffle")</f>
        <v>Driffle</v>
      </c>
      <c r="L27" t="s">
        <v>16</v>
      </c>
      <c r="M27" t="s">
        <v>16</v>
      </c>
    </row>
    <row r="28">
      <c r="A28" t="s">
        <v>27</v>
      </c>
      <c r="B28" t="s">
        <v>14</v>
      </c>
      <c r="C28" t="s">
        <v>15</v>
      </c>
      <c r="D28">
        <v>70735</v>
      </c>
      <c r="E28">
        <v>131266</v>
      </c>
      <c r="F28">
        <v>94730</v>
      </c>
      <c r="G28">
        <v>136411</v>
      </c>
      <c r="H28">
        <v>23995</v>
      </c>
      <c r="I28" t="str">
        <f>HYPERLINK("https://store.steampowered.com/app/2807960/Battlefield_6/","Abrir Steam")</f>
        <v>Abrir Steam</v>
      </c>
      <c r="J28" t="str">
        <f>HYPERLINK("https://www.kinguin.net/es/category/371746/battlefield-6-pc-steam-cd-key","Kinguin")</f>
        <v>Kinguin</v>
      </c>
      <c r="K28" t="str">
        <f>HYPERLINK("https://driffle.com/es/battlefield-6-global-pc-ea-play-digital-key-p9951111","Driffle")</f>
        <v>Driffle</v>
      </c>
      <c r="L28" t="str">
        <f>HYPERLINK("https://www.loaded.com/es_es/battlefield-6-pc-eaapp","Loaded")</f>
        <v>Loaded</v>
      </c>
      <c r="M28" t="str">
        <f>HYPERLINK("https://www.eneba.com/latam/ea-app-battlefield-6-ea-app-pc-key-global","Eneba")</f>
        <v>Eneba</v>
      </c>
    </row>
    <row r="29">
      <c r="A29" t="s">
        <v>16</v>
      </c>
      <c r="B29" t="s">
        <v>16</v>
      </c>
      <c r="C29" t="s">
        <v>17</v>
      </c>
      <c r="D29">
        <v>22750</v>
      </c>
      <c r="E29">
        <v>131266</v>
      </c>
      <c r="F29">
        <v>49750</v>
      </c>
      <c r="G29">
        <v>71640</v>
      </c>
      <c r="H29">
        <v>27000</v>
      </c>
      <c r="I29" t="str">
        <f>HYPERLINK("https://store.steampowered.com/app/2807960/Battlefield_6/","Abrir Steam")</f>
        <v>Abrir Steam</v>
      </c>
      <c r="J29" t="str">
        <f>HYPERLINK("https://www.kinguin.net/es/category/371748/battlefield-6-pc-steam-account","Kinguin")</f>
        <v>Kinguin</v>
      </c>
      <c r="K29" t="str">
        <f>HYPERLINK("https://driffle.com/es/battlefield-6-global-pc-steam-account-p9952012","Driffle")</f>
        <v>Driffle</v>
      </c>
      <c r="L29" t="s">
        <v>16</v>
      </c>
      <c r="M29" t="s">
        <v>16</v>
      </c>
    </row>
    <row r="30">
      <c r="A30" t="s">
        <v>16</v>
      </c>
      <c r="B30" t="s">
        <v>28</v>
      </c>
      <c r="C30" t="s">
        <v>15</v>
      </c>
      <c r="D30">
        <v>111745</v>
      </c>
      <c r="E30">
        <v>131266</v>
      </c>
      <c r="F30">
        <v>129131</v>
      </c>
      <c r="G30">
        <v>185949</v>
      </c>
      <c r="H30">
        <v>17386</v>
      </c>
      <c r="I30" t="str">
        <f>HYPERLINK("https://store.steampowered.com/app/2807960/Battlefield_6/","Abrir Steam")</f>
        <v>Abrir Steam</v>
      </c>
      <c r="J30" t="str">
        <f>HYPERLINK("https://www.kinguin.net/es/category/371753/battlefield-6-phantom-edition-pc-steam-cd-key","Kinguin")</f>
        <v>Kinguin</v>
      </c>
      <c r="K30" t="str">
        <f>HYPERLINK("https://driffle.com/es/battlefield-6-phantom-edition-global-pc-ea-play-digital-key-p9967536","Driffle")</f>
        <v>Driffle</v>
      </c>
      <c r="L30" t="str">
        <f>HYPERLINK("https://www.loaded.com/es_es/battlefield-6-phantom-edition-pc-eaapp","Loaded")</f>
        <v>Loaded</v>
      </c>
      <c r="M30" t="str">
        <f>HYPERLINK("https://www.eneba.com/latam/ea-app-battlefield-6-phantom-edition-ea-app-key-pc-global","Eneba")</f>
        <v>Eneba</v>
      </c>
    </row>
    <row r="31">
      <c r="A31" t="s">
        <v>16</v>
      </c>
      <c r="B31" t="s">
        <v>16</v>
      </c>
      <c r="C31" t="s">
        <v>17</v>
      </c>
      <c r="D31">
        <v>67346</v>
      </c>
      <c r="E31">
        <v>131266</v>
      </c>
      <c r="F31">
        <v>84132</v>
      </c>
      <c r="G31">
        <v>121150</v>
      </c>
      <c r="H31">
        <v>16786</v>
      </c>
      <c r="I31" t="str">
        <f>HYPERLINK("https://store.steampowered.com/app/2807960/Battlefield_6/","Abrir Steam")</f>
        <v>Abrir Steam</v>
      </c>
      <c r="J31" t="str">
        <f>HYPERLINK("https://www.kinguin.net/es/category/371752/battlefield-6-phantom-edition-pc-steam-account","Kinguin")</f>
        <v>Kinguin</v>
      </c>
      <c r="K31" t="str">
        <f>HYPERLINK("https://driffle.com/es/battlefield-6-phantom-edition-global-pc-steam-account-p9952026","Driffle")</f>
        <v>Driffle</v>
      </c>
      <c r="L31" t="s">
        <v>16</v>
      </c>
      <c r="M31" t="s">
        <v>16</v>
      </c>
    </row>
    <row r="32">
      <c r="A32" t="s">
        <v>29</v>
      </c>
      <c r="B32" t="s">
        <v>14</v>
      </c>
      <c r="C32" t="s">
        <v>15</v>
      </c>
      <c r="D32">
        <v>60108</v>
      </c>
      <c r="E32">
        <v>112511</v>
      </c>
      <c r="F32">
        <v>81752</v>
      </c>
      <c r="G32">
        <v>117723</v>
      </c>
      <c r="H32">
        <v>21644</v>
      </c>
      <c r="I32" t="str">
        <f>HYPERLINK("https://store.steampowered.com/app/2358720/Black_Myth_Wukong/","Abrir Steam")</f>
        <v>Abrir Steam</v>
      </c>
      <c r="J32" t="str">
        <f>HYPERLINK("https://www.kinguin.net/es/category/263403/black-myth-wukong-pc-steam-cd-key","Kinguin")</f>
        <v>Kinguin</v>
      </c>
      <c r="K32" t="str">
        <f>HYPERLINK("https://driffle.com/es/black-myth-wukong-latam-pc-steam-digital-key-p9916395","Driffle")</f>
        <v>Driffle</v>
      </c>
      <c r="L32" t="str">
        <f>HYPERLINK("https://www.loaded.com/es_es/black-myth-wukong-pc-steam","Loaded")</f>
        <v>Loaded</v>
      </c>
      <c r="M32" t="str">
        <f>HYPERLINK("https://www.eneba.com/latam/steam-black-myth-wukong-pc-steam-key-global","Eneba")</f>
        <v>Eneba</v>
      </c>
    </row>
    <row r="33">
      <c r="A33" t="s">
        <v>16</v>
      </c>
      <c r="B33" t="s">
        <v>16</v>
      </c>
      <c r="C33" t="s">
        <v>17</v>
      </c>
      <c r="D33">
        <v>34693</v>
      </c>
      <c r="E33">
        <v>112511</v>
      </c>
      <c r="F33">
        <v>61693</v>
      </c>
      <c r="G33">
        <v>88838</v>
      </c>
      <c r="H33">
        <v>27000</v>
      </c>
      <c r="I33" t="str">
        <f>HYPERLINK("https://store.steampowered.com/app/2358720/Black_Myth_Wukong/","Abrir Steam")</f>
        <v>Abrir Steam</v>
      </c>
      <c r="J33" t="str">
        <f>HYPERLINK("https://www.kinguin.net/es/category/243305/black-myth-wukong-pc-steam-account","Kinguin")</f>
        <v>Kinguin</v>
      </c>
      <c r="K33" t="str">
        <f>HYPERLINK("https://driffle.com/black-myth-wukong-global-pc-steam-account-p9952239","Driffle")</f>
        <v>Driffle</v>
      </c>
      <c r="L33" t="s">
        <v>16</v>
      </c>
      <c r="M33" t="s">
        <v>16</v>
      </c>
    </row>
    <row r="34">
      <c r="A34" t="s">
        <v>16</v>
      </c>
      <c r="B34" t="s">
        <v>18</v>
      </c>
      <c r="C34" t="s">
        <v>15</v>
      </c>
      <c r="D34">
        <v>0</v>
      </c>
      <c r="E34">
        <v>131266</v>
      </c>
      <c r="F34">
        <v>0</v>
      </c>
      <c r="G34">
        <v>0</v>
      </c>
      <c r="H34">
        <v>0</v>
      </c>
      <c r="I34" t="str">
        <f>HYPERLINK("https://store.steampowered.com/app/2358720/Black_Myth_Wukong/","Abrir Steam")</f>
        <v>Abrir Steam</v>
      </c>
      <c r="J34" t="str">
        <f>HYPERLINK("https://www.kinguin.net/es/category/248533/black-myth-wukong-deluxe-edition-pc-steam-cd-key","Kinguin")</f>
        <v>Kinguin</v>
      </c>
      <c r="K34" t="str">
        <f>HYPERLINK("https://driffle.com/black-myth-wukong-digital-deluxe-edition-pc-steam-digital-key-p9914014","Driffle")</f>
        <v>Driffle</v>
      </c>
      <c r="L34" t="str">
        <f>HYPERLINK("https://www.loaded.com/es_es/black-myth-wukong-digital-deluxe-edition-pc-steam","Loaded")</f>
        <v>Loaded</v>
      </c>
      <c r="M34" t="str">
        <f>HYPERLINK("https://www.eneba.com/latam/steam-black-myth-wukong-digital-deluxe-edition-pc-steam-key-global","Eneba")</f>
        <v>Eneba</v>
      </c>
    </row>
    <row r="35">
      <c r="A35" t="s">
        <v>16</v>
      </c>
      <c r="B35" t="s">
        <v>16</v>
      </c>
      <c r="C35" t="s">
        <v>17</v>
      </c>
      <c r="D35">
        <v>83188</v>
      </c>
      <c r="E35">
        <v>131266</v>
      </c>
      <c r="F35">
        <v>98188</v>
      </c>
      <c r="G35">
        <v>141391</v>
      </c>
      <c r="H35">
        <v>15000</v>
      </c>
      <c r="I35" t="str">
        <f>HYPERLINK("https://store.steampowered.com/app/2358720/Black_Myth_Wukong/","Abrir Steam")</f>
        <v>Abrir Steam</v>
      </c>
      <c r="J35" t="str">
        <f>HYPERLINK("https://www.kinguin.net/es/category/244179/black-myth-wukong-deluxe-edition-pc-steam-account","Kinguin")</f>
        <v>Kinguin</v>
      </c>
      <c r="K35" t="str">
        <f>HYPERLINK("https://driffle.com/black-myth-wukong-digital-deluxe-edition-global-pc-steam-account-p9971417","Driffle")</f>
        <v>Driffle</v>
      </c>
      <c r="L35" t="s">
        <v>16</v>
      </c>
      <c r="M35" t="s">
        <v>16</v>
      </c>
    </row>
    <row r="36">
      <c r="A36" t="s">
        <v>30</v>
      </c>
      <c r="B36" t="s">
        <v>14</v>
      </c>
      <c r="C36" t="s">
        <v>15</v>
      </c>
      <c r="D36">
        <v>47409</v>
      </c>
      <c r="E36">
        <v>131266</v>
      </c>
      <c r="F36">
        <v>81687</v>
      </c>
      <c r="G36">
        <v>117629</v>
      </c>
      <c r="H36">
        <v>34278</v>
      </c>
      <c r="I36" t="str">
        <f>HYPERLINK("https://store.steampowered.com/app/1285190/Borderlands_4/","Abrir Steam")</f>
        <v>Abrir Steam</v>
      </c>
      <c r="J36" t="str">
        <f>HYPERLINK("https://www.kinguin.net/es/category/373366/borderlands-4-pc-steam-cd-key","Kinguin")</f>
        <v>Kinguin</v>
      </c>
      <c r="K36" t="str">
        <f>HYPERLINK("https://driffle.com/es/borderlands-4-global-pc-steam-digital-key-p9926887","Driffle")</f>
        <v>Driffle</v>
      </c>
      <c r="L36" t="str">
        <f>HYPERLINK("https://www.loaded.com/es_es/borderlands-4-pc-steam","Loaded")</f>
        <v>Loaded</v>
      </c>
      <c r="M36" t="str">
        <f>HYPERLINK("https://www.eneba.com/latam/steam-borderlands-4-steam-key-pc-global","Eneba")</f>
        <v>Eneba</v>
      </c>
    </row>
    <row r="37">
      <c r="A37" t="s">
        <v>16</v>
      </c>
      <c r="B37" t="s">
        <v>16</v>
      </c>
      <c r="C37" t="s">
        <v>17</v>
      </c>
      <c r="D37">
        <v>32555</v>
      </c>
      <c r="E37">
        <v>131266</v>
      </c>
      <c r="F37">
        <v>59555</v>
      </c>
      <c r="G37">
        <v>85759</v>
      </c>
      <c r="H37">
        <v>27000</v>
      </c>
      <c r="I37" t="str">
        <f>HYPERLINK("https://store.steampowered.com/app/1285190/Borderlands_4/","Abrir Steam")</f>
        <v>Abrir Steam</v>
      </c>
      <c r="J37" t="str">
        <f>HYPERLINK("https://www.kinguin.net/es/category/352519/borderlands-4-pc-steam-account","Kinguin")</f>
        <v>Kinguin</v>
      </c>
      <c r="K37" t="s">
        <v>16</v>
      </c>
      <c r="L37" t="s">
        <v>16</v>
      </c>
      <c r="M37" t="s">
        <v>16</v>
      </c>
    </row>
    <row r="38">
      <c r="A38" t="s">
        <v>16</v>
      </c>
      <c r="B38" t="s">
        <v>18</v>
      </c>
      <c r="C38" t="s">
        <v>15</v>
      </c>
      <c r="D38">
        <v>69024</v>
      </c>
      <c r="E38">
        <v>187531</v>
      </c>
      <c r="F38">
        <v>96024</v>
      </c>
      <c r="G38">
        <v>138275</v>
      </c>
      <c r="H38">
        <v>27000</v>
      </c>
      <c r="I38" t="str">
        <f>HYPERLINK("https://store.steampowered.com/app/1285190/Borderlands_4/","Abrir Steam")</f>
        <v>Abrir Steam</v>
      </c>
      <c r="J38" t="str">
        <f>HYPERLINK("https://www.kinguin.net/es/category/377653/borderlands-4-deluxe-edition-pc-steam-cd-key","Kinguin")</f>
        <v>Kinguin</v>
      </c>
      <c r="K38" t="str">
        <f>HYPERLINK("https://driffle.com/es/borderlands-4-deluxe-edition-global-pc-steam-digital-key-p9941167","Driffle")</f>
        <v>Driffle</v>
      </c>
      <c r="L38" t="s">
        <v>16</v>
      </c>
      <c r="M38" t="str">
        <f>HYPERLINK("https://www.eneba.com/latam/steam-borderlands-4-deluxe-edition-steam-key-pc-global","Eneba")</f>
        <v>Eneba</v>
      </c>
    </row>
    <row r="39">
      <c r="A39" t="s">
        <v>16</v>
      </c>
      <c r="B39" t="s">
        <v>16</v>
      </c>
      <c r="C39" t="s">
        <v>17</v>
      </c>
      <c r="D39">
        <v>68169</v>
      </c>
      <c r="E39">
        <v>187531</v>
      </c>
      <c r="F39">
        <v>95169</v>
      </c>
      <c r="G39">
        <v>137043</v>
      </c>
      <c r="H39">
        <v>27000</v>
      </c>
      <c r="I39" t="str">
        <f>HYPERLINK("https://store.steampowered.com/app/1285190/Borderlands_4/","Abrir Steam")</f>
        <v>Abrir Steam</v>
      </c>
      <c r="J39" t="str">
        <f>HYPERLINK("https://www.kinguin.net/es/category/352522/borderlands-4-deluxe-edition-pc-steam-account","Kinguin")</f>
        <v>Kinguin</v>
      </c>
      <c r="K39" t="s">
        <v>16</v>
      </c>
      <c r="L39" t="s">
        <v>16</v>
      </c>
      <c r="M39" t="s">
        <v>16</v>
      </c>
    </row>
    <row r="40">
      <c r="A40" t="s">
        <v>16</v>
      </c>
      <c r="B40" t="s">
        <v>31</v>
      </c>
      <c r="C40" t="s">
        <v>15</v>
      </c>
      <c r="D40">
        <v>90574</v>
      </c>
      <c r="E40">
        <v>243796</v>
      </c>
      <c r="F40">
        <v>117574</v>
      </c>
      <c r="G40">
        <v>169307</v>
      </c>
      <c r="H40">
        <v>27000</v>
      </c>
      <c r="I40" t="str">
        <f>HYPERLINK("https://store.steampowered.com/app/1285190/Borderlands_4/","Abrir Steam")</f>
        <v>Abrir Steam</v>
      </c>
      <c r="J40" t="str">
        <f>HYPERLINK("https://www.kinguin.net/es/category/364798/borderlands-4-super-deluxe-edition-pc-steam-cd-key","Kinguin")</f>
        <v>Kinguin</v>
      </c>
      <c r="K40" t="str">
        <f>HYPERLINK("https://driffle.com/es/borderlands-4-super-deluxe-edition-global-pc-steam-digital-key-p9941170","Driffle")</f>
        <v>Driffle</v>
      </c>
      <c r="L40" t="s">
        <v>16</v>
      </c>
      <c r="M40" t="str">
        <f>HYPERLINK("https://www.eneba.com/latam/steam-borderlands-4-super-deluxe-edition-steam-key-pc-global","Eneba")</f>
        <v>Eneba</v>
      </c>
    </row>
    <row r="41">
      <c r="A41" t="s">
        <v>16</v>
      </c>
      <c r="B41" t="s">
        <v>16</v>
      </c>
      <c r="C41" t="s">
        <v>17</v>
      </c>
      <c r="D41">
        <v>133985</v>
      </c>
      <c r="E41">
        <v>187531</v>
      </c>
      <c r="F41">
        <v>148985</v>
      </c>
      <c r="G41">
        <v>214538</v>
      </c>
      <c r="H41">
        <v>15000</v>
      </c>
      <c r="I41" t="str">
        <f>HYPERLINK("https://store.steampowered.com/app/1285190/Borderlands_4/","Abrir Steam")</f>
        <v>Abrir Steam</v>
      </c>
      <c r="J41" t="str">
        <f>HYPERLINK("https://www.kinguin.net/es/category/352529/borderlands-4-super-deluxe-edition-pc-steam-account","Kinguin")</f>
        <v>Kinguin</v>
      </c>
      <c r="K41" t="s">
        <v>16</v>
      </c>
      <c r="L41" t="s">
        <v>16</v>
      </c>
      <c r="M41" t="s">
        <v>16</v>
      </c>
    </row>
    <row r="42">
      <c r="A42" t="s">
        <v>32</v>
      </c>
      <c r="B42" t="s">
        <v>14</v>
      </c>
      <c r="C42" t="s">
        <v>15</v>
      </c>
      <c r="D42">
        <v>0</v>
      </c>
      <c r="E42">
        <v>131266</v>
      </c>
      <c r="F42">
        <v>0</v>
      </c>
      <c r="G42">
        <v>0</v>
      </c>
      <c r="H42">
        <v>0</v>
      </c>
      <c r="I42" t="str">
        <f>HYPERLINK("https://store.steampowered.com/app/3606480/Call_of_Duty_Black_Ops_7/","Abrir Steam")</f>
        <v>Abrir Steam</v>
      </c>
      <c r="J42" t="s">
        <v>16</v>
      </c>
      <c r="K42" t="s">
        <v>16</v>
      </c>
      <c r="L42" t="s">
        <v>16</v>
      </c>
      <c r="M42" t="s">
        <v>16</v>
      </c>
    </row>
    <row r="43">
      <c r="A43" t="s">
        <v>16</v>
      </c>
      <c r="B43" t="s">
        <v>16</v>
      </c>
      <c r="C43" t="s">
        <v>17</v>
      </c>
      <c r="D43">
        <v>38987</v>
      </c>
      <c r="E43">
        <v>131266</v>
      </c>
      <c r="F43">
        <v>65987</v>
      </c>
      <c r="G43">
        <v>95021</v>
      </c>
      <c r="H43">
        <v>27000</v>
      </c>
      <c r="I43" t="str">
        <f>HYPERLINK("https://store.steampowered.com/app/3606480/Call_of_Duty_Black_Ops_7/","Abrir Steam")</f>
        <v>Abrir Steam</v>
      </c>
      <c r="J43" t="str">
        <f>HYPERLINK("https://www.kinguin.net/es/category/378747/call-of-duty-black-ops-7-pc-steam-account","Kinguin")</f>
        <v>Kinguin</v>
      </c>
      <c r="K43" t="str">
        <f>HYPERLINK("https://driffle.com/es/call-of-duty-black-ops-7-global-pc-steam-account-p9971582","Driffle")</f>
        <v>Driffle</v>
      </c>
      <c r="L43" t="s">
        <v>16</v>
      </c>
      <c r="M43" t="s">
        <v>16</v>
      </c>
    </row>
    <row r="44">
      <c r="A44" t="s">
        <v>16</v>
      </c>
      <c r="B44" t="s">
        <v>33</v>
      </c>
      <c r="C44" t="s">
        <v>15</v>
      </c>
      <c r="D44">
        <v>0</v>
      </c>
      <c r="E44">
        <v>131266</v>
      </c>
      <c r="F44">
        <v>0</v>
      </c>
      <c r="G44">
        <v>0</v>
      </c>
      <c r="H44">
        <v>0</v>
      </c>
      <c r="I44" t="str">
        <f>HYPERLINK("https://store.steampowered.com/app/3606480/Call_of_Duty_Black_Ops_7/","Abrir Steam")</f>
        <v>Abrir Steam</v>
      </c>
      <c r="J44" t="s">
        <v>16</v>
      </c>
      <c r="K44" t="s">
        <v>16</v>
      </c>
      <c r="L44" t="s">
        <v>16</v>
      </c>
      <c r="M44" t="s">
        <v>16</v>
      </c>
    </row>
    <row r="45">
      <c r="A45" t="s">
        <v>16</v>
      </c>
      <c r="B45" t="s">
        <v>33</v>
      </c>
      <c r="C45" t="s">
        <v>17</v>
      </c>
      <c r="D45">
        <v>65126</v>
      </c>
      <c r="E45">
        <v>131266</v>
      </c>
      <c r="F45">
        <v>83244</v>
      </c>
      <c r="G45">
        <v>119871</v>
      </c>
      <c r="H45">
        <v>18118</v>
      </c>
      <c r="I45" t="str">
        <f>HYPERLINK("https://store.steampowered.com/app/3606480/Call_of_Duty_Black_Ops_7/","Abrir Steam")</f>
        <v>Abrir Steam</v>
      </c>
      <c r="J45" t="str">
        <f>HYPERLINK("https://www.kinguin.net/es/category/379298/call-of-duty-black-ops-7-vault-edition-pc-steam-account","Kinguin")</f>
        <v>Kinguin</v>
      </c>
      <c r="K45" t="s">
        <v>16</v>
      </c>
      <c r="L45" t="s">
        <v>16</v>
      </c>
      <c r="M45" t="s">
        <v>16</v>
      </c>
    </row>
    <row r="46">
      <c r="A46" t="s">
        <v>34</v>
      </c>
      <c r="B46" t="s">
        <v>35</v>
      </c>
      <c r="C46" t="s">
        <v>15</v>
      </c>
      <c r="D46">
        <v>0</v>
      </c>
      <c r="E46">
        <v>112511</v>
      </c>
      <c r="F46">
        <v>0</v>
      </c>
      <c r="G46">
        <v>0</v>
      </c>
      <c r="H46">
        <v>0</v>
      </c>
      <c r="I46" t="str">
        <f>HYPERLINK("https://store.steampowered.com/app/311210/Call_of_Duty_Black_Ops_III/","Abrir Steam")</f>
        <v>Abrir Steam</v>
      </c>
      <c r="J46" t="s">
        <v>16</v>
      </c>
      <c r="K46" t="s">
        <v>16</v>
      </c>
      <c r="L46" t="s">
        <v>16</v>
      </c>
      <c r="M46" t="s">
        <v>16</v>
      </c>
    </row>
    <row r="47">
      <c r="A47" t="s">
        <v>16</v>
      </c>
      <c r="B47" t="s">
        <v>16</v>
      </c>
      <c r="C47" t="s">
        <v>17</v>
      </c>
      <c r="D47">
        <v>28475</v>
      </c>
      <c r="E47">
        <v>112511</v>
      </c>
      <c r="F47">
        <v>55475</v>
      </c>
      <c r="G47">
        <v>79884</v>
      </c>
      <c r="H47">
        <v>27000</v>
      </c>
      <c r="I47" t="str">
        <f>HYPERLINK("https://store.steampowered.com/app/311210/Call_of_Duty_Black_Ops_III/","Abrir Steam")</f>
        <v>Abrir Steam</v>
      </c>
      <c r="J47" t="str">
        <f>HYPERLINK("https://www.kinguin.net/es/category/150106/call-of-duty-black-ops-iii-zombies-chronicles-edition-steam-account","Kinguin")</f>
        <v>Kinguin</v>
      </c>
      <c r="K47" t="str">
        <f>HYPERLINK("https://driffle.com/es/call-of-duty-black-ops-iii-zombies-chronicles-edition-global-pc-mac-steam-account-p9945601","Driffle")</f>
        <v>Driffle</v>
      </c>
      <c r="L47" t="s">
        <v>16</v>
      </c>
      <c r="M47" t="s">
        <v>16</v>
      </c>
    </row>
    <row r="48">
      <c r="A48" t="s">
        <v>16</v>
      </c>
      <c r="B48" t="s">
        <v>36</v>
      </c>
      <c r="C48" t="s">
        <v>15</v>
      </c>
      <c r="D48">
        <v>0</v>
      </c>
      <c r="E48">
        <v>187531</v>
      </c>
      <c r="F48">
        <v>0</v>
      </c>
      <c r="G48">
        <v>0</v>
      </c>
      <c r="H48">
        <v>0</v>
      </c>
      <c r="I48" t="str">
        <f>HYPERLINK("https://store.steampowered.com/app/311210/Call_of_Duty_Black_Ops_III/","Abrir Steam")</f>
        <v>Abrir Steam</v>
      </c>
      <c r="J48" t="s">
        <v>16</v>
      </c>
      <c r="K48" t="s">
        <v>16</v>
      </c>
      <c r="L48" t="s">
        <v>16</v>
      </c>
      <c r="M48" t="s">
        <v>16</v>
      </c>
    </row>
    <row r="49">
      <c r="A49" t="s">
        <v>16</v>
      </c>
      <c r="B49" t="s">
        <v>16</v>
      </c>
      <c r="C49" t="s">
        <v>17</v>
      </c>
      <c r="D49">
        <v>0</v>
      </c>
      <c r="E49">
        <v>187531</v>
      </c>
      <c r="F49">
        <v>0</v>
      </c>
      <c r="G49">
        <v>0</v>
      </c>
      <c r="H49">
        <v>0</v>
      </c>
      <c r="I49" t="str">
        <f>HYPERLINK("https://store.steampowered.com/app/311210/Call_of_Duty_Black_Ops_III/","Abrir Steam")</f>
        <v>Abrir Steam</v>
      </c>
      <c r="J49" t="str">
        <f>HYPERLINK("https://www.kinguin.net/es/category/153580/call-of-duty-black-ops-iii-zombies-deluxe-steam-account","Kinguin")</f>
        <v>Kinguin</v>
      </c>
      <c r="K49" t="str">
        <f>HYPERLINK("https://driffle.com/es/call-of-duty-black-ops-iii-zombies-deluxe-edition-global-pc-steam-account-p9945655","Driffle")</f>
        <v>Driffle</v>
      </c>
      <c r="L49" t="s">
        <v>16</v>
      </c>
      <c r="M49" t="s">
        <v>16</v>
      </c>
    </row>
    <row r="50">
      <c r="A50" t="s">
        <v>37</v>
      </c>
      <c r="B50" t="s">
        <v>14</v>
      </c>
      <c r="C50" t="s">
        <v>15</v>
      </c>
      <c r="D50">
        <v>42754</v>
      </c>
      <c r="E50">
        <v>65624</v>
      </c>
      <c r="F50">
        <v>59091</v>
      </c>
      <c r="G50">
        <v>85091</v>
      </c>
      <c r="H50">
        <v>16337</v>
      </c>
      <c r="I50" t="str">
        <f>HYPERLINK("https://store.steampowered.com/app/1903340/Clair_Obscur_Expedition_33/","Abrir Steam")</f>
        <v>Abrir Steam</v>
      </c>
      <c r="J50" t="str">
        <f>HYPERLINK("https://www.kinguin.net/es/category/330348/clair-obscur-expedition-33-latam-pc-steam-cd-key","Kinguin")</f>
        <v>Kinguin</v>
      </c>
      <c r="K50" t="str">
        <f>HYPERLINK("https://driffle.com/es/clair-obscur-expedition-33-latam-pc-steam-digital-key-p9938798","Driffle")</f>
        <v>Driffle</v>
      </c>
      <c r="L50" t="str">
        <f>HYPERLINK("https://www.loaded.com/es_es/clair-obscur-expedition-33-pc-steam","Loaded")</f>
        <v>Loaded</v>
      </c>
      <c r="M50" t="str">
        <f>HYPERLINK("https://www.eneba.com/latam/steam-clair-obscur-expedition-33-steam-key-pc-latam","Eneba")</f>
        <v>Eneba</v>
      </c>
    </row>
    <row r="51">
      <c r="A51" t="s">
        <v>16</v>
      </c>
      <c r="B51" t="s">
        <v>16</v>
      </c>
      <c r="C51" t="s">
        <v>17</v>
      </c>
      <c r="D51">
        <v>36091</v>
      </c>
      <c r="E51">
        <v>65624</v>
      </c>
      <c r="F51">
        <v>51091</v>
      </c>
      <c r="G51">
        <v>73571</v>
      </c>
      <c r="H51">
        <v>15000</v>
      </c>
      <c r="I51" t="str">
        <f>HYPERLINK("https://store.steampowered.com/app/1903340/Clair_Obscur_Expedition_33/","Abrir Steam")</f>
        <v>Abrir Steam</v>
      </c>
      <c r="J51" t="str">
        <f>HYPERLINK("https://www.kinguin.net/es/category/320789/clair-obscur-expedition-33-pc-steam-account","Kinguin")</f>
        <v>Kinguin</v>
      </c>
      <c r="K51" t="str">
        <f>HYPERLINK("https://driffle.com/es/clair-obscur-expedition-33-global-pc-steam-account-p9978241","Driffle")</f>
        <v>Driffle</v>
      </c>
      <c r="L51" t="s">
        <v>16</v>
      </c>
      <c r="M51" t="s">
        <v>16</v>
      </c>
    </row>
    <row r="52">
      <c r="A52" t="s">
        <v>16</v>
      </c>
      <c r="B52" t="s">
        <v>18</v>
      </c>
      <c r="C52" t="s">
        <v>15</v>
      </c>
      <c r="D52">
        <v>54482</v>
      </c>
      <c r="E52">
        <v>78752</v>
      </c>
      <c r="F52">
        <v>69482</v>
      </c>
      <c r="G52">
        <v>100054</v>
      </c>
      <c r="H52">
        <v>15000</v>
      </c>
      <c r="I52" t="str">
        <f>HYPERLINK("https://store.steampowered.com/app/1903340/Clair_Obscur_Expedition_33/","Abrir Steam")</f>
        <v>Abrir Steam</v>
      </c>
      <c r="J52" t="str">
        <f>HYPERLINK("https://www.kinguin.net/es/category/336302/clair-obscur-expedition-33-deluxe-edition-asia-pc-steam-cd-key","Kinguin")</f>
        <v>Kinguin</v>
      </c>
      <c r="K52" t="str">
        <f>HYPERLINK("https://driffle.com/es/clair-obscur-expedition-33-deluxe-edition-latam-pc-steam-digital-key-p9938799","Driffle")</f>
        <v>Driffle</v>
      </c>
      <c r="L52" t="str">
        <f>HYPERLINK("https://www.loaded.com/es_es/clair-obscur-expedition-33-deluxe-edition-pc-steam","Loaded")</f>
        <v>Loaded</v>
      </c>
      <c r="M52" t="str">
        <f>HYPERLINK("https://www.eneba.com/latam/steam-clair-obscur-expedition-33-deluxe-edition-steam-key-pc-latam","Eneba")</f>
        <v>Eneba</v>
      </c>
    </row>
    <row r="53">
      <c r="A53" t="s">
        <v>16</v>
      </c>
      <c r="B53" t="s">
        <v>16</v>
      </c>
      <c r="C53" t="s">
        <v>17</v>
      </c>
      <c r="D53">
        <v>58792</v>
      </c>
      <c r="E53">
        <v>78752</v>
      </c>
      <c r="F53">
        <v>73792</v>
      </c>
      <c r="G53">
        <v>106260</v>
      </c>
      <c r="H53">
        <v>15000</v>
      </c>
      <c r="I53" t="str">
        <f>HYPERLINK("https://store.steampowered.com/app/1903340/Clair_Obscur_Expedition_33/","Abrir Steam")</f>
        <v>Abrir Steam</v>
      </c>
      <c r="J53" t="str">
        <f>HYPERLINK("https://www.kinguin.net/es/category/320785/clair-obscur-expedition-33-deluxe-edition-pc-steam-account","Kinguin")</f>
        <v>Kinguin</v>
      </c>
      <c r="K53" t="str">
        <f>HYPERLINK("https://driffle.com/es/clair-obscur-expedition-33-deluxe-edition-global-pc-steam-account-p9979466","Driffle")</f>
        <v>Driffle</v>
      </c>
      <c r="L53" t="s">
        <v>16</v>
      </c>
      <c r="M53" t="s">
        <v>16</v>
      </c>
    </row>
    <row r="54">
      <c r="A54" t="s">
        <v>38</v>
      </c>
      <c r="B54" t="s">
        <v>14</v>
      </c>
      <c r="C54" t="s">
        <v>15</v>
      </c>
      <c r="D54">
        <v>46652</v>
      </c>
      <c r="E54">
        <v>131266</v>
      </c>
      <c r="F54">
        <v>81652</v>
      </c>
      <c r="G54">
        <v>117579</v>
      </c>
      <c r="H54">
        <v>35000</v>
      </c>
      <c r="I54" t="str">
        <f>HYPERLINK("https://store.steampowered.com/app/3321460/Crimson_Desert/","Abrir Steam")</f>
        <v>Abrir Steam</v>
      </c>
      <c r="J54" t="str">
        <f>HYPERLINK("https://www.kinguin.net/es/category/451625/crimson-desert-latam-pc-steam-cd-key","Kinguin")</f>
        <v>Kinguin</v>
      </c>
      <c r="K54" t="str">
        <f>HYPERLINK("https://driffle.com/es/crimson-desert-latam-pc-mac-steam-digital-key-p9987077","Driffle")</f>
        <v>Driffle</v>
      </c>
      <c r="L54" t="str">
        <f>HYPERLINK("https://www.loaded.com/es_es/crimson-desert-pc-steam-latam","Loaded")</f>
        <v>Loaded</v>
      </c>
      <c r="M54" t="str">
        <f>HYPERLINK("https://www.eneba.com/latam/steam-crimson-desert-steam-key-pc-latam","Eneba")</f>
        <v>Eneba</v>
      </c>
    </row>
    <row r="55">
      <c r="A55" t="s">
        <v>16</v>
      </c>
      <c r="B55" t="s">
        <v>16</v>
      </c>
      <c r="C55" t="s">
        <v>17</v>
      </c>
      <c r="D55">
        <v>44612</v>
      </c>
      <c r="E55">
        <v>131266</v>
      </c>
      <c r="F55">
        <v>71612</v>
      </c>
      <c r="G55">
        <v>103121</v>
      </c>
      <c r="H55">
        <v>27000</v>
      </c>
      <c r="I55" t="str">
        <f>HYPERLINK("https://store.steampowered.com/app/3321460/Crimson_Desert/","Abrir Steam")</f>
        <v>Abrir Steam</v>
      </c>
      <c r="J55" t="str">
        <f>HYPERLINK("https://www.kinguin.net/es/category/394217/crimson-desert-pc-steam-account","Kinguin")</f>
        <v>Kinguin</v>
      </c>
      <c r="K55" t="str">
        <f>HYPERLINK("https://driffle.com/es/crimson-desert-global-pc-steam-account-p9963796","Driffle")</f>
        <v>Driffle</v>
      </c>
      <c r="L55" t="s">
        <v>16</v>
      </c>
      <c r="M55" t="s">
        <v>16</v>
      </c>
    </row>
    <row r="56">
      <c r="A56" t="s">
        <v>16</v>
      </c>
      <c r="B56" t="s">
        <v>18</v>
      </c>
      <c r="C56" t="s">
        <v>15</v>
      </c>
      <c r="D56">
        <v>53068</v>
      </c>
      <c r="E56">
        <v>150021</v>
      </c>
      <c r="F56">
        <v>80068</v>
      </c>
      <c r="G56">
        <v>115298</v>
      </c>
      <c r="H56">
        <v>27000</v>
      </c>
      <c r="I56" t="str">
        <f>HYPERLINK("https://store.steampowered.com/app/3321460/Crimson_Desert/","Abrir Steam")</f>
        <v>Abrir Steam</v>
      </c>
      <c r="J56" t="str">
        <f>HYPERLINK("https://www.kinguin.net/es/category/451627/crimson-desert-deluxe-edition-latam-pc-steam-cd-key","Kinguin")</f>
        <v>Kinguin</v>
      </c>
      <c r="K56" t="str">
        <f>HYPERLINK("https://driffle.com/es/crimson-desert-deluxe-edition-latam-pc-mac-steam-digital-key-p9987078","Driffle")</f>
        <v>Driffle</v>
      </c>
      <c r="L56" t="str">
        <f>HYPERLINK("https://www.loaded.com/es_es/crimson-desert-deluxe-edition-pc-steam-latam","Loaded")</f>
        <v>Loaded</v>
      </c>
      <c r="M56" t="str">
        <f>HYPERLINK("https://www.eneba.com/latam/steam-crimson-desert-deluxe-edition-steam-key-pc-latam","Eneba")</f>
        <v>Eneba</v>
      </c>
    </row>
    <row r="57">
      <c r="A57" t="s">
        <v>16</v>
      </c>
      <c r="B57" t="s">
        <v>16</v>
      </c>
      <c r="C57" t="s">
        <v>17</v>
      </c>
      <c r="D57">
        <v>57378</v>
      </c>
      <c r="E57">
        <v>150021</v>
      </c>
      <c r="F57">
        <v>84378</v>
      </c>
      <c r="G57">
        <v>121504</v>
      </c>
      <c r="H57">
        <v>27000</v>
      </c>
      <c r="I57" t="str">
        <f>HYPERLINK("https://store.steampowered.com/app/3321460/Crimson_Desert/","Abrir Steam")</f>
        <v>Abrir Steam</v>
      </c>
      <c r="J57" t="str">
        <f>HYPERLINK("https://www.kinguin.net/es/category/394220/crimson-desert-deluxe-edition-pc-steam-account","Kinguin")</f>
        <v>Kinguin</v>
      </c>
      <c r="K57" t="str">
        <f>HYPERLINK("https://driffle.com/es/crimson-desert-deluxe-edition-global-pc-steam-account-p9963797","Driffle")</f>
        <v>Driffle</v>
      </c>
      <c r="L57" t="s">
        <v>16</v>
      </c>
      <c r="M57" t="s">
        <v>16</v>
      </c>
    </row>
    <row r="58">
      <c r="A58" t="s">
        <v>39</v>
      </c>
      <c r="B58" t="s">
        <v>14</v>
      </c>
      <c r="C58" t="s">
        <v>15</v>
      </c>
      <c r="D58">
        <v>16088</v>
      </c>
      <c r="E58">
        <v>37491</v>
      </c>
      <c r="F58">
        <v>32485</v>
      </c>
      <c r="G58">
        <v>46778</v>
      </c>
      <c r="H58">
        <v>16397</v>
      </c>
      <c r="I58" t="str">
        <f>HYPERLINK("https://store.steampowered.com/app/268910/Cuphead/?curator_clanid=4777282","Abrir Steam")</f>
        <v>Abrir Steam</v>
      </c>
      <c r="J58" t="str">
        <f>HYPERLINK("https://www.kinguin.net/es/category/41472/cuphead-steam-cd-key","Kinguin")</f>
        <v>Kinguin</v>
      </c>
      <c r="K58" t="str">
        <f>HYPERLINK("https://driffle.com/es/cuphead-p9879470","Driffle")</f>
        <v>Driffle</v>
      </c>
      <c r="L58" t="s">
        <v>16</v>
      </c>
      <c r="M58" t="str">
        <f>HYPERLINK("https://www.eneba.com/latam/steam-cuphead-steam-key-global","Eneba")</f>
        <v>Eneba</v>
      </c>
    </row>
    <row r="59">
      <c r="A59" t="s">
        <v>16</v>
      </c>
      <c r="B59" t="s">
        <v>16</v>
      </c>
      <c r="C59" t="s">
        <v>17</v>
      </c>
      <c r="D59">
        <v>6465</v>
      </c>
      <c r="E59">
        <v>37491</v>
      </c>
      <c r="F59">
        <v>23207</v>
      </c>
      <c r="G59">
        <v>33418</v>
      </c>
      <c r="H59">
        <v>16742</v>
      </c>
      <c r="I59" t="str">
        <f>HYPERLINK("https://store.steampowered.com/app/268910/Cuphead/?curator_clanid=4777282","Abrir Steam")</f>
        <v>Abrir Steam</v>
      </c>
      <c r="J59" t="str">
        <f>HYPERLINK("https://www.kinguin.net/es/category/137553/cuphead-steam-account","Kinguin")</f>
        <v>Kinguin</v>
      </c>
      <c r="K59" t="str">
        <f>HYPERLINK("https://driffle.com/es/cuphead-global-pc-mac-steam-account-p9943424","Driffle")</f>
        <v>Driffle</v>
      </c>
      <c r="L59" t="s">
        <v>16</v>
      </c>
      <c r="M59" t="s">
        <v>16</v>
      </c>
    </row>
    <row r="60">
      <c r="A60" t="s">
        <v>16</v>
      </c>
      <c r="B60" t="s">
        <v>40</v>
      </c>
      <c r="C60" t="s">
        <v>15</v>
      </c>
      <c r="D60">
        <v>25152</v>
      </c>
      <c r="E60">
        <v>50620</v>
      </c>
      <c r="F60">
        <v>48234</v>
      </c>
      <c r="G60">
        <v>69457</v>
      </c>
      <c r="H60">
        <v>23082</v>
      </c>
      <c r="I60" t="str">
        <f>HYPERLINK("https://store.steampowered.com/app/268910/Cuphead/?curator_clanid=4777282","Abrir Steam")</f>
        <v>Abrir Steam</v>
      </c>
      <c r="J60" t="str">
        <f>HYPERLINK("https://www.kinguin.net/es/category/149808/cuphead-the-delicious-last-course-bundle-steam-cd-key","Kinguin")</f>
        <v>Kinguin</v>
      </c>
      <c r="K60" t="str">
        <f>HYPERLINK("https://driffle.com/es/cuphead-the-delicious-last-course-bundle-global-pc-mac-steam-digital-key-p9925316","Driffle")</f>
        <v>Driffle</v>
      </c>
      <c r="L60" t="s">
        <v>16</v>
      </c>
      <c r="M60" t="str">
        <f>HYPERLINK("https://www.eneba.com/latam/steam-cuphead-the-delicious-last-course-bundle-steam-key-pc-global","Eneba")</f>
        <v>Eneba</v>
      </c>
    </row>
    <row r="61">
      <c r="A61" t="s">
        <v>16</v>
      </c>
      <c r="B61" t="s">
        <v>16</v>
      </c>
      <c r="C61" t="s">
        <v>17</v>
      </c>
      <c r="D61">
        <v>25234</v>
      </c>
      <c r="E61">
        <v>50620</v>
      </c>
      <c r="F61">
        <v>40234</v>
      </c>
      <c r="G61">
        <v>57937</v>
      </c>
      <c r="H61">
        <v>15000</v>
      </c>
      <c r="I61" t="str">
        <f>HYPERLINK("https://store.steampowered.com/app/268910/Cuphead/?curator_clanid=4777282","Abrir Steam")</f>
        <v>Abrir Steam</v>
      </c>
      <c r="J61" t="str">
        <f>HYPERLINK("https://www.kinguin.net/es/category/234698/cuphead-the-delicious-last-course-bundle-steam-account","Kinguin")</f>
        <v>Kinguin</v>
      </c>
      <c r="K61" t="s">
        <v>16</v>
      </c>
      <c r="L61" t="s">
        <v>16</v>
      </c>
      <c r="M61" t="s">
        <v>16</v>
      </c>
    </row>
    <row r="62">
      <c r="A62" t="s">
        <v>41</v>
      </c>
      <c r="B62" t="s">
        <v>14</v>
      </c>
      <c r="C62" t="s">
        <v>15</v>
      </c>
      <c r="D62">
        <v>0</v>
      </c>
      <c r="E62">
        <v>84379</v>
      </c>
      <c r="F62">
        <v>0</v>
      </c>
      <c r="G62">
        <v>0</v>
      </c>
      <c r="H62">
        <v>0</v>
      </c>
      <c r="I62" t="str">
        <f>HYPERLINK("https://store.steampowered.com/app/1091500/Cyberpunk_2077/","Abrir Steam")</f>
        <v>Abrir Steam</v>
      </c>
      <c r="J62" t="s">
        <v>16</v>
      </c>
      <c r="K62" t="s">
        <v>16</v>
      </c>
      <c r="L62" t="s">
        <v>16</v>
      </c>
      <c r="M62" t="s">
        <v>16</v>
      </c>
    </row>
    <row r="63">
      <c r="A63" t="s">
        <v>16</v>
      </c>
      <c r="B63" t="s">
        <v>16</v>
      </c>
      <c r="C63" t="s">
        <v>17</v>
      </c>
      <c r="D63">
        <v>14871</v>
      </c>
      <c r="E63">
        <v>84379</v>
      </c>
      <c r="F63">
        <v>41871</v>
      </c>
      <c r="G63">
        <v>60294</v>
      </c>
      <c r="H63">
        <v>27000</v>
      </c>
      <c r="I63" t="str">
        <f>HYPERLINK("https://store.steampowered.com/app/1091500/Cyberpunk_2077/","Abrir Steam")</f>
        <v>Abrir Steam</v>
      </c>
      <c r="J63" t="str">
        <f>HYPERLINK("https://www.kinguin.net/es/category/137554/cyberpunk-2077-steam-account","Kinguin")</f>
        <v>Kinguin</v>
      </c>
      <c r="K63" t="str">
        <f>HYPERLINK("https://driffle.com/es/cyberpunk-2077-global-pc-steam-account-p9943437","Driffle")</f>
        <v>Driffle</v>
      </c>
      <c r="L63" t="s">
        <v>16</v>
      </c>
      <c r="M63" t="s">
        <v>16</v>
      </c>
    </row>
    <row r="64">
      <c r="A64" t="s">
        <v>16</v>
      </c>
      <c r="B64" t="s">
        <v>42</v>
      </c>
      <c r="C64" t="s">
        <v>15</v>
      </c>
      <c r="D64">
        <v>0</v>
      </c>
      <c r="E64">
        <v>126559</v>
      </c>
      <c r="F64">
        <v>0</v>
      </c>
      <c r="G64">
        <v>0</v>
      </c>
      <c r="H64">
        <v>0</v>
      </c>
      <c r="I64" t="str">
        <f>HYPERLINK("https://store.steampowered.com/app/1091500/Cyberpunk_2077/","Abrir Steam")</f>
        <v>Abrir Steam</v>
      </c>
      <c r="J64" t="s">
        <v>16</v>
      </c>
      <c r="K64" t="s">
        <v>16</v>
      </c>
      <c r="L64" t="s">
        <v>16</v>
      </c>
      <c r="M64" t="s">
        <v>16</v>
      </c>
    </row>
    <row r="65">
      <c r="A65" t="s">
        <v>16</v>
      </c>
      <c r="B65" t="s">
        <v>16</v>
      </c>
      <c r="C65" t="s">
        <v>17</v>
      </c>
      <c r="D65">
        <v>29117</v>
      </c>
      <c r="E65">
        <v>126559</v>
      </c>
      <c r="F65">
        <v>56117</v>
      </c>
      <c r="G65">
        <v>80808</v>
      </c>
      <c r="H65">
        <v>27000</v>
      </c>
      <c r="I65" t="str">
        <f>HYPERLINK("https://store.steampowered.com/app/1091500/Cyberpunk_2077/","Abrir Steam")</f>
        <v>Abrir Steam</v>
      </c>
      <c r="J65" t="str">
        <f>HYPERLINK("https://www.kinguin.net/es/category/166979/cyberpunk-2077-phantom-liberty-bundle-steam-account","Kinguin")</f>
        <v>Kinguin</v>
      </c>
      <c r="K65" t="str">
        <f>HYPERLINK("https://driffle.com/es/cyberpunk-2077-ultimate-edition-global-pc-steam-account-p9941467","Driffle")</f>
        <v>Driffle</v>
      </c>
      <c r="L65" t="s">
        <v>16</v>
      </c>
      <c r="M65" t="s">
        <v>16</v>
      </c>
    </row>
    <row r="66">
      <c r="A66" t="s">
        <v>43</v>
      </c>
      <c r="B66" t="s">
        <v>14</v>
      </c>
      <c r="C66" t="s">
        <v>15</v>
      </c>
      <c r="D66">
        <v>25810</v>
      </c>
      <c r="E66">
        <v>93756</v>
      </c>
      <c r="F66">
        <v>59589</v>
      </c>
      <c r="G66">
        <v>85808</v>
      </c>
      <c r="H66">
        <v>33779</v>
      </c>
      <c r="I66" t="str">
        <f>HYPERLINK("https://store.steampowered.com/app/221100/DayZ/","Abrir Steam")</f>
        <v>Abrir Steam</v>
      </c>
      <c r="J66" t="str">
        <f>HYPERLINK("https://www.kinguin.net/es/category/170955/dayz-latam-pc-steam-cd-key","Kinguin")</f>
        <v>Kinguin</v>
      </c>
      <c r="K66" t="str">
        <f>HYPERLINK("https://driffle.com/es/dayz-latam-pc-steam-digital-code-p9887060","Driffle")</f>
        <v>Driffle</v>
      </c>
      <c r="L66" t="s">
        <v>16</v>
      </c>
      <c r="M66" t="str">
        <f>HYPERLINK("https://www.eneba.com/latam/steam-dayz-pc-steam-key-latam","Eneba")</f>
        <v>Eneba</v>
      </c>
    </row>
    <row r="67">
      <c r="A67" t="s">
        <v>16</v>
      </c>
      <c r="B67" t="s">
        <v>16</v>
      </c>
      <c r="C67" t="s">
        <v>17</v>
      </c>
      <c r="D67">
        <v>21763</v>
      </c>
      <c r="E67">
        <v>93756</v>
      </c>
      <c r="F67">
        <v>48763</v>
      </c>
      <c r="G67">
        <v>70219</v>
      </c>
      <c r="H67">
        <v>27000</v>
      </c>
      <c r="I67" t="str">
        <f>HYPERLINK("https://store.steampowered.com/app/221100/DayZ/","Abrir Steam")</f>
        <v>Abrir Steam</v>
      </c>
      <c r="J67" t="str">
        <f>HYPERLINK("https://www.kinguin.net/es/category/133282/dayz-pc-steam-account","Kinguin")</f>
        <v>Kinguin</v>
      </c>
      <c r="K67" t="str">
        <f>HYPERLINK("https://driffle.com/es/dayz-global-pc-steam-account-p9941452","Driffle")</f>
        <v>Driffle</v>
      </c>
      <c r="L67" t="s">
        <v>16</v>
      </c>
      <c r="M67" t="s">
        <v>16</v>
      </c>
    </row>
    <row r="68">
      <c r="A68" t="s">
        <v>16</v>
      </c>
      <c r="B68" t="s">
        <v>44</v>
      </c>
      <c r="C68" t="s">
        <v>15</v>
      </c>
      <c r="D68">
        <v>42392</v>
      </c>
      <c r="E68">
        <v>112511</v>
      </c>
      <c r="F68">
        <v>76849</v>
      </c>
      <c r="G68">
        <v>110663</v>
      </c>
      <c r="H68">
        <v>34457</v>
      </c>
      <c r="I68" t="str">
        <f>HYPERLINK("https://store.steampowered.com/app/221100/DayZ/","Abrir Steam")</f>
        <v>Abrir Steam</v>
      </c>
      <c r="J68" t="str">
        <f>HYPERLINK("https://www.kinguin.net/es/category/246388/dayz-deluxe-edition-pc-steam-cd-key","Kinguin")</f>
        <v>Kinguin</v>
      </c>
      <c r="K68" t="str">
        <f>HYPERLINK("https://driffle.com/es/dayz-deluxe-edition-pc-steam-digital-code-p9909108","Driffle")</f>
        <v>Driffle</v>
      </c>
      <c r="L68" t="str">
        <f>HYPERLINK("https://www.loaded.com/es_es/dayz-deluxe-edition-pc-steam","Loaded")</f>
        <v>Loaded</v>
      </c>
      <c r="M68" t="str">
        <f>HYPERLINK("https://www.eneba.com/latam/steam-dayz-deluxe-edition-steam-key-pc-latam","Eneba")</f>
        <v>Eneba</v>
      </c>
    </row>
    <row r="69">
      <c r="A69" t="s">
        <v>16</v>
      </c>
      <c r="B69" t="s">
        <v>16</v>
      </c>
      <c r="C69" t="s">
        <v>17</v>
      </c>
      <c r="D69">
        <v>27570</v>
      </c>
      <c r="E69">
        <v>112511</v>
      </c>
      <c r="F69">
        <v>54570</v>
      </c>
      <c r="G69">
        <v>78581</v>
      </c>
      <c r="H69">
        <v>27000</v>
      </c>
      <c r="I69" t="str">
        <f>HYPERLINK("https://store.steampowered.com/app/221100/DayZ/","Abrir Steam")</f>
        <v>Abrir Steam</v>
      </c>
      <c r="J69" t="str">
        <f>HYPERLINK("https://www.kinguin.net/es/category/249044/dayz-deluxe-edition-pc-steam-account","Kinguin")</f>
        <v>Kinguin</v>
      </c>
      <c r="K69" t="s">
        <v>16</v>
      </c>
      <c r="L69" t="s">
        <v>16</v>
      </c>
      <c r="M69" t="s">
        <v>16</v>
      </c>
    </row>
    <row r="70">
      <c r="A70" t="s">
        <v>16</v>
      </c>
      <c r="B70" t="s">
        <v>45</v>
      </c>
      <c r="C70" t="s">
        <v>15</v>
      </c>
      <c r="D70">
        <v>110281</v>
      </c>
      <c r="E70">
        <v>131266</v>
      </c>
      <c r="F70">
        <v>125281</v>
      </c>
      <c r="G70">
        <v>180405</v>
      </c>
      <c r="H70">
        <v>15000</v>
      </c>
      <c r="I70" t="str">
        <f>HYPERLINK("https://store.steampowered.com/app/221100/DayZ/","Abrir Steam")</f>
        <v>Abrir Steam</v>
      </c>
      <c r="J70" t="s">
        <v>16</v>
      </c>
      <c r="K70" t="str">
        <f>HYPERLINK("https://driffle.com/es/dayz-cool-edition-global-pc-steam-digital-key-p9980962","Driffle")</f>
        <v>Driffle</v>
      </c>
      <c r="L70" t="s">
        <v>16</v>
      </c>
      <c r="M70" t="str">
        <f>HYPERLINK("https://www.eneba.com/latam/steam-dayz-cool-edition-steam-key-pc-global","Eneba")</f>
        <v>Eneba</v>
      </c>
    </row>
    <row r="71">
      <c r="A71" t="s">
        <v>16</v>
      </c>
      <c r="B71" t="s">
        <v>16</v>
      </c>
      <c r="C71" t="s">
        <v>17</v>
      </c>
      <c r="D71">
        <v>48116</v>
      </c>
      <c r="E71">
        <v>131266</v>
      </c>
      <c r="F71">
        <v>75116</v>
      </c>
      <c r="G71">
        <v>108167</v>
      </c>
      <c r="H71">
        <v>27000</v>
      </c>
      <c r="I71" t="str">
        <f>HYPERLINK("https://store.steampowered.com/app/221100/DayZ/","Abrir Steam")</f>
        <v>Abrir Steam</v>
      </c>
      <c r="J71" t="str">
        <f>HYPERLINK("https://www.kinguin.net/es/category/344471/dayz-cool-edition-pc-steam-account","Kinguin")</f>
        <v>Kinguin</v>
      </c>
      <c r="K71" t="s">
        <v>16</v>
      </c>
      <c r="L71" t="s">
        <v>16</v>
      </c>
      <c r="M71" t="s">
        <v>16</v>
      </c>
    </row>
    <row r="72">
      <c r="A72" t="s">
        <v>46</v>
      </c>
      <c r="B72" t="s">
        <v>14</v>
      </c>
      <c r="C72" t="s">
        <v>15</v>
      </c>
      <c r="D72">
        <v>0</v>
      </c>
      <c r="E72">
        <v>28114</v>
      </c>
      <c r="F72">
        <v>0</v>
      </c>
      <c r="G72">
        <v>0</v>
      </c>
      <c r="H72">
        <v>0</v>
      </c>
      <c r="I72" t="str">
        <f>HYPERLINK("https://store.steampowered.com/app/381210/Dead_by_Daylight/?curator_clanid=4777282","Abrir Steam")</f>
        <v>Abrir Steam</v>
      </c>
      <c r="J72" t="str">
        <f>HYPERLINK("https://www.kinguin.net/es/category/322745/dead-by-daylight-latam-pc-steam-cd-key","Kinguin")</f>
        <v>Kinguin</v>
      </c>
      <c r="K72" t="s">
        <v>16</v>
      </c>
      <c r="L72" t="s">
        <v>16</v>
      </c>
      <c r="M72" t="str">
        <f>HYPERLINK("https://www.eneba.com/latam/steam-dead-by-daylight-pc-steam-key-latam","Eneba")</f>
        <v>Eneba</v>
      </c>
    </row>
    <row r="73">
      <c r="A73" t="s">
        <v>16</v>
      </c>
      <c r="B73" t="s">
        <v>16</v>
      </c>
      <c r="C73" t="s">
        <v>17</v>
      </c>
      <c r="D73">
        <v>7222</v>
      </c>
      <c r="E73">
        <v>28114</v>
      </c>
      <c r="F73">
        <v>22222</v>
      </c>
      <c r="G73">
        <v>32000</v>
      </c>
      <c r="H73">
        <v>15000</v>
      </c>
      <c r="I73" t="str">
        <f>HYPERLINK("https://store.steampowered.com/app/381210/Dead_by_Daylight/?curator_clanid=4777282","Abrir Steam")</f>
        <v>Abrir Steam</v>
      </c>
      <c r="J73" t="str">
        <f>HYPERLINK("https://www.kinguin.net/es/category/158643/dead-by-daylight-steam-account","Kinguin")</f>
        <v>Kinguin</v>
      </c>
      <c r="K73" t="str">
        <f>HYPERLINK("https://driffle.com/es/dead-by-daylight-global-pc-steam-account-p9943429","Driffle")</f>
        <v>Driffle</v>
      </c>
      <c r="L73" t="s">
        <v>16</v>
      </c>
      <c r="M73" t="s">
        <v>16</v>
      </c>
    </row>
    <row r="74">
      <c r="A74" t="s">
        <v>16</v>
      </c>
      <c r="B74" t="s">
        <v>47</v>
      </c>
      <c r="C74" t="s">
        <v>15</v>
      </c>
      <c r="D74">
        <v>0</v>
      </c>
      <c r="E74">
        <v>98445</v>
      </c>
      <c r="F74">
        <v>0</v>
      </c>
      <c r="G74">
        <v>0</v>
      </c>
      <c r="H74">
        <v>0</v>
      </c>
      <c r="I74" t="str">
        <f>HYPERLINK("https://store.steampowered.com/app/381210/Dead_by_Daylight/?curator_clanid=4777282","Abrir Steam")</f>
        <v>Abrir Steam</v>
      </c>
      <c r="J74" t="s">
        <v>16</v>
      </c>
      <c r="K74" t="s">
        <v>16</v>
      </c>
      <c r="L74" t="s">
        <v>16</v>
      </c>
      <c r="M74" t="s">
        <v>16</v>
      </c>
    </row>
    <row r="75">
      <c r="A75" t="s">
        <v>16</v>
      </c>
      <c r="B75" t="s">
        <v>16</v>
      </c>
      <c r="C75" t="s">
        <v>17</v>
      </c>
      <c r="D75">
        <v>68054</v>
      </c>
      <c r="E75">
        <v>98445</v>
      </c>
      <c r="F75">
        <v>83054</v>
      </c>
      <c r="G75">
        <v>119598</v>
      </c>
      <c r="H75">
        <v>15000</v>
      </c>
      <c r="I75" t="str">
        <f>HYPERLINK("https://store.steampowered.com/app/381210/Dead_by_Daylight/?curator_clanid=4777282","Abrir Steam")</f>
        <v>Abrir Steam</v>
      </c>
      <c r="J75" t="str">
        <f>HYPERLINK("https://www.kinguin.net/es/category/350413/dead-by-daylight-gold-edition-pc-steam-account","Kinguin")</f>
        <v>Kinguin</v>
      </c>
      <c r="K75" t="s">
        <v>16</v>
      </c>
      <c r="L75" t="s">
        <v>16</v>
      </c>
      <c r="M75" t="s">
        <v>16</v>
      </c>
    </row>
    <row r="76">
      <c r="A76" t="s">
        <v>48</v>
      </c>
      <c r="B76" t="s">
        <v>14</v>
      </c>
      <c r="C76" t="s">
        <v>15</v>
      </c>
      <c r="D76">
        <v>84537</v>
      </c>
      <c r="E76">
        <v>131266</v>
      </c>
      <c r="F76">
        <v>99537</v>
      </c>
      <c r="G76">
        <v>143333</v>
      </c>
      <c r="H76">
        <v>15000</v>
      </c>
      <c r="I76" t="str">
        <f>HYPERLINK("https://store.steampowered.com/app/3280350/DEATH_STRANDING_2_ON_THE_BEACH/","Abrir Steam")</f>
        <v>Abrir Steam</v>
      </c>
      <c r="J76" t="str">
        <f>HYPERLINK("https://www.kinguin.net/es/category/452496/death-stranding-2-on-the-beach-latam-pc-steam-cd-key","Kinguin")</f>
        <v>Kinguin</v>
      </c>
      <c r="K76" t="str">
        <f>HYPERLINK("https://driffle.com/es/death-stranding-2-on-the-beach-latam-pc-steam-digital-key-p9985579","Driffle")</f>
        <v>Driffle</v>
      </c>
      <c r="L76" t="s">
        <v>16</v>
      </c>
      <c r="M76" t="str">
        <f>HYPERLINK("https://www.eneba.com/latam/steam-death-stranding-2-on-the-beach-steam-key-pc-global","Eneba")</f>
        <v>Eneba</v>
      </c>
    </row>
    <row r="77">
      <c r="A77" t="s">
        <v>16</v>
      </c>
      <c r="B77" t="s">
        <v>16</v>
      </c>
      <c r="C77" t="s">
        <v>17</v>
      </c>
      <c r="D77">
        <v>62987</v>
      </c>
      <c r="E77">
        <v>131266</v>
      </c>
      <c r="F77">
        <v>82389</v>
      </c>
      <c r="G77">
        <v>118640</v>
      </c>
      <c r="H77">
        <v>19402</v>
      </c>
      <c r="I77" t="str">
        <f>HYPERLINK("https://store.steampowered.com/app/3280350/DEATH_STRANDING_2_ON_THE_BEACH/","Abrir Steam")</f>
        <v>Abrir Steam</v>
      </c>
      <c r="J77" t="s">
        <v>16</v>
      </c>
      <c r="K77" t="str">
        <f>HYPERLINK("https://driffle.com/es/death-stranding-2-on-the-beach-global-pc-steam-account-p9986853","Driffle")</f>
        <v>Driffle</v>
      </c>
      <c r="L77" t="s">
        <v>16</v>
      </c>
      <c r="M77" t="s">
        <v>16</v>
      </c>
    </row>
    <row r="78">
      <c r="A78" t="s">
        <v>16</v>
      </c>
      <c r="B78" t="s">
        <v>44</v>
      </c>
      <c r="C78" t="s">
        <v>15</v>
      </c>
      <c r="D78">
        <v>0</v>
      </c>
      <c r="E78">
        <v>150021</v>
      </c>
      <c r="F78">
        <v>0</v>
      </c>
      <c r="G78">
        <v>0</v>
      </c>
      <c r="H78">
        <v>0</v>
      </c>
      <c r="I78" t="str">
        <f>HYPERLINK("https://store.steampowered.com/app/3280350/DEATH_STRANDING_2_ON_THE_BEACH/","Abrir Steam")</f>
        <v>Abrir Steam</v>
      </c>
      <c r="J78" t="str">
        <f>HYPERLINK("https://www.kinguin.net/es/category/452489/death-stranding-2-on-the-beach-digital-deluxe-edition-latam-pc-steam-cd-key","Kinguin")</f>
        <v>Kinguin</v>
      </c>
      <c r="K78" t="str">
        <f>HYPERLINK("https://driffle.com/es/death-stranding-2-on-the-beach-digital-deluxe-edition-global-pc-steam-digital-key-p9985417","Driffle")</f>
        <v>Driffle</v>
      </c>
      <c r="L78" t="s">
        <v>16</v>
      </c>
      <c r="M78" t="str">
        <f>HYPERLINK("https://www.eneba.com/latam/steam-death-stranding-2-on-the-beach-digital-deluxe-edition-steam-key-pc-latam","Eneba")</f>
        <v>Eneba</v>
      </c>
    </row>
    <row r="79">
      <c r="A79" t="s">
        <v>16</v>
      </c>
      <c r="B79" t="s">
        <v>16</v>
      </c>
      <c r="C79" t="s">
        <v>17</v>
      </c>
      <c r="D79">
        <v>0</v>
      </c>
      <c r="E79">
        <v>150021</v>
      </c>
      <c r="F79">
        <v>0</v>
      </c>
      <c r="G79">
        <v>0</v>
      </c>
      <c r="H79">
        <v>0</v>
      </c>
      <c r="I79" t="str">
        <f>HYPERLINK("https://store.steampowered.com/app/3280350/DEATH_STRANDING_2_ON_THE_BEACH/","Abrir Steam")</f>
        <v>Abrir Steam</v>
      </c>
      <c r="J79" t="str">
        <f>HYPERLINK("https://www.kinguin.net/es/category/459738/death-stranding-2-on-the-beach-digital-deluxe-edition-pc-steam-account","Kinguin")</f>
        <v>Kinguin</v>
      </c>
      <c r="K79" t="str">
        <f>HYPERLINK("https://driffle.com/es/death-stranding-2-on-the-beach-digital-deluxe-edition-global-pc-steam-account-p9986855","Driffle")</f>
        <v>Driffle</v>
      </c>
      <c r="L79" t="s">
        <v>16</v>
      </c>
      <c r="M79" t="s">
        <v>16</v>
      </c>
    </row>
    <row r="80">
      <c r="A80" t="s">
        <v>49</v>
      </c>
      <c r="B80" t="s">
        <v>14</v>
      </c>
      <c r="C80" t="s">
        <v>15</v>
      </c>
      <c r="D80">
        <v>0</v>
      </c>
      <c r="E80">
        <v>93756</v>
      </c>
      <c r="F80">
        <v>0</v>
      </c>
      <c r="G80">
        <v>0</v>
      </c>
      <c r="H80">
        <v>0</v>
      </c>
      <c r="I80" t="str">
        <f>HYPERLINK("https://store.steampowered.com/app/2344520/Diablo_IV/","Abrir Steam")</f>
        <v>Abrir Steam</v>
      </c>
      <c r="J80" t="s">
        <v>16</v>
      </c>
      <c r="K80" t="s">
        <v>16</v>
      </c>
      <c r="L80" t="s">
        <v>16</v>
      </c>
      <c r="M80" t="s">
        <v>16</v>
      </c>
    </row>
    <row r="81">
      <c r="A81" t="s">
        <v>16</v>
      </c>
      <c r="B81" t="s">
        <v>16</v>
      </c>
      <c r="C81" t="s">
        <v>17</v>
      </c>
      <c r="D81">
        <v>23145</v>
      </c>
      <c r="E81">
        <v>93756</v>
      </c>
      <c r="F81">
        <v>50145</v>
      </c>
      <c r="G81">
        <v>72209</v>
      </c>
      <c r="H81">
        <v>27000</v>
      </c>
      <c r="I81" t="str">
        <f>HYPERLINK("https://store.steampowered.com/app/2344520/Diablo_IV/","Abrir Steam")</f>
        <v>Abrir Steam</v>
      </c>
      <c r="J81" t="str">
        <f>HYPERLINK("https://www.kinguin.net/es/category/191664/diablo-iv-steam-account","Kinguin")</f>
        <v>Kinguin</v>
      </c>
      <c r="K81" t="str">
        <f>HYPERLINK("https://driffle.com/es/diablo-iv-global-pc-steam-account-p9979483","Driffle")</f>
        <v>Driffle</v>
      </c>
      <c r="L81" t="s">
        <v>16</v>
      </c>
      <c r="M81" t="s">
        <v>16</v>
      </c>
    </row>
    <row r="82">
      <c r="A82" t="s">
        <v>16</v>
      </c>
      <c r="B82" t="s">
        <v>50</v>
      </c>
      <c r="C82" t="s">
        <v>15</v>
      </c>
      <c r="D82">
        <v>0</v>
      </c>
      <c r="E82">
        <v>131266</v>
      </c>
      <c r="F82">
        <v>0</v>
      </c>
      <c r="G82">
        <v>0</v>
      </c>
      <c r="H82">
        <v>0</v>
      </c>
      <c r="I82" t="str">
        <f>HYPERLINK("https://store.steampowered.com/app/2344520/Diablo_IV/","Abrir Steam")</f>
        <v>Abrir Steam</v>
      </c>
      <c r="J82" t="s">
        <v>16</v>
      </c>
      <c r="K82" t="s">
        <v>16</v>
      </c>
      <c r="L82" t="s">
        <v>16</v>
      </c>
      <c r="M82" t="s">
        <v>16</v>
      </c>
    </row>
    <row r="83">
      <c r="A83" t="s">
        <v>16</v>
      </c>
      <c r="B83" t="s">
        <v>16</v>
      </c>
      <c r="C83" t="s">
        <v>17</v>
      </c>
      <c r="D83">
        <v>83188</v>
      </c>
      <c r="E83">
        <v>131266</v>
      </c>
      <c r="F83">
        <v>98188</v>
      </c>
      <c r="G83">
        <v>141391</v>
      </c>
      <c r="H83">
        <v>15000</v>
      </c>
      <c r="I83" t="str">
        <f>HYPERLINK("https://store.steampowered.com/app/2344520/Diablo_IV/","Abrir Steam")</f>
        <v>Abrir Steam</v>
      </c>
      <c r="J83" t="str">
        <f>HYPERLINK("https://www.kinguin.net/es/category/427893/diablo-iv-age-of-hatred-collection-pc-steam-account","Kinguin")</f>
        <v>Kinguin</v>
      </c>
      <c r="K83" t="str">
        <f>HYPERLINK("https://driffle.com/es/diablo-iv-age-of-hatred-collection-global-pc-steam-account-p9977572","Driffle")</f>
        <v>Driffle</v>
      </c>
      <c r="L83" t="s">
        <v>16</v>
      </c>
      <c r="M83" t="s">
        <v>16</v>
      </c>
    </row>
    <row r="84">
      <c r="A84" t="s">
        <v>51</v>
      </c>
      <c r="B84" t="s">
        <v>14</v>
      </c>
      <c r="C84" t="s">
        <v>15</v>
      </c>
      <c r="D84">
        <v>0</v>
      </c>
      <c r="E84">
        <v>75001</v>
      </c>
      <c r="F84">
        <v>0</v>
      </c>
      <c r="G84">
        <v>0</v>
      </c>
      <c r="H84">
        <v>0</v>
      </c>
      <c r="I84" t="str">
        <f>HYPERLINK("https://store.steampowered.com/app/1790600/DRAGON_BALL_Sparking_ZERO/","Abrir Steam")</f>
        <v>Abrir Steam</v>
      </c>
      <c r="J84" t="str">
        <f>HYPERLINK("https://www.kinguin.net/es/category/276484/dragon-ball-sparking-zero-latam-pc-steam-cd-key","Kinguin")</f>
        <v>Kinguin</v>
      </c>
      <c r="K84" t="s">
        <v>16</v>
      </c>
      <c r="L84" t="s">
        <v>16</v>
      </c>
      <c r="M84" t="str">
        <f>HYPERLINK("https://www.eneba.com/latam/steam-dragon-ball-sparking-zero-pc-steam-key-latam","Eneba")</f>
        <v>Eneba</v>
      </c>
    </row>
    <row r="85">
      <c r="A85" t="s">
        <v>16</v>
      </c>
      <c r="B85" t="s">
        <v>16</v>
      </c>
      <c r="C85" t="s">
        <v>17</v>
      </c>
      <c r="D85">
        <v>26534</v>
      </c>
      <c r="E85">
        <v>75001</v>
      </c>
      <c r="F85">
        <v>45864</v>
      </c>
      <c r="G85">
        <v>66044</v>
      </c>
      <c r="H85">
        <v>19330</v>
      </c>
      <c r="I85" t="str">
        <f>HYPERLINK("https://store.steampowered.com/app/1790600/DRAGON_BALL_Sparking_ZERO/","Abrir Steam")</f>
        <v>Abrir Steam</v>
      </c>
      <c r="J85" t="str">
        <f>HYPERLINK("https://www.kinguin.net/es/category/267255/dragon-ball-sparking-zero-pc-steam-account","Kinguin")</f>
        <v>Kinguin</v>
      </c>
      <c r="K85" t="str">
        <f>HYPERLINK("https://driffle.com/es/dragon-ball-sparking-zero-global-pc-steam-account-p9971483","Driffle")</f>
        <v>Driffle</v>
      </c>
      <c r="L85" t="s">
        <v>16</v>
      </c>
      <c r="M85" t="s">
        <v>16</v>
      </c>
    </row>
    <row r="86">
      <c r="A86" t="s">
        <v>16</v>
      </c>
      <c r="B86" t="s">
        <v>44</v>
      </c>
      <c r="C86" t="s">
        <v>15</v>
      </c>
      <c r="D86">
        <v>0</v>
      </c>
      <c r="E86">
        <v>75001</v>
      </c>
      <c r="F86">
        <v>0</v>
      </c>
      <c r="G86">
        <v>0</v>
      </c>
      <c r="H86">
        <v>0</v>
      </c>
      <c r="I86" t="str">
        <f>HYPERLINK("https://store.steampowered.com/app/1790600/DRAGON_BALL_Sparking_ZERO/","Abrir Steam")</f>
        <v>Abrir Steam</v>
      </c>
      <c r="J86" t="str">
        <f>HYPERLINK("https://www.kinguin.net/es/category/277225/dragon-ball-sparking-zero-deluxe-edition-na-latam-pc-steam-cd-key","Kinguin")</f>
        <v>Kinguin</v>
      </c>
      <c r="K86" t="s">
        <v>16</v>
      </c>
      <c r="L86" t="s">
        <v>16</v>
      </c>
      <c r="M86" t="str">
        <f>HYPERLINK("https://www.eneba.com/latam/steam-dragon-ball-sparking-zero-deluxe-edition-pc-steam-key-latam","Eneba")</f>
        <v>Eneba</v>
      </c>
    </row>
    <row r="87">
      <c r="A87" t="s">
        <v>16</v>
      </c>
      <c r="B87" t="s">
        <v>16</v>
      </c>
      <c r="C87" t="s">
        <v>17</v>
      </c>
      <c r="D87">
        <v>0</v>
      </c>
      <c r="E87">
        <v>75001</v>
      </c>
      <c r="F87">
        <v>0</v>
      </c>
      <c r="G87">
        <v>0</v>
      </c>
      <c r="H87">
        <v>0</v>
      </c>
      <c r="I87" t="str">
        <f>HYPERLINK("https://store.steampowered.com/app/1790600/DRAGON_BALL_Sparking_ZERO/","Abrir Steam")</f>
        <v>Abrir Steam</v>
      </c>
      <c r="J87" t="str">
        <f>HYPERLINK("https://www.kinguin.net/es/category/273307/dragon-ball-sparking-zero-deluxe-edition-pc-steam-account","Kinguin")</f>
        <v>Kinguin</v>
      </c>
      <c r="K87" t="s">
        <v>16</v>
      </c>
      <c r="L87" t="s">
        <v>16</v>
      </c>
      <c r="M87" t="s">
        <v>16</v>
      </c>
    </row>
    <row r="88">
      <c r="A88" t="s">
        <v>16</v>
      </c>
      <c r="B88" t="s">
        <v>42</v>
      </c>
      <c r="C88" t="s">
        <v>15</v>
      </c>
      <c r="D88">
        <v>0</v>
      </c>
      <c r="E88">
        <v>75001</v>
      </c>
      <c r="F88">
        <v>0</v>
      </c>
      <c r="G88">
        <v>0</v>
      </c>
      <c r="H88">
        <v>0</v>
      </c>
      <c r="I88" t="str">
        <f>HYPERLINK("https://store.steampowered.com/app/1790600/DRAGON_BALL_Sparking_ZERO/","Abrir Steam")</f>
        <v>Abrir Steam</v>
      </c>
      <c r="J88" t="str">
        <f>HYPERLINK("https://www.kinguin.net/es/category/316208/dragon-ball-sparking-zero-ultimate-edition-na-latam-pc-steam-cd-key","Kinguin")</f>
        <v>Kinguin</v>
      </c>
      <c r="K88" t="s">
        <v>16</v>
      </c>
      <c r="L88" t="s">
        <v>16</v>
      </c>
      <c r="M88" t="str">
        <f>HYPERLINK("https://www.eneba.com/latam/steam-dragon-ball-sparking-zero-ultimate-edition-pc-steam-key-latam","Eneba")</f>
        <v>Eneba</v>
      </c>
    </row>
    <row r="89">
      <c r="A89" t="s">
        <v>16</v>
      </c>
      <c r="B89" t="s">
        <v>16</v>
      </c>
      <c r="C89" t="s">
        <v>17</v>
      </c>
      <c r="D89">
        <v>0</v>
      </c>
      <c r="E89">
        <v>75001</v>
      </c>
      <c r="F89">
        <v>0</v>
      </c>
      <c r="G89">
        <v>0</v>
      </c>
      <c r="H89">
        <v>0</v>
      </c>
      <c r="I89" t="str">
        <f>HYPERLINK("https://store.steampowered.com/app/1790600/DRAGON_BALL_Sparking_ZERO/","Abrir Steam")</f>
        <v>Abrir Steam</v>
      </c>
      <c r="J89" t="str">
        <f>HYPERLINK("https://www.kinguin.net/es/category/273309/dragon-ball-sparking-zero-ultimate-edition-pc-steam-account","Kinguin")</f>
        <v>Kinguin</v>
      </c>
      <c r="K89" t="str">
        <f>HYPERLINK("https://driffle.com/es/dragon-ball-sparking-zero-ultimate-edition-global-pc-steam-account-p9979494","Driffle")</f>
        <v>Driffle</v>
      </c>
      <c r="L89" t="s">
        <v>16</v>
      </c>
      <c r="M89" t="s">
        <v>16</v>
      </c>
    </row>
    <row r="90">
      <c r="A90" t="s">
        <v>52</v>
      </c>
      <c r="B90" t="s">
        <v>14</v>
      </c>
      <c r="C90" t="s">
        <v>15</v>
      </c>
      <c r="D90">
        <v>8373</v>
      </c>
      <c r="E90">
        <v>59997</v>
      </c>
      <c r="F90">
        <v>38685</v>
      </c>
      <c r="G90">
        <v>55706</v>
      </c>
      <c r="H90">
        <v>30312</v>
      </c>
      <c r="I90" t="str">
        <f>HYPERLINK("https://store.steampowered.com/app/1222140/Detroit_Become_Human/?curator_clanid=4777282","Abrir Steam")</f>
        <v>Abrir Steam</v>
      </c>
      <c r="J90" t="str">
        <f>HYPERLINK("https://www.kinguin.net/es/category/78715/detroit-become-human-pc-steam-cd-key","Kinguin")</f>
        <v>Kinguin</v>
      </c>
      <c r="K90" t="str">
        <f>HYPERLINK("https://driffle.com/es/detroit-become-human-latam-pc-steam-digital-code-p9902916","Driffle")</f>
        <v>Driffle</v>
      </c>
      <c r="L90" t="str">
        <f>HYPERLINK("https://www.loaded.com/es_es/detroit-become-human-pc-steam","Loaded")</f>
        <v>Loaded</v>
      </c>
      <c r="M90" t="str">
        <f>HYPERLINK("https://www.eneba.com/latam/steam-detroit-become-human-steam-key-latam","Eneba")</f>
        <v>Eneba</v>
      </c>
    </row>
    <row r="91">
      <c r="A91" t="s">
        <v>16</v>
      </c>
      <c r="B91" t="s">
        <v>16</v>
      </c>
      <c r="C91" t="s">
        <v>17</v>
      </c>
      <c r="D91">
        <v>3685</v>
      </c>
      <c r="E91">
        <v>59997</v>
      </c>
      <c r="F91">
        <v>30685</v>
      </c>
      <c r="G91">
        <v>44186</v>
      </c>
      <c r="H91">
        <v>27000</v>
      </c>
      <c r="I91" t="str">
        <f>HYPERLINK("https://store.steampowered.com/app/1222140/Detroit_Become_Human/?curator_clanid=4777282","Abrir Steam")</f>
        <v>Abrir Steam</v>
      </c>
      <c r="J91" t="str">
        <f>HYPERLINK("https://www.kinguin.net/es/category/152425/detroit-become-human-steam-account","Kinguin")</f>
        <v>Kinguin</v>
      </c>
      <c r="K91" t="str">
        <f>HYPERLINK("https://driffle.com/es/detroit-become-human-global-pc-steam-account-p9943441","Driffle")</f>
        <v>Driffle</v>
      </c>
      <c r="L91" t="s">
        <v>16</v>
      </c>
      <c r="M91" t="s">
        <v>16</v>
      </c>
    </row>
    <row r="92">
      <c r="A92" t="s">
        <v>53</v>
      </c>
      <c r="B92" t="s">
        <v>14</v>
      </c>
      <c r="C92" t="s">
        <v>15</v>
      </c>
      <c r="D92">
        <v>0</v>
      </c>
      <c r="E92">
        <v>28114</v>
      </c>
      <c r="F92">
        <v>0</v>
      </c>
      <c r="G92">
        <v>0</v>
      </c>
      <c r="H92">
        <v>0</v>
      </c>
      <c r="I92" t="str">
        <f>HYPERLINK("https://store.steampowered.com/app/2592160/Dispatch/?curator_clanid=4777282","Abrir Steam")</f>
        <v>Abrir Steam</v>
      </c>
      <c r="J92" t="s">
        <v>16</v>
      </c>
      <c r="K92" t="s">
        <v>16</v>
      </c>
      <c r="L92" t="s">
        <v>16</v>
      </c>
      <c r="M92" t="s">
        <v>16</v>
      </c>
    </row>
    <row r="93">
      <c r="A93" t="s">
        <v>16</v>
      </c>
      <c r="B93" t="s">
        <v>16</v>
      </c>
      <c r="C93" t="s">
        <v>17</v>
      </c>
      <c r="D93">
        <v>7682</v>
      </c>
      <c r="E93">
        <v>28114</v>
      </c>
      <c r="F93">
        <v>22682</v>
      </c>
      <c r="G93">
        <v>32662</v>
      </c>
      <c r="H93">
        <v>15000</v>
      </c>
      <c r="I93" t="str">
        <f>HYPERLINK("https://store.steampowered.com/app/2592160/Dispatch/?curator_clanid=4777282","Abrir Steam")</f>
        <v>Abrir Steam</v>
      </c>
      <c r="J93" t="str">
        <f>HYPERLINK("https://www.kinguin.net/es/category/403168/dispatch-pc-steam-account","Kinguin")</f>
        <v>Kinguin</v>
      </c>
      <c r="K93" t="str">
        <f>HYPERLINK("https://driffle.com/es/dispatch-global-pc-steam-account-p9969733","Driffle")</f>
        <v>Driffle</v>
      </c>
      <c r="L93" t="s">
        <v>16</v>
      </c>
      <c r="M93" t="s">
        <v>16</v>
      </c>
    </row>
    <row r="94">
      <c r="A94" t="s">
        <v>16</v>
      </c>
      <c r="B94" t="s">
        <v>44</v>
      </c>
      <c r="C94" t="s">
        <v>15</v>
      </c>
      <c r="D94">
        <v>0</v>
      </c>
      <c r="E94">
        <v>35616</v>
      </c>
      <c r="F94">
        <v>0</v>
      </c>
      <c r="G94">
        <v>0</v>
      </c>
      <c r="H94">
        <v>0</v>
      </c>
      <c r="I94" t="str">
        <f>HYPERLINK("https://store.steampowered.com/app/2592160/Dispatch/?curator_clanid=4777282","Abrir Steam")</f>
        <v>Abrir Steam</v>
      </c>
      <c r="J94" t="s">
        <v>16</v>
      </c>
      <c r="K94" t="s">
        <v>16</v>
      </c>
      <c r="L94" t="s">
        <v>16</v>
      </c>
      <c r="M94" t="s">
        <v>16</v>
      </c>
    </row>
    <row r="95">
      <c r="A95" t="s">
        <v>16</v>
      </c>
      <c r="B95" t="s">
        <v>16</v>
      </c>
      <c r="C95" t="s">
        <v>17</v>
      </c>
      <c r="D95">
        <v>0</v>
      </c>
      <c r="E95">
        <v>35616</v>
      </c>
      <c r="F95">
        <v>0</v>
      </c>
      <c r="G95">
        <v>0</v>
      </c>
      <c r="H95">
        <v>0</v>
      </c>
      <c r="I95" t="str">
        <f>HYPERLINK("https://store.steampowered.com/app/2592160/Dispatch/?curator_clanid=4777282","Abrir Steam")</f>
        <v>Abrir Steam</v>
      </c>
      <c r="J95" t="str">
        <f>HYPERLINK("https://www.kinguin.net/es/category/403527/dispatch-digital-deluxe-edition-pc-steam-account","Kinguin")</f>
        <v>Kinguin</v>
      </c>
      <c r="K95" t="str">
        <f>HYPERLINK("https://driffle.com/es/dispatch-digital-deluxe-edition-global-pc-steam-account-p9969737","Driffle")</f>
        <v>Driffle</v>
      </c>
      <c r="L95" t="s">
        <v>16</v>
      </c>
      <c r="M95" t="s">
        <v>16</v>
      </c>
    </row>
    <row r="96">
      <c r="A96" t="s">
        <v>54</v>
      </c>
      <c r="B96" t="s">
        <v>14</v>
      </c>
      <c r="C96" t="s">
        <v>15</v>
      </c>
      <c r="D96">
        <v>41273</v>
      </c>
      <c r="E96">
        <v>84379</v>
      </c>
      <c r="F96">
        <v>63225</v>
      </c>
      <c r="G96">
        <v>91044</v>
      </c>
      <c r="H96">
        <v>21952</v>
      </c>
      <c r="I96" t="str">
        <f>HYPERLINK("https://store.steampowered.com/app/3008130/Dying_Light_The_Beast/","Abrir Steam")</f>
        <v>Abrir Steam</v>
      </c>
      <c r="J96" t="str">
        <f>HYPERLINK("https://www.kinguin.net/es/category/359509/dying-light-the-beast-pc-steam-cd-key","Kinguin")</f>
        <v>Kinguin</v>
      </c>
      <c r="K96" t="str">
        <f>HYPERLINK("https://driffle.com/es/dying-light-the-beast-global-pc-steam-digital-key-p9938120","Driffle")</f>
        <v>Driffle</v>
      </c>
      <c r="L96" t="str">
        <f>HYPERLINK("https://www.loaded.com/es_es/dying-light-the-beast-pc-steam","Loaded")</f>
        <v>Loaded</v>
      </c>
      <c r="M96" t="str">
        <f>HYPERLINK("https://www.eneba.com/latam/steam-dying-light-the-beast-steam-pc-key-global","Eneba")</f>
        <v>Eneba</v>
      </c>
    </row>
    <row r="97">
      <c r="A97" t="s">
        <v>16</v>
      </c>
      <c r="B97" t="s">
        <v>16</v>
      </c>
      <c r="C97" t="s">
        <v>17</v>
      </c>
      <c r="D97">
        <v>27965</v>
      </c>
      <c r="E97">
        <v>84379</v>
      </c>
      <c r="F97">
        <v>50094</v>
      </c>
      <c r="G97">
        <v>72135</v>
      </c>
      <c r="H97">
        <v>22129</v>
      </c>
      <c r="I97" t="str">
        <f>HYPERLINK("https://store.steampowered.com/app/3008130/Dying_Light_The_Beast/","Abrir Steam")</f>
        <v>Abrir Steam</v>
      </c>
      <c r="J97" t="str">
        <f>HYPERLINK("https://www.kinguin.net/es/category/356849/dying-light-the-beast-pc-steam-account","Kinguin")</f>
        <v>Kinguin</v>
      </c>
      <c r="K97" t="str">
        <f>HYPERLINK("https://driffle.com/es/dying-light-the-beast-global-pc-steam-account-p9961930","Driffle")</f>
        <v>Driffle</v>
      </c>
      <c r="L97" t="s">
        <v>16</v>
      </c>
      <c r="M97" t="s">
        <v>16</v>
      </c>
    </row>
    <row r="98">
      <c r="A98" t="s">
        <v>16</v>
      </c>
      <c r="B98" t="s">
        <v>44</v>
      </c>
      <c r="C98" t="s">
        <v>15</v>
      </c>
      <c r="D98">
        <v>46899</v>
      </c>
      <c r="E98">
        <v>97507</v>
      </c>
      <c r="F98">
        <v>71779</v>
      </c>
      <c r="G98">
        <v>103362</v>
      </c>
      <c r="H98">
        <v>24880</v>
      </c>
      <c r="I98" t="str">
        <f>HYPERLINK("https://store.steampowered.com/app/3008130/Dying_Light_The_Beast/","Abrir Steam")</f>
        <v>Abrir Steam</v>
      </c>
      <c r="J98" t="str">
        <f>HYPERLINK("https://www.kinguin.net/es/category/389374/dying-light-the-beast-deluxe-edition-pc-steam-cd-key","Kinguin")</f>
        <v>Kinguin</v>
      </c>
      <c r="K98" t="str">
        <f>HYPERLINK("https://driffle.com/es/dying-light-the-beast-deluxe-edition-global-pc-steam-digital-key-p9958591","Driffle")</f>
        <v>Driffle</v>
      </c>
      <c r="L98" t="str">
        <f>HYPERLINK("https://www.loaded.com/es_es/dying-light-the-beast-deluxe-edition-pc-steam","Loaded")</f>
        <v>Loaded</v>
      </c>
      <c r="M98" t="str">
        <f>HYPERLINK("https://www.eneba.com/latam/steam-dying-light-the-beast-deluxe-edition-steam-pc-key-global","Eneba")</f>
        <v>Eneba</v>
      </c>
    </row>
    <row r="99">
      <c r="A99" t="s">
        <v>16</v>
      </c>
      <c r="B99" t="s">
        <v>16</v>
      </c>
      <c r="C99" t="s">
        <v>17</v>
      </c>
      <c r="D99">
        <v>37901</v>
      </c>
      <c r="E99">
        <v>97507</v>
      </c>
      <c r="F99">
        <v>59188</v>
      </c>
      <c r="G99">
        <v>85231</v>
      </c>
      <c r="H99">
        <v>21287</v>
      </c>
      <c r="I99" t="str">
        <f>HYPERLINK("https://store.steampowered.com/app/3008130/Dying_Light_The_Beast/","Abrir Steam")</f>
        <v>Abrir Steam</v>
      </c>
      <c r="J99" t="str">
        <f>HYPERLINK("https://www.kinguin.net/es/category/371691/dying-light-the-beast-deluxe-edition-pc-steam-account","Kinguin")</f>
        <v>Kinguin</v>
      </c>
      <c r="K99" t="str">
        <f>HYPERLINK("https://driffle.com/es/dying-light-the-beast-deluxe-edition-global-pc-steam-account-p9962273","Driffle")</f>
        <v>Driffle</v>
      </c>
      <c r="L99" t="s">
        <v>16</v>
      </c>
      <c r="M99" t="s">
        <v>16</v>
      </c>
    </row>
    <row r="100">
      <c r="A100" t="s">
        <v>55</v>
      </c>
      <c r="B100" t="s">
        <v>14</v>
      </c>
      <c r="C100" t="s">
        <v>15</v>
      </c>
      <c r="D100">
        <v>18095</v>
      </c>
      <c r="E100">
        <v>109323</v>
      </c>
      <c r="F100">
        <v>53095</v>
      </c>
      <c r="G100">
        <v>76457</v>
      </c>
      <c r="H100">
        <v>35000</v>
      </c>
      <c r="I100" t="str">
        <f>HYPERLINK("https://store.steampowered.com/app/2384580/DYNASTY_WARRIORS_ORIGINS/","Abrir Steam")</f>
        <v>Abrir Steam</v>
      </c>
      <c r="J100" t="str">
        <f>HYPERLINK("https://www.kinguin.net/es/category/304555/dynasty-warriors-origins-pc-steam-cd-key","Kinguin")</f>
        <v>Kinguin</v>
      </c>
      <c r="K100" t="str">
        <f>HYPERLINK("https://driffle.com/es/dynasty-warriors-origins-global-pc-steam-digital-key-p9926207","Driffle")</f>
        <v>Driffle</v>
      </c>
      <c r="L100" t="str">
        <f>HYPERLINK("https://www.loaded.com/es_es/dynasty-warriors-origins-pc-steam","Loaded")</f>
        <v>Loaded</v>
      </c>
      <c r="M100" t="str">
        <f>HYPERLINK("https://www.eneba.com/latam/steam-dynasty-warriors-origins-pc-steam-key-latam","Eneba")</f>
        <v>Eneba</v>
      </c>
    </row>
    <row r="101">
      <c r="A101" t="s">
        <v>16</v>
      </c>
      <c r="B101" t="s">
        <v>16</v>
      </c>
      <c r="C101" t="s">
        <v>17</v>
      </c>
      <c r="D101">
        <v>61013</v>
      </c>
      <c r="E101">
        <v>109323</v>
      </c>
      <c r="F101">
        <v>76013</v>
      </c>
      <c r="G101">
        <v>109459</v>
      </c>
      <c r="H101">
        <v>15000</v>
      </c>
      <c r="I101" t="str">
        <f>HYPERLINK("https://store.steampowered.com/app/2384580/DYNASTY_WARRIORS_ORIGINS/","Abrir Steam")</f>
        <v>Abrir Steam</v>
      </c>
      <c r="J101" t="str">
        <f>HYPERLINK("https://www.kinguin.net/es/category/308192/dynasty-warriors-origins-pc-steam-account","Kinguin")</f>
        <v>Kinguin</v>
      </c>
      <c r="K101" t="s">
        <v>16</v>
      </c>
      <c r="L101" t="s">
        <v>16</v>
      </c>
      <c r="M101" t="s">
        <v>16</v>
      </c>
    </row>
    <row r="102">
      <c r="A102" t="s">
        <v>16</v>
      </c>
      <c r="B102" t="s">
        <v>44</v>
      </c>
      <c r="C102" t="s">
        <v>15</v>
      </c>
      <c r="D102">
        <v>0</v>
      </c>
      <c r="E102">
        <v>140644</v>
      </c>
      <c r="F102">
        <v>0</v>
      </c>
      <c r="G102">
        <v>0</v>
      </c>
      <c r="H102">
        <v>0</v>
      </c>
      <c r="I102" t="str">
        <f>HYPERLINK("https://store.steampowered.com/app/2384580/DYNASTY_WARRIORS_ORIGINS/","Abrir Steam")</f>
        <v>Abrir Steam</v>
      </c>
      <c r="J102" t="s">
        <v>16</v>
      </c>
      <c r="K102" t="str">
        <f>HYPERLINK("https://driffle.com/es/dynasty-warriors-origins-digital-deluxe-edition-global-pc-steam-digital-key-p9926210","Driffle")</f>
        <v>Driffle</v>
      </c>
      <c r="L102" t="str">
        <f>HYPERLINK("https://www.loaded.com/es_es/dynasty-warriors-origins-digital-deluxe-edition-pc-steam-lac","Loaded")</f>
        <v>Loaded</v>
      </c>
      <c r="M102" t="s">
        <v>16</v>
      </c>
    </row>
    <row r="103">
      <c r="A103" t="s">
        <v>16</v>
      </c>
      <c r="B103" t="s">
        <v>16</v>
      </c>
      <c r="C103" t="s">
        <v>17</v>
      </c>
      <c r="D103">
        <v>0</v>
      </c>
      <c r="E103">
        <v>140644</v>
      </c>
      <c r="F103">
        <v>0</v>
      </c>
      <c r="G103">
        <v>0</v>
      </c>
      <c r="H103">
        <v>0</v>
      </c>
      <c r="I103" t="str">
        <f>HYPERLINK("https://store.steampowered.com/app/2384580/DYNASTY_WARRIORS_ORIGINS/","Abrir Steam")</f>
        <v>Abrir Steam</v>
      </c>
      <c r="J103" t="str">
        <f>HYPERLINK("https://www.kinguin.net/es/category/308194/dynasty-warriors-origins-digital-deluxe-edition-pc-steam-account","Kinguin")</f>
        <v>Kinguin</v>
      </c>
      <c r="K103" t="s">
        <v>16</v>
      </c>
      <c r="L103" t="s">
        <v>16</v>
      </c>
      <c r="M103" t="s">
        <v>16</v>
      </c>
    </row>
    <row r="104">
      <c r="A104" t="s">
        <v>56</v>
      </c>
      <c r="B104" t="s">
        <v>14</v>
      </c>
      <c r="C104" t="s">
        <v>15</v>
      </c>
      <c r="D104">
        <v>0</v>
      </c>
      <c r="E104">
        <v>131266</v>
      </c>
      <c r="F104">
        <v>0</v>
      </c>
      <c r="G104">
        <v>0</v>
      </c>
      <c r="H104">
        <v>0</v>
      </c>
      <c r="I104" t="str">
        <f>HYPERLINK("https://store.steampowered.com/app/4032350/EA_SPORTS_College_Football_27/?curator_clanid=4777282","Abrir Steam")</f>
        <v>Abrir Steam</v>
      </c>
      <c r="J104" t="s">
        <v>16</v>
      </c>
      <c r="K104" t="s">
        <v>16</v>
      </c>
      <c r="L104" t="s">
        <v>16</v>
      </c>
      <c r="M104" t="s">
        <v>16</v>
      </c>
    </row>
    <row r="105">
      <c r="A105" t="s">
        <v>16</v>
      </c>
      <c r="B105" t="s">
        <v>16</v>
      </c>
      <c r="C105" t="s">
        <v>17</v>
      </c>
      <c r="D105">
        <v>61934</v>
      </c>
      <c r="E105">
        <v>131266</v>
      </c>
      <c r="F105">
        <v>81967</v>
      </c>
      <c r="G105">
        <v>118032</v>
      </c>
      <c r="H105">
        <v>20033</v>
      </c>
      <c r="I105" t="str">
        <f>HYPERLINK("https://store.steampowered.com/app/4032350/EA_SPORTS_College_Football_27/?curator_clanid=4777282","Abrir Steam")</f>
        <v>Abrir Steam</v>
      </c>
      <c r="J105" t="str">
        <f>HYPERLINK("https://www.kinguin.net/es/category/563380/ea-sports-college-football-27-pc-steam-account","Kinguin")</f>
        <v>Kinguin</v>
      </c>
      <c r="K105" t="s">
        <v>16</v>
      </c>
      <c r="L105" t="s">
        <v>16</v>
      </c>
      <c r="M105" t="s">
        <v>16</v>
      </c>
    </row>
    <row r="106">
      <c r="A106" t="s">
        <v>16</v>
      </c>
      <c r="B106" t="s">
        <v>44</v>
      </c>
      <c r="C106" t="s">
        <v>15</v>
      </c>
      <c r="D106">
        <v>0</v>
      </c>
      <c r="E106">
        <v>187531</v>
      </c>
      <c r="F106">
        <v>0</v>
      </c>
      <c r="G106">
        <v>0</v>
      </c>
      <c r="H106">
        <v>0</v>
      </c>
      <c r="I106" t="str">
        <f>HYPERLINK("https://store.steampowered.com/app/4032350/EA_SPORTS_College_Football_27/?curator_clanid=4777282","Abrir Steam")</f>
        <v>Abrir Steam</v>
      </c>
      <c r="J106" t="s">
        <v>16</v>
      </c>
      <c r="K106" t="s">
        <v>16</v>
      </c>
      <c r="L106" t="s">
        <v>16</v>
      </c>
      <c r="M106" t="s">
        <v>16</v>
      </c>
    </row>
    <row r="107">
      <c r="A107" t="s">
        <v>16</v>
      </c>
      <c r="B107" t="s">
        <v>16</v>
      </c>
      <c r="C107" t="s">
        <v>17</v>
      </c>
      <c r="D107">
        <v>70422</v>
      </c>
      <c r="E107">
        <v>187531</v>
      </c>
      <c r="F107">
        <v>97422</v>
      </c>
      <c r="G107">
        <v>140288</v>
      </c>
      <c r="H107">
        <v>27000</v>
      </c>
      <c r="I107" t="str">
        <f>HYPERLINK("https://store.steampowered.com/app/4032350/EA_SPORTS_College_Football_27/?curator_clanid=4777282","Abrir Steam")</f>
        <v>Abrir Steam</v>
      </c>
      <c r="J107" t="str">
        <f>HYPERLINK("https://www.kinguin.net/es/category/563378/ea-sports-college-football-27-deluxe-edition-pc-steam-account","Kinguin")</f>
        <v>Kinguin</v>
      </c>
      <c r="K107" t="s">
        <v>16</v>
      </c>
      <c r="L107" t="s">
        <v>16</v>
      </c>
      <c r="M107" t="s">
        <v>16</v>
      </c>
    </row>
    <row r="108">
      <c r="A108" t="s">
        <v>57</v>
      </c>
      <c r="B108" t="s">
        <v>14</v>
      </c>
      <c r="C108" t="s">
        <v>15</v>
      </c>
      <c r="D108">
        <v>0</v>
      </c>
      <c r="E108">
        <v>131266</v>
      </c>
      <c r="F108">
        <v>0</v>
      </c>
      <c r="G108">
        <v>0</v>
      </c>
      <c r="H108">
        <v>0</v>
      </c>
      <c r="I108" t="str">
        <f>HYPERLINK("https://store.steampowered.com/app/3405690/EA_SPORTS_FC_26/","Abrir Steam")</f>
        <v>Abrir Steam</v>
      </c>
      <c r="J108" t="s">
        <v>16</v>
      </c>
      <c r="K108" t="s">
        <v>16</v>
      </c>
      <c r="L108" t="s">
        <v>16</v>
      </c>
      <c r="M108" t="s">
        <v>16</v>
      </c>
    </row>
    <row r="109">
      <c r="A109" t="s">
        <v>16</v>
      </c>
      <c r="B109" t="s">
        <v>16</v>
      </c>
      <c r="C109" t="s">
        <v>17</v>
      </c>
      <c r="D109">
        <v>5363</v>
      </c>
      <c r="E109">
        <v>131266</v>
      </c>
      <c r="F109">
        <v>32363</v>
      </c>
      <c r="G109">
        <v>46603</v>
      </c>
      <c r="H109">
        <v>27000</v>
      </c>
      <c r="I109" t="str">
        <f>HYPERLINK("https://store.steampowered.com/app/3405690/EA_SPORTS_FC_26/","Abrir Steam")</f>
        <v>Abrir Steam</v>
      </c>
      <c r="J109" t="str">
        <f>HYPERLINK("https://www.kinguin.net/es/category/365634/ea-sports-fc-26-pc-steam-account","Kinguin")</f>
        <v>Kinguin</v>
      </c>
      <c r="K109" t="str">
        <f>HYPERLINK("https://driffle.com/es/ea-sports-fc-26-global-pc-steam-account-p9952463","Driffle")</f>
        <v>Driffle</v>
      </c>
      <c r="L109" t="s">
        <v>16</v>
      </c>
      <c r="M109" t="s">
        <v>16</v>
      </c>
    </row>
    <row r="110">
      <c r="A110" t="s">
        <v>16</v>
      </c>
      <c r="B110" t="s">
        <v>58</v>
      </c>
      <c r="C110" t="s">
        <v>15</v>
      </c>
      <c r="D110">
        <v>0</v>
      </c>
      <c r="E110">
        <v>131266</v>
      </c>
      <c r="F110">
        <v>0</v>
      </c>
      <c r="G110">
        <v>0</v>
      </c>
      <c r="H110">
        <v>0</v>
      </c>
      <c r="I110" t="str">
        <f>HYPERLINK("https://store.steampowered.com/app/3405690/EA_SPORTS_FC_26/","Abrir Steam")</f>
        <v>Abrir Steam</v>
      </c>
      <c r="J110" t="s">
        <v>16</v>
      </c>
      <c r="K110" t="s">
        <v>16</v>
      </c>
      <c r="L110" t="s">
        <v>16</v>
      </c>
      <c r="M110" t="str">
        <f>HYPERLINK("https://www.eneba.com/latam/origin-ea-sports-fctm-26-the-worlds-game-edition-ea-app-key-pc-global","Eneba")</f>
        <v>Eneba</v>
      </c>
    </row>
    <row r="111">
      <c r="A111" t="s">
        <v>16</v>
      </c>
      <c r="B111" t="s">
        <v>16</v>
      </c>
      <c r="C111" t="s">
        <v>17</v>
      </c>
      <c r="D111">
        <v>15035</v>
      </c>
      <c r="E111">
        <v>131266</v>
      </c>
      <c r="F111">
        <v>42035</v>
      </c>
      <c r="G111">
        <v>60530</v>
      </c>
      <c r="H111">
        <v>27000</v>
      </c>
      <c r="I111" t="str">
        <f>HYPERLINK("https://store.steampowered.com/app/3405690/EA_SPORTS_FC_26/","Abrir Steam")</f>
        <v>Abrir Steam</v>
      </c>
      <c r="J111" t="str">
        <f>HYPERLINK("https://www.kinguin.net/es/category/541854/ea-sports-fc-26-the-world-s-game-edition-pc-steam-account","Kinguin")</f>
        <v>Kinguin</v>
      </c>
      <c r="K111" t="str">
        <f>HYPERLINK("https://driffle.com/es/ea-sports-fc-26-the-worlds-game-edition-global-pc-steam-account-p9996215","Driffle")</f>
        <v>Driffle</v>
      </c>
      <c r="L111" t="s">
        <v>16</v>
      </c>
      <c r="M111" t="s">
        <v>16</v>
      </c>
    </row>
    <row r="112">
      <c r="A112" t="s">
        <v>59</v>
      </c>
      <c r="B112" t="s">
        <v>14</v>
      </c>
      <c r="C112" t="s">
        <v>15</v>
      </c>
      <c r="D112">
        <v>0</v>
      </c>
      <c r="E112">
        <v>131266</v>
      </c>
      <c r="F112">
        <v>0</v>
      </c>
      <c r="G112">
        <v>0</v>
      </c>
      <c r="H112">
        <v>0</v>
      </c>
      <c r="I112" t="str">
        <f>HYPERLINK("https://store.steampowered.com/app/4080220/EA_SPORTS_FC_27/","Abrir Steam")</f>
        <v>Abrir Steam</v>
      </c>
      <c r="J112" t="s">
        <v>16</v>
      </c>
      <c r="K112" t="s">
        <v>16</v>
      </c>
      <c r="L112" t="s">
        <v>16</v>
      </c>
      <c r="M112" t="s">
        <v>16</v>
      </c>
    </row>
    <row r="113">
      <c r="A113" t="s">
        <v>16</v>
      </c>
      <c r="B113" t="s">
        <v>16</v>
      </c>
      <c r="C113" t="s">
        <v>17</v>
      </c>
      <c r="D113">
        <v>57131</v>
      </c>
      <c r="E113">
        <v>131266</v>
      </c>
      <c r="F113">
        <v>80046</v>
      </c>
      <c r="G113">
        <v>115266</v>
      </c>
      <c r="H113">
        <v>22915</v>
      </c>
      <c r="I113" t="str">
        <f>HYPERLINK("https://store.steampowered.com/app/4080220/EA_SPORTS_FC_27/","Abrir Steam")</f>
        <v>Abrir Steam</v>
      </c>
      <c r="J113" t="str">
        <f>HYPERLINK("https://www.kinguin.net/es/category/609604/ea-sports-fc-27-pc-steam-account","Kinguin")</f>
        <v>Kinguin</v>
      </c>
      <c r="K113" t="str">
        <f>HYPERLINK("https://driffle.com/es/ea-sports-fc-27-global-pc-steam-account-p9998646","Driffle")</f>
        <v>Driffle</v>
      </c>
      <c r="L113" t="s">
        <v>16</v>
      </c>
      <c r="M113" t="s">
        <v>16</v>
      </c>
    </row>
    <row r="114">
      <c r="A114" t="s">
        <v>16</v>
      </c>
      <c r="B114" t="s">
        <v>42</v>
      </c>
      <c r="C114" t="s">
        <v>15</v>
      </c>
      <c r="D114">
        <v>0</v>
      </c>
      <c r="E114">
        <v>187531</v>
      </c>
      <c r="F114">
        <v>0</v>
      </c>
      <c r="G114">
        <v>0</v>
      </c>
      <c r="H114">
        <v>0</v>
      </c>
      <c r="I114" t="str">
        <f>HYPERLINK("https://store.steampowered.com/app/4080220/EA_SPORTS_FC_27/","Abrir Steam")</f>
        <v>Abrir Steam</v>
      </c>
      <c r="J114" t="s">
        <v>16</v>
      </c>
      <c r="K114" t="s">
        <v>16</v>
      </c>
      <c r="L114" t="s">
        <v>16</v>
      </c>
      <c r="M114" t="s">
        <v>16</v>
      </c>
    </row>
    <row r="115">
      <c r="A115" t="s">
        <v>16</v>
      </c>
      <c r="B115" t="s">
        <v>16</v>
      </c>
      <c r="C115" t="s">
        <v>17</v>
      </c>
      <c r="D115">
        <v>89998</v>
      </c>
      <c r="E115">
        <v>187531</v>
      </c>
      <c r="F115">
        <v>115136</v>
      </c>
      <c r="G115">
        <v>165796</v>
      </c>
      <c r="H115">
        <v>25138</v>
      </c>
      <c r="I115" t="str">
        <f>HYPERLINK("https://store.steampowered.com/app/4080220/EA_SPORTS_FC_27/","Abrir Steam")</f>
        <v>Abrir Steam</v>
      </c>
      <c r="J115" t="str">
        <f>HYPERLINK("https://www.kinguin.net/es/category/609624/ea-sports-fc-27-ultimate-edition-pc-steam-account","Kinguin")</f>
        <v>Kinguin</v>
      </c>
      <c r="K115" t="s">
        <v>16</v>
      </c>
      <c r="L115" t="s">
        <v>16</v>
      </c>
      <c r="M115" t="s">
        <v>16</v>
      </c>
    </row>
    <row r="116">
      <c r="A116" t="s">
        <v>16</v>
      </c>
      <c r="B116" t="s">
        <v>60</v>
      </c>
      <c r="C116" t="s">
        <v>15</v>
      </c>
      <c r="D116">
        <v>0</v>
      </c>
      <c r="E116">
        <v>187531</v>
      </c>
      <c r="F116">
        <v>0</v>
      </c>
      <c r="G116">
        <v>0</v>
      </c>
      <c r="H116">
        <v>0</v>
      </c>
      <c r="I116" t="str">
        <f>HYPERLINK("https://store.steampowered.com/app/4080220/EA_SPORTS_FC_27/","Abrir Steam")</f>
        <v>Abrir Steam</v>
      </c>
      <c r="J116" t="s">
        <v>16</v>
      </c>
      <c r="K116" t="s">
        <v>16</v>
      </c>
      <c r="L116" t="s">
        <v>16</v>
      </c>
      <c r="M116" t="s">
        <v>16</v>
      </c>
    </row>
    <row r="117">
      <c r="A117" t="s">
        <v>16</v>
      </c>
      <c r="B117" t="s">
        <v>16</v>
      </c>
      <c r="C117" t="s">
        <v>17</v>
      </c>
      <c r="D117">
        <v>144974</v>
      </c>
      <c r="E117">
        <v>187531</v>
      </c>
      <c r="F117">
        <v>159974</v>
      </c>
      <c r="G117">
        <v>230363</v>
      </c>
      <c r="H117">
        <v>15000</v>
      </c>
      <c r="I117" t="str">
        <f>HYPERLINK("https://store.steampowered.com/app/4080220/EA_SPORTS_FC_27/","Abrir Steam")</f>
        <v>Abrir Steam</v>
      </c>
      <c r="J117" t="str">
        <f>HYPERLINK("https://www.kinguin.net/es/category/609638/ea-sports-fc-27-ultimate-edition-plus-pc-steam-account","Kinguin")</f>
        <v>Kinguin</v>
      </c>
      <c r="K117" t="s">
        <v>16</v>
      </c>
      <c r="L117" t="s">
        <v>16</v>
      </c>
      <c r="M117" t="s">
        <v>16</v>
      </c>
    </row>
    <row r="118">
      <c r="A118" t="s">
        <v>61</v>
      </c>
      <c r="B118" t="s">
        <v>14</v>
      </c>
      <c r="C118" t="s">
        <v>15</v>
      </c>
      <c r="D118">
        <v>87366</v>
      </c>
      <c r="E118">
        <v>90005</v>
      </c>
      <c r="F118">
        <v>102366</v>
      </c>
      <c r="G118">
        <v>147407</v>
      </c>
      <c r="H118">
        <v>15000</v>
      </c>
      <c r="I118" t="str">
        <f>HYPERLINK("https://store.steampowered.com/app/1245620/ELDEN_RING/","Abrir Steam")</f>
        <v>Abrir Steam</v>
      </c>
      <c r="J118" t="str">
        <f>HYPERLINK("https://www.kinguin.net/es/category/111450/elden-ring-na-latam-steam-cd-key","Kinguin")</f>
        <v>Kinguin</v>
      </c>
      <c r="K118" t="str">
        <f>HYPERLINK("https://driffle.com/es/elden-ring-latam-pc-steam-digital-key-p9972146","Driffle")</f>
        <v>Driffle</v>
      </c>
      <c r="L118" t="s">
        <v>16</v>
      </c>
      <c r="M118" t="str">
        <f>HYPERLINK("https://www.eneba.com/latam/steam-elden-ring-pc-steam-key-latam","Eneba")</f>
        <v>Eneba</v>
      </c>
    </row>
    <row r="119">
      <c r="A119" t="s">
        <v>16</v>
      </c>
      <c r="B119" t="s">
        <v>16</v>
      </c>
      <c r="C119" t="s">
        <v>17</v>
      </c>
      <c r="D119">
        <v>44941</v>
      </c>
      <c r="E119">
        <v>90005</v>
      </c>
      <c r="F119">
        <v>59941</v>
      </c>
      <c r="G119">
        <v>86315</v>
      </c>
      <c r="H119">
        <v>15000</v>
      </c>
      <c r="I119" t="str">
        <f>HYPERLINK("https://store.steampowered.com/app/1245620/ELDEN_RING/","Abrir Steam")</f>
        <v>Abrir Steam</v>
      </c>
      <c r="J119" t="str">
        <f>HYPERLINK("https://www.kinguin.net/es/category/133264/elden-ring-steam-account","Kinguin")</f>
        <v>Kinguin</v>
      </c>
      <c r="K119" t="str">
        <f>HYPERLINK("https://driffle.com/es/elden-ring-global-pc-steam-account-p9943442","Driffle")</f>
        <v>Driffle</v>
      </c>
      <c r="L119" t="s">
        <v>16</v>
      </c>
      <c r="M119" t="s">
        <v>16</v>
      </c>
    </row>
    <row r="120">
      <c r="A120" t="s">
        <v>16</v>
      </c>
      <c r="B120" t="s">
        <v>62</v>
      </c>
      <c r="C120" t="s">
        <v>15</v>
      </c>
      <c r="D120">
        <v>0</v>
      </c>
      <c r="E120">
        <v>120013</v>
      </c>
      <c r="F120">
        <v>0</v>
      </c>
      <c r="G120">
        <v>0</v>
      </c>
      <c r="H120">
        <v>0</v>
      </c>
      <c r="I120" t="str">
        <f>HYPERLINK("https://store.steampowered.com/app/1245620/ELDEN_RING/","Abrir Steam")</f>
        <v>Abrir Steam</v>
      </c>
      <c r="J120" t="s">
        <v>16</v>
      </c>
      <c r="K120" t="s">
        <v>16</v>
      </c>
      <c r="L120" t="s">
        <v>16</v>
      </c>
      <c r="M120" t="str">
        <f>HYPERLINK("https://www.eneba.com/latam/steam-elden-ring-shadow-of-the-erdtree-edition-pc-steam-key-latam","Eneba")</f>
        <v>Eneba</v>
      </c>
    </row>
    <row r="121">
      <c r="A121" t="s">
        <v>16</v>
      </c>
      <c r="B121" t="s">
        <v>16</v>
      </c>
      <c r="C121" t="s">
        <v>17</v>
      </c>
      <c r="D121">
        <v>85524</v>
      </c>
      <c r="E121">
        <v>120013</v>
      </c>
      <c r="F121">
        <v>100524</v>
      </c>
      <c r="G121">
        <v>144755</v>
      </c>
      <c r="H121">
        <v>15000</v>
      </c>
      <c r="I121" t="str">
        <f>HYPERLINK("https://store.steampowered.com/app/1245620/ELDEN_RING/","Abrir Steam")</f>
        <v>Abrir Steam</v>
      </c>
      <c r="J121" t="str">
        <f>HYPERLINK("https://www.kinguin.net/es/category/217207/elden-ring-shadow-of-the-erdtree-edition-steam-account","Kinguin")</f>
        <v>Kinguin</v>
      </c>
      <c r="K121" t="str">
        <f>HYPERLINK("https://driffle.com/es/elden-ring-shadow-of-the-erdtree-edition-global-pc-steam-account-p9979504","Driffle")</f>
        <v>Driffle</v>
      </c>
      <c r="L121" t="s">
        <v>16</v>
      </c>
      <c r="M121" t="s">
        <v>16</v>
      </c>
    </row>
    <row r="122">
      <c r="A122" t="s">
        <v>16</v>
      </c>
      <c r="B122" t="s">
        <v>63</v>
      </c>
      <c r="C122" t="s">
        <v>15</v>
      </c>
      <c r="D122">
        <v>156176</v>
      </c>
      <c r="E122">
        <v>150021</v>
      </c>
      <c r="F122">
        <v>171176</v>
      </c>
      <c r="G122">
        <v>246493</v>
      </c>
      <c r="H122">
        <v>15000</v>
      </c>
      <c r="I122" t="str">
        <f>HYPERLINK("https://store.steampowered.com/app/1245620/ELDEN_RING/","Abrir Steam")</f>
        <v>Abrir Steam</v>
      </c>
      <c r="J122" t="s">
        <v>16</v>
      </c>
      <c r="K122" t="s">
        <v>16</v>
      </c>
      <c r="L122" t="s">
        <v>16</v>
      </c>
      <c r="M122" t="str">
        <f>HYPERLINK("https://www.eneba.com/latam/steam-elden-ring-shadow-of-the-erdtree-deluxe-edition-pc-steam-key-latam","Eneba")</f>
        <v>Eneba</v>
      </c>
    </row>
    <row r="123">
      <c r="A123" t="s">
        <v>16</v>
      </c>
      <c r="B123" t="s">
        <v>16</v>
      </c>
      <c r="C123" t="s">
        <v>17</v>
      </c>
      <c r="D123">
        <v>109902</v>
      </c>
      <c r="E123">
        <v>150021</v>
      </c>
      <c r="F123">
        <v>124902</v>
      </c>
      <c r="G123">
        <v>179859</v>
      </c>
      <c r="H123">
        <v>15000</v>
      </c>
      <c r="I123" t="str">
        <f>HYPERLINK("https://store.steampowered.com/app/1245620/ELDEN_RING/","Abrir Steam")</f>
        <v>Abrir Steam</v>
      </c>
      <c r="J123" t="str">
        <f>HYPERLINK("https://www.kinguin.net/es/category/217210/elden-ring-shadow-of-the-erdtree-deluxe-edition-steam-account","Kinguin")</f>
        <v>Kinguin</v>
      </c>
      <c r="K123" t="s">
        <v>16</v>
      </c>
      <c r="L123" t="s">
        <v>16</v>
      </c>
      <c r="M123" t="s">
        <v>16</v>
      </c>
    </row>
    <row r="124">
      <c r="A124" t="s">
        <v>64</v>
      </c>
      <c r="B124" t="s">
        <v>14</v>
      </c>
      <c r="C124" t="s">
        <v>15</v>
      </c>
      <c r="D124">
        <v>45830</v>
      </c>
      <c r="E124">
        <v>59997</v>
      </c>
      <c r="F124">
        <v>60885</v>
      </c>
      <c r="G124">
        <v>87674</v>
      </c>
      <c r="H124">
        <v>15055</v>
      </c>
      <c r="I124" t="str">
        <f>HYPERLINK("https://store.steampowered.com/app/2622380/ELDEN_RING_NIGHTREIGN/","Abrir Steam")</f>
        <v>Abrir Steam</v>
      </c>
      <c r="J124" t="str">
        <f>HYPERLINK("https://www.kinguin.net/es/category/335894/elden-ring-nightreign-pc-steam-cd-key","Kinguin")</f>
        <v>Kinguin</v>
      </c>
      <c r="K124" t="str">
        <f>HYPERLINK("https://driffle.com/es/elden-ring-nightreign-latam-pc-steam-digital-key-p9933644","Driffle")</f>
        <v>Driffle</v>
      </c>
      <c r="L124" t="s">
        <v>16</v>
      </c>
      <c r="M124" t="str">
        <f>HYPERLINK("https://www.eneba.com/latam/steam-elden-ring-nightreign-steam-key-pc-latam","Eneba")</f>
        <v>Eneba</v>
      </c>
    </row>
    <row r="125">
      <c r="A125" t="s">
        <v>16</v>
      </c>
      <c r="B125" t="s">
        <v>16</v>
      </c>
      <c r="C125" t="s">
        <v>17</v>
      </c>
      <c r="D125">
        <v>35466</v>
      </c>
      <c r="E125">
        <v>59997</v>
      </c>
      <c r="F125">
        <v>50466</v>
      </c>
      <c r="G125">
        <v>72671</v>
      </c>
      <c r="H125">
        <v>15000</v>
      </c>
      <c r="I125" t="str">
        <f>HYPERLINK("https://store.steampowered.com/app/2622380/ELDEN_RING_NIGHTREIGN/","Abrir Steam")</f>
        <v>Abrir Steam</v>
      </c>
      <c r="J125" t="str">
        <f>HYPERLINK("https://www.kinguin.net/es/category/312067/elden-ring-nightreign-pc-steam-account","Kinguin")</f>
        <v>Kinguin</v>
      </c>
      <c r="K125" t="str">
        <f>HYPERLINK("https://driffle.com/es/elden-ring-nightreign-global-pc-steam-account-p9945661","Driffle")</f>
        <v>Driffle</v>
      </c>
      <c r="L125" t="s">
        <v>16</v>
      </c>
      <c r="M125" t="s">
        <v>16</v>
      </c>
    </row>
    <row r="126">
      <c r="A126" t="s">
        <v>16</v>
      </c>
      <c r="B126" t="s">
        <v>44</v>
      </c>
      <c r="C126" t="s">
        <v>15</v>
      </c>
      <c r="D126">
        <v>63563</v>
      </c>
      <c r="E126">
        <v>82503</v>
      </c>
      <c r="F126">
        <v>78699</v>
      </c>
      <c r="G126">
        <v>113327</v>
      </c>
      <c r="H126">
        <v>15136</v>
      </c>
      <c r="I126" t="str">
        <f>HYPERLINK("https://store.steampowered.com/app/2622380/ELDEN_RING_NIGHTREIGN/","Abrir Steam")</f>
        <v>Abrir Steam</v>
      </c>
      <c r="J126" t="str">
        <f>HYPERLINK("https://www.kinguin.net/es/category/325556/elden-ring-nightreign-deluxe-edition-eu-pc-steam-cd-key","Kinguin")</f>
        <v>Kinguin</v>
      </c>
      <c r="K126" t="str">
        <f>HYPERLINK("https://driffle.com/es/elden-ring-nightreign-deluxe-edition-latam-pc-steam-digital-key-p9933646","Driffle")</f>
        <v>Driffle</v>
      </c>
      <c r="L126" t="s">
        <v>16</v>
      </c>
      <c r="M126" t="str">
        <f>HYPERLINK("https://www.eneba.com/latam/steam-elden-ring-nightreign-deluxe-edition-steam-key-pc-latam","Eneba")</f>
        <v>Eneba</v>
      </c>
    </row>
    <row r="127">
      <c r="A127" t="s">
        <v>16</v>
      </c>
      <c r="B127" t="s">
        <v>16</v>
      </c>
      <c r="C127" t="s">
        <v>17</v>
      </c>
      <c r="D127">
        <v>53430</v>
      </c>
      <c r="E127">
        <v>82503</v>
      </c>
      <c r="F127">
        <v>68430</v>
      </c>
      <c r="G127">
        <v>98539</v>
      </c>
      <c r="H127">
        <v>15000</v>
      </c>
      <c r="I127" t="str">
        <f>HYPERLINK("https://store.steampowered.com/app/2622380/ELDEN_RING_NIGHTREIGN/","Abrir Steam")</f>
        <v>Abrir Steam</v>
      </c>
      <c r="J127" t="str">
        <f>HYPERLINK("https://www.kinguin.net/es/category/311954/elden-ring-nightreign-deluxe-edition-pc-steam-account","Kinguin")</f>
        <v>Kinguin</v>
      </c>
      <c r="K127" t="s">
        <v>16</v>
      </c>
      <c r="L127" t="s">
        <v>16</v>
      </c>
      <c r="M127" t="s">
        <v>16</v>
      </c>
    </row>
    <row r="128">
      <c r="A128" t="s">
        <v>65</v>
      </c>
      <c r="B128" t="s">
        <v>66</v>
      </c>
      <c r="C128" t="s">
        <v>15</v>
      </c>
      <c r="D128">
        <v>48544</v>
      </c>
      <c r="E128">
        <v>93756</v>
      </c>
      <c r="F128">
        <v>67645</v>
      </c>
      <c r="G128">
        <v>97409</v>
      </c>
      <c r="H128">
        <v>19101</v>
      </c>
      <c r="I128" t="str">
        <f>HYPERLINK("https://store.steampowered.com/app/3059520/F1_25/","Abrir Steam")</f>
        <v>Abrir Steam</v>
      </c>
      <c r="J128" t="str">
        <f>HYPERLINK("https://www.kinguin.net/es/category/549472/f1-25-2026-season-edition-pc-steam-cd-key","Kinguin")</f>
        <v>Kinguin</v>
      </c>
      <c r="K128" t="s">
        <v>16</v>
      </c>
      <c r="L128" t="s">
        <v>16</v>
      </c>
      <c r="M128" t="s">
        <v>16</v>
      </c>
    </row>
    <row r="129">
      <c r="A129" t="s">
        <v>16</v>
      </c>
      <c r="B129" t="s">
        <v>16</v>
      </c>
      <c r="C129" t="s">
        <v>17</v>
      </c>
      <c r="D129">
        <v>30317</v>
      </c>
      <c r="E129">
        <v>93756</v>
      </c>
      <c r="F129">
        <v>54691</v>
      </c>
      <c r="G129">
        <v>78755</v>
      </c>
      <c r="H129">
        <v>24374</v>
      </c>
      <c r="I129" t="str">
        <f>HYPERLINK("https://store.steampowered.com/app/3059520/F1_25/","Abrir Steam")</f>
        <v>Abrir Steam</v>
      </c>
      <c r="J129" t="str">
        <f>HYPERLINK("https://www.kinguin.net/es/category/541795/f1-25-2026-season-edition-pc-steam-account","Kinguin")</f>
        <v>Kinguin</v>
      </c>
      <c r="K129" t="str">
        <f>HYPERLINK("https://driffle.com/es/f1-25-2026-season-edition-global-pc-steam-account-p9996177","Driffle")</f>
        <v>Driffle</v>
      </c>
      <c r="L129" t="s">
        <v>16</v>
      </c>
      <c r="M129" t="s">
        <v>16</v>
      </c>
    </row>
    <row r="130">
      <c r="A130" t="s">
        <v>67</v>
      </c>
      <c r="B130" t="s">
        <v>14</v>
      </c>
      <c r="C130" t="s">
        <v>15</v>
      </c>
      <c r="D130">
        <v>11597</v>
      </c>
      <c r="E130">
        <v>44993</v>
      </c>
      <c r="F130">
        <v>32995</v>
      </c>
      <c r="G130">
        <v>47513</v>
      </c>
      <c r="H130">
        <v>21398</v>
      </c>
      <c r="I130" t="str">
        <f>HYPERLINK("https://store.steampowered.com/app/1151340/Fallout_76/?curator_clanid=4777282","Abrir Steam")</f>
        <v>Abrir Steam</v>
      </c>
      <c r="J130" t="str">
        <f>HYPERLINK("https://www.kinguin.net/es/category/278799/fallout-76-latam-pc-steam-cd-key","Kinguin")</f>
        <v>Kinguin</v>
      </c>
      <c r="K130" t="str">
        <f>HYPERLINK("https://driffle.com/es/fallout-76-p9882414","Driffle")</f>
        <v>Driffle</v>
      </c>
      <c r="L130" t="str">
        <f>HYPERLINK("https://www.loaded.com/es_es/fallout-76-pc-ww-steam","Loaded")</f>
        <v>Loaded</v>
      </c>
      <c r="M130" t="str">
        <f>HYPERLINK("https://www.eneba.com/latam/steam-fallout-76-steam-key-pc-latam","Eneba")</f>
        <v>Eneba</v>
      </c>
    </row>
    <row r="131">
      <c r="A131" t="s">
        <v>16</v>
      </c>
      <c r="B131" t="s">
        <v>16</v>
      </c>
      <c r="C131" t="s">
        <v>17</v>
      </c>
      <c r="D131">
        <v>3619</v>
      </c>
      <c r="E131">
        <v>44993</v>
      </c>
      <c r="F131">
        <v>24995</v>
      </c>
      <c r="G131">
        <v>35993</v>
      </c>
      <c r="H131">
        <v>21376</v>
      </c>
      <c r="I131" t="str">
        <f>HYPERLINK("https://store.steampowered.com/app/1151340/Fallout_76/?curator_clanid=4777282","Abrir Steam")</f>
        <v>Abrir Steam</v>
      </c>
      <c r="J131" t="str">
        <f>HYPERLINK("https://www.kinguin.net/es/category/138395/fallout-76-steam-account","Kinguin")</f>
        <v>Kinguin</v>
      </c>
      <c r="K131" t="str">
        <f>HYPERLINK("https://driffle.com/es/fallout-76-global-pc-steam-account-p9979508","Driffle")</f>
        <v>Driffle</v>
      </c>
      <c r="L131" t="s">
        <v>16</v>
      </c>
      <c r="M131" t="s">
        <v>16</v>
      </c>
    </row>
    <row r="132">
      <c r="A132" t="s">
        <v>68</v>
      </c>
      <c r="B132" t="s">
        <v>14</v>
      </c>
      <c r="C132" t="s">
        <v>15</v>
      </c>
      <c r="D132">
        <v>21911</v>
      </c>
      <c r="E132">
        <v>59997</v>
      </c>
      <c r="F132">
        <v>41763</v>
      </c>
      <c r="G132">
        <v>60139</v>
      </c>
      <c r="H132">
        <v>19852</v>
      </c>
      <c r="I132" t="str">
        <f>HYPERLINK("https://store.steampowered.com/app/1462040/FINAL_FANTASY_VII_REMAKE_INTERGRADE/?curator_clanid=4777282","Abrir Steam")</f>
        <v>Abrir Steam</v>
      </c>
      <c r="J132" t="str">
        <f>HYPERLINK("https://www.kinguin.net/es/category/121803/final-fantasy-vii-remake-intergrade-steam-cd-key","Kinguin")</f>
        <v>Kinguin</v>
      </c>
      <c r="K132" t="str">
        <f>HYPERLINK("https://driffle.com/es/final-fantasy-vii-remake-intergrade-pc-steam-digital-code-p9907421","Driffle")</f>
        <v>Driffle</v>
      </c>
      <c r="L132" t="str">
        <f>HYPERLINK("https://www.loaded.com/es_es/final-fantasy-vii-remake-intergrade-pc-steam-ww","Loaded")</f>
        <v>Loaded</v>
      </c>
      <c r="M132" t="str">
        <f>HYPERLINK("https://www.eneba.com/latam/steam-final-fantasy-vii-remake-intergrade-pc-steam-key-global","Eneba")</f>
        <v>Eneba</v>
      </c>
    </row>
    <row r="133">
      <c r="A133" t="s">
        <v>16</v>
      </c>
      <c r="B133" t="s">
        <v>16</v>
      </c>
      <c r="C133" t="s">
        <v>17</v>
      </c>
      <c r="D133">
        <v>0</v>
      </c>
      <c r="E133">
        <v>59997</v>
      </c>
      <c r="F133">
        <v>0</v>
      </c>
      <c r="G133">
        <v>0</v>
      </c>
      <c r="H133">
        <v>0</v>
      </c>
      <c r="I133" t="str">
        <f>HYPERLINK("https://store.steampowered.com/app/1462040/FINAL_FANTASY_VII_REMAKE_INTERGRADE/?curator_clanid=4777282","Abrir Steam")</f>
        <v>Abrir Steam</v>
      </c>
      <c r="J133" t="str">
        <f>HYPERLINK("https://www.kinguin.net/es/category/156198/final-fantasy-vii-remake-intergrade-epic-games-account","Kinguin")</f>
        <v>Kinguin</v>
      </c>
      <c r="K133" t="s">
        <v>16</v>
      </c>
      <c r="L133" t="s">
        <v>16</v>
      </c>
      <c r="M133" t="s">
        <v>16</v>
      </c>
    </row>
    <row r="134">
      <c r="A134" t="s">
        <v>69</v>
      </c>
      <c r="B134" t="s">
        <v>14</v>
      </c>
      <c r="C134" t="s">
        <v>15</v>
      </c>
      <c r="D134">
        <v>0</v>
      </c>
      <c r="E134">
        <v>61479</v>
      </c>
      <c r="F134">
        <v>0</v>
      </c>
      <c r="G134">
        <v>0</v>
      </c>
      <c r="H134">
        <v>0</v>
      </c>
      <c r="I134" t="str">
        <f>HYPERLINK("https://store.steampowered.com/app/1551360/Forza_Horizon_5/?curator_clanid=4777282","Abrir Steam")</f>
        <v>Abrir Steam</v>
      </c>
      <c r="J134" t="s">
        <v>16</v>
      </c>
      <c r="K134" t="s">
        <v>16</v>
      </c>
      <c r="L134" t="s">
        <v>16</v>
      </c>
      <c r="M134" t="str">
        <f>HYPERLINK("https://www.eneba.com/latam/steam-forza-horizon-5-pc-steam-key-global","Eneba")</f>
        <v>Eneba</v>
      </c>
    </row>
    <row r="135">
      <c r="A135" t="s">
        <v>16</v>
      </c>
      <c r="B135" t="s">
        <v>16</v>
      </c>
      <c r="C135" t="s">
        <v>17</v>
      </c>
      <c r="D135">
        <v>14098</v>
      </c>
      <c r="E135">
        <v>61479</v>
      </c>
      <c r="F135">
        <v>35616</v>
      </c>
      <c r="G135">
        <v>51287</v>
      </c>
      <c r="H135">
        <v>21518</v>
      </c>
      <c r="I135" t="str">
        <f>HYPERLINK("https://store.steampowered.com/app/1551360/Forza_Horizon_5/?curator_clanid=4777282","Abrir Steam")</f>
        <v>Abrir Steam</v>
      </c>
      <c r="J135" t="str">
        <f>HYPERLINK("https://www.kinguin.net/es/category/151135/forza-horizon-5-steam-account","Kinguin")</f>
        <v>Kinguin</v>
      </c>
      <c r="K135" t="str">
        <f>HYPERLINK("https://driffle.com/es/forza-horizon-5-global-pc-steam-account-p9943443","Driffle")</f>
        <v>Driffle</v>
      </c>
      <c r="L135" t="s">
        <v>16</v>
      </c>
      <c r="M135" t="s">
        <v>16</v>
      </c>
    </row>
    <row r="136">
      <c r="A136" t="s">
        <v>16</v>
      </c>
      <c r="B136" t="s">
        <v>44</v>
      </c>
      <c r="C136" t="s">
        <v>15</v>
      </c>
      <c r="D136">
        <v>0</v>
      </c>
      <c r="E136">
        <v>76595</v>
      </c>
      <c r="F136">
        <v>0</v>
      </c>
      <c r="G136">
        <v>0</v>
      </c>
      <c r="H136">
        <v>0</v>
      </c>
      <c r="I136" t="str">
        <f>HYPERLINK("https://store.steampowered.com/app/1551360/Forza_Horizon_5/?curator_clanid=4777282","Abrir Steam")</f>
        <v>Abrir Steam</v>
      </c>
      <c r="J136" t="s">
        <v>16</v>
      </c>
      <c r="K136" t="s">
        <v>16</v>
      </c>
      <c r="L136" t="s">
        <v>16</v>
      </c>
      <c r="M136" t="s">
        <v>16</v>
      </c>
    </row>
    <row r="137">
      <c r="A137" t="s">
        <v>16</v>
      </c>
      <c r="B137" t="s">
        <v>16</v>
      </c>
      <c r="C137" t="s">
        <v>17</v>
      </c>
      <c r="D137">
        <v>24708</v>
      </c>
      <c r="E137">
        <v>76595</v>
      </c>
      <c r="F137">
        <v>45755</v>
      </c>
      <c r="G137">
        <v>65887</v>
      </c>
      <c r="H137">
        <v>21047</v>
      </c>
      <c r="I137" t="str">
        <f>HYPERLINK("https://store.steampowered.com/app/1551360/Forza_Horizon_5/?curator_clanid=4777282","Abrir Steam")</f>
        <v>Abrir Steam</v>
      </c>
      <c r="J137" t="str">
        <f>HYPERLINK("https://www.kinguin.net/es/category/153247/forza-horizon-5-deluxe-edition-steam-account","Kinguin")</f>
        <v>Kinguin</v>
      </c>
      <c r="K137" t="str">
        <f>HYPERLINK("https://driffle.com/es/forza-horizon-5-deluxe-edition-global-pc-steam-account-p9962282","Driffle")</f>
        <v>Driffle</v>
      </c>
      <c r="L137" t="s">
        <v>16</v>
      </c>
      <c r="M137" t="s">
        <v>16</v>
      </c>
    </row>
    <row r="138">
      <c r="A138" t="s">
        <v>16</v>
      </c>
      <c r="B138" t="s">
        <v>25</v>
      </c>
      <c r="C138" t="s">
        <v>15</v>
      </c>
      <c r="D138">
        <v>0</v>
      </c>
      <c r="E138">
        <v>96419</v>
      </c>
      <c r="F138">
        <v>0</v>
      </c>
      <c r="G138">
        <v>0</v>
      </c>
      <c r="H138">
        <v>0</v>
      </c>
      <c r="I138" t="str">
        <f>HYPERLINK("https://store.steampowered.com/app/1551360/Forza_Horizon_5/?curator_clanid=4777282","Abrir Steam")</f>
        <v>Abrir Steam</v>
      </c>
      <c r="J138" t="s">
        <v>16</v>
      </c>
      <c r="K138" t="s">
        <v>16</v>
      </c>
      <c r="L138" t="s">
        <v>16</v>
      </c>
      <c r="M138" t="str">
        <f>HYPERLINK("https://www.eneba.com/latam/steam-forza-horizon-5-premium-edition-pc-steam-key-global","Eneba")</f>
        <v>Eneba</v>
      </c>
    </row>
    <row r="139">
      <c r="A139" t="s">
        <v>16</v>
      </c>
      <c r="B139" t="s">
        <v>16</v>
      </c>
      <c r="C139" t="s">
        <v>17</v>
      </c>
      <c r="D139">
        <v>25448</v>
      </c>
      <c r="E139">
        <v>96419</v>
      </c>
      <c r="F139">
        <v>52448</v>
      </c>
      <c r="G139">
        <v>75525</v>
      </c>
      <c r="H139">
        <v>27000</v>
      </c>
      <c r="I139" t="str">
        <f>HYPERLINK("https://store.steampowered.com/app/1551360/Forza_Horizon_5/?curator_clanid=4777282","Abrir Steam")</f>
        <v>Abrir Steam</v>
      </c>
      <c r="J139" t="str">
        <f>HYPERLINK("https://www.kinguin.net/es/category/153246/forza-horizon-5-premium-edition-steam-account","Kinguin")</f>
        <v>Kinguin</v>
      </c>
      <c r="K139" t="str">
        <f>HYPERLINK("https://driffle.com/es/forza-horizon-5-premium-edition-global-pc-steam-account-p9945649","Driffle")</f>
        <v>Driffle</v>
      </c>
      <c r="L139" t="s">
        <v>16</v>
      </c>
      <c r="M139" t="s">
        <v>16</v>
      </c>
    </row>
    <row r="140">
      <c r="A140" t="s">
        <v>70</v>
      </c>
      <c r="B140" t="s">
        <v>14</v>
      </c>
      <c r="C140" t="s">
        <v>15</v>
      </c>
      <c r="D140">
        <v>0</v>
      </c>
      <c r="E140">
        <v>91881</v>
      </c>
      <c r="F140">
        <v>0</v>
      </c>
      <c r="G140">
        <v>0</v>
      </c>
      <c r="H140">
        <v>0</v>
      </c>
      <c r="I140" t="str">
        <f>HYPERLINK("https://store.steampowered.com/app/2483190/Forza_Horizon_6/","Abrir Steam")</f>
        <v>Abrir Steam</v>
      </c>
      <c r="J140" t="s">
        <v>16</v>
      </c>
      <c r="K140" t="s">
        <v>16</v>
      </c>
      <c r="L140" t="s">
        <v>16</v>
      </c>
      <c r="M140" t="s">
        <v>16</v>
      </c>
    </row>
    <row r="141">
      <c r="A141" t="s">
        <v>16</v>
      </c>
      <c r="B141" t="s">
        <v>16</v>
      </c>
      <c r="C141" t="s">
        <v>17</v>
      </c>
      <c r="D141">
        <v>57411</v>
      </c>
      <c r="E141">
        <v>91881</v>
      </c>
      <c r="F141">
        <v>72411</v>
      </c>
      <c r="G141">
        <v>104272</v>
      </c>
      <c r="H141">
        <v>15000</v>
      </c>
      <c r="I141" t="str">
        <f>HYPERLINK("https://store.steampowered.com/app/2483190/Forza_Horizon_6/","Abrir Steam")</f>
        <v>Abrir Steam</v>
      </c>
      <c r="J141" t="str">
        <f>HYPERLINK("https://www.kinguin.net/es/category/440716/forza-horizon-6-pc-steam-account","Kinguin")</f>
        <v>Kinguin</v>
      </c>
      <c r="K141" t="str">
        <f>HYPERLINK("https://driffle.com/es/forza-horizon-6-global-pc-steam-account-p9980945","Driffle")</f>
        <v>Driffle</v>
      </c>
      <c r="L141" t="s">
        <v>16</v>
      </c>
      <c r="M141" t="s">
        <v>16</v>
      </c>
    </row>
    <row r="142">
      <c r="A142" t="s">
        <v>16</v>
      </c>
      <c r="B142" t="s">
        <v>44</v>
      </c>
      <c r="C142" t="s">
        <v>15</v>
      </c>
      <c r="D142">
        <v>0</v>
      </c>
      <c r="E142">
        <v>131266</v>
      </c>
      <c r="F142">
        <v>0</v>
      </c>
      <c r="G142">
        <v>0</v>
      </c>
      <c r="H142">
        <v>0</v>
      </c>
      <c r="I142" t="str">
        <f>HYPERLINK("https://store.steampowered.com/app/2483190/Forza_Horizon_6/","Abrir Steam")</f>
        <v>Abrir Steam</v>
      </c>
      <c r="J142" t="s">
        <v>16</v>
      </c>
      <c r="K142" t="s">
        <v>16</v>
      </c>
      <c r="L142" t="s">
        <v>16</v>
      </c>
      <c r="M142" t="s">
        <v>16</v>
      </c>
    </row>
    <row r="143">
      <c r="A143" t="s">
        <v>16</v>
      </c>
      <c r="B143" t="s">
        <v>16</v>
      </c>
      <c r="C143" t="s">
        <v>17</v>
      </c>
      <c r="D143">
        <v>83402</v>
      </c>
      <c r="E143">
        <v>131266</v>
      </c>
      <c r="F143">
        <v>98402</v>
      </c>
      <c r="G143">
        <v>141699</v>
      </c>
      <c r="H143">
        <v>15000</v>
      </c>
      <c r="I143" t="str">
        <f>HYPERLINK("https://store.steampowered.com/app/2483190/Forza_Horizon_6/","Abrir Steam")</f>
        <v>Abrir Steam</v>
      </c>
      <c r="J143" t="str">
        <f>HYPERLINK("https://www.kinguin.net/es/category/440711/forza-horizon-6-deluxe-edition-pc-steam-account","Kinguin")</f>
        <v>Kinguin</v>
      </c>
      <c r="K143" t="str">
        <f>HYPERLINK("https://driffle.com/es/forza-horizon-6-deluxe-edition-global-pc-steam-account-p9980950","Driffle")</f>
        <v>Driffle</v>
      </c>
      <c r="L143" t="s">
        <v>16</v>
      </c>
      <c r="M143" t="s">
        <v>16</v>
      </c>
    </row>
    <row r="144">
      <c r="A144" t="s">
        <v>16</v>
      </c>
      <c r="B144" t="s">
        <v>25</v>
      </c>
      <c r="C144" t="s">
        <v>15</v>
      </c>
      <c r="D144">
        <v>0</v>
      </c>
      <c r="E144">
        <v>157523</v>
      </c>
      <c r="F144">
        <v>0</v>
      </c>
      <c r="G144">
        <v>0</v>
      </c>
      <c r="H144">
        <v>0</v>
      </c>
      <c r="I144" t="str">
        <f>HYPERLINK("https://store.steampowered.com/app/2483190/Forza_Horizon_6/","Abrir Steam")</f>
        <v>Abrir Steam</v>
      </c>
      <c r="J144" t="s">
        <v>16</v>
      </c>
      <c r="K144" t="s">
        <v>16</v>
      </c>
      <c r="L144" t="s">
        <v>16</v>
      </c>
      <c r="M144" t="s">
        <v>16</v>
      </c>
    </row>
    <row r="145">
      <c r="A145" t="s">
        <v>16</v>
      </c>
      <c r="B145" t="s">
        <v>16</v>
      </c>
      <c r="C145" t="s">
        <v>17</v>
      </c>
      <c r="D145">
        <v>94176</v>
      </c>
      <c r="E145">
        <v>157523</v>
      </c>
      <c r="F145">
        <v>109176</v>
      </c>
      <c r="G145">
        <v>157213</v>
      </c>
      <c r="H145">
        <v>15000</v>
      </c>
      <c r="I145" t="str">
        <f>HYPERLINK("https://store.steampowered.com/app/2483190/Forza_Horizon_6/","Abrir Steam")</f>
        <v>Abrir Steam</v>
      </c>
      <c r="J145" t="str">
        <f>HYPERLINK("https://www.kinguin.net/es/category/440707/forza-horizon-6-premium-edition-pc-steam-account","Kinguin")</f>
        <v>Kinguin</v>
      </c>
      <c r="K145" t="str">
        <f>HYPERLINK("https://driffle.com/es/forza-horizon-6-premium-edition-global-pc-steam-account-p9980955","Driffle")</f>
        <v>Driffle</v>
      </c>
      <c r="L145" t="s">
        <v>16</v>
      </c>
      <c r="M145" t="s">
        <v>16</v>
      </c>
    </row>
    <row r="146">
      <c r="A146" t="s">
        <v>71</v>
      </c>
      <c r="B146" t="s">
        <v>14</v>
      </c>
      <c r="C146" t="s">
        <v>15</v>
      </c>
      <c r="D146">
        <v>0</v>
      </c>
      <c r="E146">
        <v>91881</v>
      </c>
      <c r="F146">
        <v>0</v>
      </c>
      <c r="G146">
        <v>0</v>
      </c>
      <c r="H146">
        <v>0</v>
      </c>
      <c r="I146" t="str">
        <f>HYPERLINK("https://store.steampowered.com/app/3010850/Gears_of_War_EDay/","Abrir Steam")</f>
        <v>Abrir Steam</v>
      </c>
      <c r="J146" t="s">
        <v>16</v>
      </c>
      <c r="K146" t="s">
        <v>16</v>
      </c>
      <c r="L146" t="s">
        <v>16</v>
      </c>
      <c r="M146" t="s">
        <v>16</v>
      </c>
    </row>
    <row r="147">
      <c r="A147" t="s">
        <v>16</v>
      </c>
      <c r="B147" t="s">
        <v>16</v>
      </c>
      <c r="C147" t="s">
        <v>17</v>
      </c>
      <c r="D147">
        <v>66261</v>
      </c>
      <c r="E147">
        <v>91881</v>
      </c>
      <c r="F147">
        <v>81261</v>
      </c>
      <c r="G147">
        <v>117016</v>
      </c>
      <c r="H147">
        <v>15000</v>
      </c>
      <c r="I147" t="str">
        <f>HYPERLINK("https://store.steampowered.com/app/3010850/Gears_of_War_EDay/","Abrir Steam")</f>
        <v>Abrir Steam</v>
      </c>
      <c r="J147" t="str">
        <f>HYPERLINK("https://www.kinguin.net/es/category/542407/gears-of-war-e-day-pc-steam-account","Kinguin")</f>
        <v>Kinguin</v>
      </c>
      <c r="K147" t="str">
        <f>HYPERLINK("https://driffle.com/es/gears-of-war-e-day-global-pc-steam-account-p9996357","Driffle")</f>
        <v>Driffle</v>
      </c>
      <c r="L147" t="s">
        <v>16</v>
      </c>
      <c r="M147" t="s">
        <v>16</v>
      </c>
    </row>
    <row r="148">
      <c r="A148" t="s">
        <v>16</v>
      </c>
      <c r="B148" t="s">
        <v>25</v>
      </c>
      <c r="C148" t="s">
        <v>15</v>
      </c>
      <c r="D148">
        <v>0</v>
      </c>
      <c r="E148">
        <v>131266</v>
      </c>
      <c r="F148">
        <v>0</v>
      </c>
      <c r="G148">
        <v>0</v>
      </c>
      <c r="H148">
        <v>0</v>
      </c>
      <c r="I148" t="str">
        <f>HYPERLINK("https://store.steampowered.com/app/3010850/Gears_of_War_EDay/","Abrir Steam")</f>
        <v>Abrir Steam</v>
      </c>
      <c r="J148" t="s">
        <v>16</v>
      </c>
      <c r="K148" t="s">
        <v>16</v>
      </c>
      <c r="L148" t="s">
        <v>16</v>
      </c>
      <c r="M148" t="s">
        <v>16</v>
      </c>
    </row>
    <row r="149">
      <c r="A149" t="s">
        <v>16</v>
      </c>
      <c r="B149" t="s">
        <v>16</v>
      </c>
      <c r="C149" t="s">
        <v>17</v>
      </c>
      <c r="D149">
        <v>106547</v>
      </c>
      <c r="E149">
        <v>131266</v>
      </c>
      <c r="F149">
        <v>121547</v>
      </c>
      <c r="G149">
        <v>175028</v>
      </c>
      <c r="H149">
        <v>15000</v>
      </c>
      <c r="I149" t="str">
        <f>HYPERLINK("https://store.steampowered.com/app/3010850/Gears_of_War_EDay/","Abrir Steam")</f>
        <v>Abrir Steam</v>
      </c>
      <c r="J149" t="str">
        <f>HYPERLINK("https://www.kinguin.net/es/category/542436/gears-of-war-e-day-premium-edition-pc-steam-account","Kinguin")</f>
        <v>Kinguin</v>
      </c>
      <c r="K149" t="str">
        <f>HYPERLINK("https://driffle.com/es/gears-of-war-e-day-premium-edition-global-pc-steam-account-p9996359","Driffle")</f>
        <v>Driffle</v>
      </c>
      <c r="L149" t="s">
        <v>16</v>
      </c>
      <c r="M149" t="s">
        <v>16</v>
      </c>
    </row>
    <row r="150">
      <c r="A150" t="s">
        <v>72</v>
      </c>
      <c r="B150" t="s">
        <v>73</v>
      </c>
      <c r="C150" t="s">
        <v>15</v>
      </c>
      <c r="D150">
        <v>36832</v>
      </c>
      <c r="E150">
        <v>93756</v>
      </c>
      <c r="F150">
        <v>62923</v>
      </c>
      <c r="G150">
        <v>90609</v>
      </c>
      <c r="H150">
        <v>26091</v>
      </c>
      <c r="I150" t="str">
        <f>HYPERLINK("https://store.steampowered.com/app/2215430/Ghost_of_Tsushima_VERSIN_DEL_DIRECTOR/?l=spanish","Abrir Steam")</f>
        <v>Abrir Steam</v>
      </c>
      <c r="J150" t="str">
        <f>HYPERLINK("https://www.kinguin.net/es/category/305975/ghost-of-tsushima-director-s-cut-latam-pc-steam-cd-key","Kinguin")</f>
        <v>Kinguin</v>
      </c>
      <c r="K150" t="str">
        <f>HYPERLINK("https://driffle.com/es/ghost-of-tsushima-directors-cut-latam-pc-steam-digital-key-p9944724","Driffle")</f>
        <v>Driffle</v>
      </c>
      <c r="L150" t="str">
        <f>HYPERLINK("https://www.loaded.com/es_es/ghost-of-tsushima-director-s-cut-pc-steam","Loaded")</f>
        <v>Loaded</v>
      </c>
      <c r="M150" t="str">
        <f>HYPERLINK("https://www.eneba.com/latam/steam-ghost-of-tsushima-directors-cut-pc-steam-key-latam","Eneba")</f>
        <v>Eneba</v>
      </c>
    </row>
    <row r="151">
      <c r="A151" t="s">
        <v>16</v>
      </c>
      <c r="B151" t="s">
        <v>16</v>
      </c>
      <c r="C151" t="s">
        <v>17</v>
      </c>
      <c r="D151">
        <v>0</v>
      </c>
      <c r="E151">
        <v>93756</v>
      </c>
      <c r="F151">
        <v>0</v>
      </c>
      <c r="G151">
        <v>0</v>
      </c>
      <c r="H151">
        <v>0</v>
      </c>
      <c r="I151" t="str">
        <f>HYPERLINK("https://store.steampowered.com/app/2215430/Ghost_of_Tsushima_VERSIN_DEL_DIRECTOR/?l=spanish","Abrir Steam")</f>
        <v>Abrir Steam</v>
      </c>
      <c r="J151" t="s">
        <v>16</v>
      </c>
      <c r="K151" t="s">
        <v>16</v>
      </c>
      <c r="L151" t="s">
        <v>16</v>
      </c>
      <c r="M151" t="s">
        <v>16</v>
      </c>
    </row>
    <row r="152">
      <c r="A152" t="s">
        <v>74</v>
      </c>
      <c r="B152" t="s">
        <v>14</v>
      </c>
      <c r="C152" t="s">
        <v>15</v>
      </c>
      <c r="D152">
        <v>22092</v>
      </c>
      <c r="E152">
        <v>93756</v>
      </c>
      <c r="F152">
        <v>54329</v>
      </c>
      <c r="G152">
        <v>78234</v>
      </c>
      <c r="H152">
        <v>32237</v>
      </c>
      <c r="I152" t="str">
        <f>HYPERLINK("https://store.steampowered.com/app/1593500/God_of_War/","Abrir Steam")</f>
        <v>Abrir Steam</v>
      </c>
      <c r="J152" t="s">
        <v>16</v>
      </c>
      <c r="K152" t="str">
        <f>HYPERLINK("https://driffle.com/es/god-of-war-pc-steam-digital-code-p9878708","Driffle")</f>
        <v>Driffle</v>
      </c>
      <c r="L152" t="s">
        <v>16</v>
      </c>
      <c r="M152" t="str">
        <f>HYPERLINK("https://www.eneba.com/latam/steam-god-of-war-pc-steam-key-latam","Eneba")</f>
        <v>Eneba</v>
      </c>
    </row>
    <row r="153">
      <c r="A153" t="s">
        <v>16</v>
      </c>
      <c r="B153" t="s">
        <v>16</v>
      </c>
      <c r="C153" t="s">
        <v>17</v>
      </c>
      <c r="D153">
        <v>19329</v>
      </c>
      <c r="E153">
        <v>93756</v>
      </c>
      <c r="F153">
        <v>46329</v>
      </c>
      <c r="G153">
        <v>66714</v>
      </c>
      <c r="H153">
        <v>27000</v>
      </c>
      <c r="I153" t="str">
        <f>HYPERLINK("https://store.steampowered.com/app/1593500/God_of_War/","Abrir Steam")</f>
        <v>Abrir Steam</v>
      </c>
      <c r="J153" t="str">
        <f>HYPERLINK("https://www.kinguin.net/es/category/152417/god-of-war-steam-account","Kinguin")</f>
        <v>Kinguin</v>
      </c>
      <c r="K153" t="str">
        <f>HYPERLINK("https://driffle.com/es/god-of-war-global-pc-steam-account-p9971517","Driffle")</f>
        <v>Driffle</v>
      </c>
      <c r="L153" t="s">
        <v>16</v>
      </c>
      <c r="M153" t="s">
        <v>16</v>
      </c>
    </row>
    <row r="154">
      <c r="A154" t="s">
        <v>75</v>
      </c>
      <c r="B154" t="s">
        <v>14</v>
      </c>
      <c r="C154" t="s">
        <v>15</v>
      </c>
      <c r="D154">
        <v>47475</v>
      </c>
      <c r="E154">
        <v>93756</v>
      </c>
      <c r="F154">
        <v>70317</v>
      </c>
      <c r="G154">
        <v>101256</v>
      </c>
      <c r="H154">
        <v>22842</v>
      </c>
      <c r="I154" t="str">
        <f>HYPERLINK("https://store.steampowered.com/app/2322010/God_of_War_Ragnark/?curator_clanid=4777282","Abrir Steam")</f>
        <v>Abrir Steam</v>
      </c>
      <c r="J154" t="str">
        <f>HYPERLINK("https://www.kinguin.net/es/category/273654/god-of-war-ragnaroek-latam-pc-steam-cd-key","Kinguin")</f>
        <v>Kinguin</v>
      </c>
      <c r="K154" t="str">
        <f>HYPERLINK("https://driffle.com/es/god-of-war-ragnarok-latam-pc-steam-digital-key-p9978346","Driffle")</f>
        <v>Driffle</v>
      </c>
      <c r="L154" t="s">
        <v>16</v>
      </c>
      <c r="M154" t="str">
        <f>HYPERLINK("https://www.eneba.com/latam/steam-god-of-war-ragnarok-pc-steam-key-latam","Eneba")</f>
        <v>Eneba</v>
      </c>
    </row>
    <row r="155">
      <c r="A155" t="s">
        <v>16</v>
      </c>
      <c r="B155" t="s">
        <v>16</v>
      </c>
      <c r="C155" t="s">
        <v>17</v>
      </c>
      <c r="D155">
        <v>71377</v>
      </c>
      <c r="E155">
        <v>93756</v>
      </c>
      <c r="F155">
        <v>86377</v>
      </c>
      <c r="G155">
        <v>124383</v>
      </c>
      <c r="H155">
        <v>15000</v>
      </c>
      <c r="I155" t="str">
        <f>HYPERLINK("https://store.steampowered.com/app/2322010/God_of_War_Ragnark/?curator_clanid=4777282","Abrir Steam")</f>
        <v>Abrir Steam</v>
      </c>
      <c r="J155" t="str">
        <f>HYPERLINK("https://www.kinguin.net/es/category/261894/god-of-war-ragnaroek-steam-account","Kinguin")</f>
        <v>Kinguin</v>
      </c>
      <c r="K155" t="str">
        <f>HYPERLINK("https://driffle.com/es/god-of-war-ragnarok-global-pc-steam-account-p9962284","Driffle")</f>
        <v>Driffle</v>
      </c>
      <c r="L155" t="s">
        <v>16</v>
      </c>
      <c r="M155" t="s">
        <v>16</v>
      </c>
    </row>
    <row r="156">
      <c r="A156" t="s">
        <v>16</v>
      </c>
      <c r="B156" t="s">
        <v>44</v>
      </c>
      <c r="C156" t="s">
        <v>15</v>
      </c>
      <c r="D156">
        <v>65471</v>
      </c>
      <c r="E156">
        <v>93756</v>
      </c>
      <c r="F156">
        <v>80471</v>
      </c>
      <c r="G156">
        <v>115878</v>
      </c>
      <c r="H156">
        <v>15000</v>
      </c>
      <c r="I156" t="str">
        <f>HYPERLINK("https://store.steampowered.com/app/2322010/God_of_War_Ragnark/?curator_clanid=4777282","Abrir Steam")</f>
        <v>Abrir Steam</v>
      </c>
      <c r="J156" t="str">
        <f>HYPERLINK("https://www.kinguin.net/es/category/322697/god-of-war-ragnaroek-deluxe-edition-latam-pc-steam-cd-key","Kinguin")</f>
        <v>Kinguin</v>
      </c>
      <c r="K156" t="str">
        <f>HYPERLINK("https://driffle.com/es/god-of-war-ragnarok-deluxe-edition-pc-steam-digital-code-p9910056","Driffle")</f>
        <v>Driffle</v>
      </c>
      <c r="L156" t="s">
        <v>16</v>
      </c>
      <c r="M156" t="str">
        <f>HYPERLINK("https://www.eneba.com/latam/steam-god-of-war-ragnarok-digital-deluxe-edition-pc-steam-key-latam","Eneba")</f>
        <v>Eneba</v>
      </c>
    </row>
    <row r="157">
      <c r="A157" t="s">
        <v>16</v>
      </c>
      <c r="B157" t="s">
        <v>16</v>
      </c>
      <c r="C157" t="s">
        <v>17</v>
      </c>
      <c r="D157">
        <v>0</v>
      </c>
      <c r="E157">
        <v>93756</v>
      </c>
      <c r="F157">
        <v>0</v>
      </c>
      <c r="G157">
        <v>0</v>
      </c>
      <c r="H157">
        <v>0</v>
      </c>
      <c r="I157" t="str">
        <f>HYPERLINK("https://store.steampowered.com/app/2322010/God_of_War_Ragnark/?curator_clanid=4777282","Abrir Steam")</f>
        <v>Abrir Steam</v>
      </c>
      <c r="J157" t="str">
        <f>HYPERLINK("https://www.kinguin.net/es/category/271231/god-of-war-ragnaroek-deluxe-edition-pc-steam-account","Kinguin")</f>
        <v>Kinguin</v>
      </c>
      <c r="K157" t="s">
        <v>16</v>
      </c>
      <c r="L157" t="s">
        <v>16</v>
      </c>
      <c r="M157" t="s">
        <v>16</v>
      </c>
    </row>
    <row r="158">
      <c r="A158" t="s">
        <v>76</v>
      </c>
      <c r="B158" t="s">
        <v>14</v>
      </c>
      <c r="C158" t="s">
        <v>15</v>
      </c>
      <c r="D158">
        <v>41586</v>
      </c>
      <c r="E158">
        <v>63748</v>
      </c>
      <c r="F158">
        <v>71264</v>
      </c>
      <c r="G158">
        <v>102620</v>
      </c>
      <c r="H158">
        <v>29678</v>
      </c>
      <c r="I158" t="str">
        <f>HYPERLINK("https://store.steampowered.com/app/1297900/Gothic_1_Remake/?curator_clanid=4777282","Abrir Steam")</f>
        <v>Abrir Steam</v>
      </c>
      <c r="J158" t="str">
        <f>HYPERLINK("https://www.kinguin.net/es/category/541778/gothic-1-remake-latam-pc-steam-cd-key","Kinguin")</f>
        <v>Kinguin</v>
      </c>
      <c r="K158" t="str">
        <f>HYPERLINK("https://driffle.com/es/gothic-1-remake-global-pc-steam-digital-key-p9932448","Driffle")</f>
        <v>Driffle</v>
      </c>
      <c r="L158" t="str">
        <f>HYPERLINK("https://www.loaded.com/es_es/gothic-1-remake-pc-steam-latam","Loaded")</f>
        <v>Loaded</v>
      </c>
      <c r="M158" t="str">
        <f>HYPERLINK("https://www.eneba.com/latam/steam-gothic-1-remake-steam-key-pc-latam","Eneba")</f>
        <v>Eneba</v>
      </c>
    </row>
    <row r="159">
      <c r="A159" t="s">
        <v>16</v>
      </c>
      <c r="B159" t="s">
        <v>16</v>
      </c>
      <c r="C159" t="s">
        <v>17</v>
      </c>
      <c r="D159">
        <v>46965</v>
      </c>
      <c r="E159">
        <v>63748</v>
      </c>
      <c r="F159">
        <v>61965</v>
      </c>
      <c r="G159">
        <v>89230</v>
      </c>
      <c r="H159">
        <v>15000</v>
      </c>
      <c r="I159" t="str">
        <f>HYPERLINK("https://store.steampowered.com/app/1297900/Gothic_1_Remake/?curator_clanid=4777282","Abrir Steam")</f>
        <v>Abrir Steam</v>
      </c>
      <c r="J159" t="s">
        <v>16</v>
      </c>
      <c r="K159" t="str">
        <f>HYPERLINK("https://driffle.com/es/gothic-1-remake-global-pc-steam-account-p9995855","Driffle")</f>
        <v>Driffle</v>
      </c>
      <c r="L159" t="s">
        <v>16</v>
      </c>
      <c r="M159" t="s">
        <v>16</v>
      </c>
    </row>
    <row r="160">
      <c r="A160" t="s">
        <v>77</v>
      </c>
      <c r="B160" t="s">
        <v>78</v>
      </c>
      <c r="C160" t="s">
        <v>15</v>
      </c>
      <c r="D160">
        <v>0</v>
      </c>
      <c r="E160">
        <v>56246</v>
      </c>
      <c r="F160">
        <v>0</v>
      </c>
      <c r="G160">
        <v>0</v>
      </c>
      <c r="H160">
        <v>0</v>
      </c>
      <c r="I160" t="str">
        <f>HYPERLINK("https://store.steampowered.com/app/3240220/Grand_Theft_Auto_V_Enhanced/","Abrir Steam")</f>
        <v>Abrir Steam</v>
      </c>
      <c r="J160" t="s">
        <v>16</v>
      </c>
      <c r="K160" t="s">
        <v>16</v>
      </c>
      <c r="L160" t="s">
        <v>16</v>
      </c>
      <c r="M160" t="s">
        <v>16</v>
      </c>
    </row>
    <row r="161">
      <c r="A161" t="s">
        <v>16</v>
      </c>
      <c r="B161" t="s">
        <v>16</v>
      </c>
      <c r="C161" t="s">
        <v>17</v>
      </c>
      <c r="D161">
        <v>17750</v>
      </c>
      <c r="E161">
        <v>56246</v>
      </c>
      <c r="F161">
        <v>35036</v>
      </c>
      <c r="G161">
        <v>50452</v>
      </c>
      <c r="H161">
        <v>17286</v>
      </c>
      <c r="I161" t="str">
        <f>HYPERLINK("https://store.steampowered.com/app/3240220/Grand_Theft_Auto_V_Enhanced/","Abrir Steam")</f>
        <v>Abrir Steam</v>
      </c>
      <c r="J161" t="str">
        <f>HYPERLINK("https://www.kinguin.net/es/category/320974/grand-theft-auto-v-enhanced-pc-steam-account","Kinguin")</f>
        <v>Kinguin</v>
      </c>
      <c r="K161" t="str">
        <f>HYPERLINK("https://driffle.com/es/grand-theft-auto-v-enhanced-global-pc-steam-account-p9962285","Driffle")</f>
        <v>Driffle</v>
      </c>
      <c r="L161" t="s">
        <v>16</v>
      </c>
      <c r="M161" t="s">
        <v>16</v>
      </c>
    </row>
    <row r="162">
      <c r="A162" t="s">
        <v>79</v>
      </c>
      <c r="B162" t="s">
        <v>14</v>
      </c>
      <c r="C162" t="s">
        <v>15</v>
      </c>
      <c r="D162">
        <v>0</v>
      </c>
      <c r="E162">
        <v>75001</v>
      </c>
      <c r="F162">
        <v>0</v>
      </c>
      <c r="G162">
        <v>0</v>
      </c>
      <c r="H162">
        <v>0</v>
      </c>
      <c r="I162" t="str">
        <f>HYPERLINK("https://store.steampowered.com/app/2806050/Halo_Campaign_Evolved/","Abrir Steam")</f>
        <v>Abrir Steam</v>
      </c>
      <c r="J162" t="s">
        <v>16</v>
      </c>
      <c r="K162" t="s">
        <v>16</v>
      </c>
      <c r="L162" t="s">
        <v>16</v>
      </c>
      <c r="M162" t="s">
        <v>16</v>
      </c>
    </row>
    <row r="163">
      <c r="A163" t="s">
        <v>16</v>
      </c>
      <c r="B163" t="s">
        <v>16</v>
      </c>
      <c r="C163" t="s">
        <v>17</v>
      </c>
      <c r="D163">
        <v>51308</v>
      </c>
      <c r="E163">
        <v>75001</v>
      </c>
      <c r="F163">
        <v>66308</v>
      </c>
      <c r="G163">
        <v>95484</v>
      </c>
      <c r="H163">
        <v>15000</v>
      </c>
      <c r="I163" t="str">
        <f>HYPERLINK("https://store.steampowered.com/app/2806050/Halo_Campaign_Evolved/","Abrir Steam")</f>
        <v>Abrir Steam</v>
      </c>
      <c r="J163" t="str">
        <f>HYPERLINK("https://www.kinguin.net/es/category/542775/halo-campaign-evolved-pc-steam-account","Kinguin")</f>
        <v>Kinguin</v>
      </c>
      <c r="K163" t="str">
        <f>HYPERLINK("https://driffle.com/es/halo-campaign-evolved-global-pc-steam-account-p9996349","Driffle")</f>
        <v>Driffle</v>
      </c>
      <c r="L163" t="s">
        <v>16</v>
      </c>
      <c r="M163" t="s">
        <v>16</v>
      </c>
    </row>
    <row r="164">
      <c r="A164" t="s">
        <v>16</v>
      </c>
      <c r="B164" t="s">
        <v>25</v>
      </c>
      <c r="C164" t="s">
        <v>15</v>
      </c>
      <c r="D164">
        <v>0</v>
      </c>
      <c r="E164">
        <v>112511</v>
      </c>
      <c r="F164">
        <v>0</v>
      </c>
      <c r="G164">
        <v>0</v>
      </c>
      <c r="H164">
        <v>0</v>
      </c>
      <c r="I164" t="str">
        <f>HYPERLINK("https://store.steampowered.com/app/2806050/Halo_Campaign_Evolved/","Abrir Steam")</f>
        <v>Abrir Steam</v>
      </c>
      <c r="J164" t="s">
        <v>16</v>
      </c>
      <c r="K164" t="s">
        <v>16</v>
      </c>
      <c r="L164" t="s">
        <v>16</v>
      </c>
      <c r="M164" t="s">
        <v>16</v>
      </c>
    </row>
    <row r="165">
      <c r="A165" t="s">
        <v>16</v>
      </c>
      <c r="B165" t="s">
        <v>16</v>
      </c>
      <c r="C165" t="s">
        <v>17</v>
      </c>
      <c r="D165">
        <v>70422</v>
      </c>
      <c r="E165">
        <v>112511</v>
      </c>
      <c r="F165">
        <v>85422</v>
      </c>
      <c r="G165">
        <v>123008</v>
      </c>
      <c r="H165">
        <v>15000</v>
      </c>
      <c r="I165" t="str">
        <f>HYPERLINK("https://store.steampowered.com/app/2806050/Halo_Campaign_Evolved/","Abrir Steam")</f>
        <v>Abrir Steam</v>
      </c>
      <c r="J165" t="str">
        <f>HYPERLINK("https://www.kinguin.net/es/category/542838/halo-campaign-evolved-premium-edition-pc-steam-account","Kinguin")</f>
        <v>Kinguin</v>
      </c>
      <c r="K165" t="str">
        <f>HYPERLINK("https://driffle.com/es/halo-campaign-evolved-premium-edition-global-pc-steam-account-p9996352","Driffle")</f>
        <v>Driffle</v>
      </c>
      <c r="L165" t="s">
        <v>16</v>
      </c>
      <c r="M165" t="s">
        <v>16</v>
      </c>
    </row>
    <row r="166">
      <c r="A166" t="s">
        <v>80</v>
      </c>
      <c r="B166" t="s">
        <v>14</v>
      </c>
      <c r="C166" t="s">
        <v>15</v>
      </c>
      <c r="D166">
        <v>38575</v>
      </c>
      <c r="E166">
        <v>75001</v>
      </c>
      <c r="F166">
        <v>56251</v>
      </c>
      <c r="G166">
        <v>81001</v>
      </c>
      <c r="H166">
        <v>17676</v>
      </c>
      <c r="I166" t="str">
        <f>HYPERLINK("https://store.steampowered.com/app/553850/HELLDIVERS_2/","Abrir Steam")</f>
        <v>Abrir Steam</v>
      </c>
      <c r="J166" t="str">
        <f>HYPERLINK("https://www.kinguin.net/es/category/323104/helldivers-2-latam-pc-steam-cd-key","Kinguin")</f>
        <v>Kinguin</v>
      </c>
      <c r="K166" t="str">
        <f>HYPERLINK("https://driffle.com/es/helldivers-2-latam-pc-steam-digital-key-p9967079","Driffle")</f>
        <v>Driffle</v>
      </c>
      <c r="L166" t="str">
        <f>HYPERLINK("https://www.loaded.com/es_es/helldivers-2-pc-steam","Loaded")</f>
        <v>Loaded</v>
      </c>
      <c r="M166" t="str">
        <f>HYPERLINK("https://www.eneba.com/latam/steam-helldivers-2-pc-steam-key-latam-10","Eneba")</f>
        <v>Eneba</v>
      </c>
    </row>
    <row r="167">
      <c r="A167" t="s">
        <v>16</v>
      </c>
      <c r="B167" t="s">
        <v>16</v>
      </c>
      <c r="C167" t="s">
        <v>17</v>
      </c>
      <c r="D167">
        <v>32752</v>
      </c>
      <c r="E167">
        <v>75001</v>
      </c>
      <c r="F167">
        <v>48351</v>
      </c>
      <c r="G167">
        <v>69625</v>
      </c>
      <c r="H167">
        <v>15599</v>
      </c>
      <c r="I167" t="str">
        <f>HYPERLINK("https://store.steampowered.com/app/553850/HELLDIVERS_2/","Abrir Steam")</f>
        <v>Abrir Steam</v>
      </c>
      <c r="J167" t="str">
        <f>HYPERLINK("https://www.kinguin.net/es/category/208502/helldivers-2-steam-account","Kinguin")</f>
        <v>Kinguin</v>
      </c>
      <c r="K167" t="str">
        <f>HYPERLINK("https://driffle.com/es/helldivers-2-global-pc-steam-account-p9952240","Driffle")</f>
        <v>Driffle</v>
      </c>
      <c r="L167" t="s">
        <v>16</v>
      </c>
      <c r="M167" t="s">
        <v>16</v>
      </c>
    </row>
    <row r="168">
      <c r="A168" t="s">
        <v>16</v>
      </c>
      <c r="B168" t="s">
        <v>81</v>
      </c>
      <c r="C168" t="s">
        <v>15</v>
      </c>
      <c r="D168">
        <v>55897</v>
      </c>
      <c r="E168">
        <v>75001</v>
      </c>
      <c r="F168">
        <v>90897</v>
      </c>
      <c r="G168">
        <v>130892</v>
      </c>
      <c r="H168">
        <v>35000</v>
      </c>
      <c r="I168" t="str">
        <f>HYPERLINK("https://store.steampowered.com/app/553850/HELLDIVERS_2/","Abrir Steam")</f>
        <v>Abrir Steam</v>
      </c>
      <c r="J168" t="str">
        <f>HYPERLINK("https://www.kinguin.net/es/category/322569/helldivers-2-super-citizen-edition-latam-pc-steam-cd-key","Kinguin")</f>
        <v>Kinguin</v>
      </c>
      <c r="K168" t="str">
        <f>HYPERLINK("https://driffle.com/es/helldivers-2-super-citizen-edition-latam-pc-steam-digital-key-p9981990","Driffle")</f>
        <v>Driffle</v>
      </c>
      <c r="L168" t="str">
        <f>HYPERLINK("https://www.loaded.com/es_es/helldivers-2-super-citizen-edition-pc-steam","Loaded")</f>
        <v>Loaded</v>
      </c>
      <c r="M168" t="str">
        <f>HYPERLINK("https://www.eneba.com/latam/steam-helldivers-2-super-citizen-edition-pc-steam-key-latam","Eneba")</f>
        <v>Eneba</v>
      </c>
    </row>
    <row r="169">
      <c r="A169" t="s">
        <v>16</v>
      </c>
      <c r="B169" t="s">
        <v>16</v>
      </c>
      <c r="C169" t="s">
        <v>17</v>
      </c>
      <c r="D169">
        <v>72364</v>
      </c>
      <c r="E169">
        <v>75001</v>
      </c>
      <c r="F169">
        <v>87364</v>
      </c>
      <c r="G169">
        <v>125804</v>
      </c>
      <c r="H169">
        <v>15000</v>
      </c>
      <c r="I169" t="str">
        <f>HYPERLINK("https://store.steampowered.com/app/553850/HELLDIVERS_2/","Abrir Steam")</f>
        <v>Abrir Steam</v>
      </c>
      <c r="J169" t="str">
        <f>HYPERLINK("https://www.kinguin.net/es/category/208514/helldivers-2-super-citizen-edition-pc-steam-account","Kinguin")</f>
        <v>Kinguin</v>
      </c>
      <c r="K169" t="s">
        <v>16</v>
      </c>
      <c r="L169" t="s">
        <v>16</v>
      </c>
      <c r="M169" t="s">
        <v>16</v>
      </c>
    </row>
    <row r="170">
      <c r="A170" t="s">
        <v>82</v>
      </c>
      <c r="B170" t="s">
        <v>14</v>
      </c>
      <c r="C170" t="s">
        <v>15</v>
      </c>
      <c r="D170">
        <v>0</v>
      </c>
      <c r="E170">
        <v>28114</v>
      </c>
      <c r="F170">
        <v>0</v>
      </c>
      <c r="G170">
        <v>0</v>
      </c>
      <c r="H170">
        <v>0</v>
      </c>
      <c r="I170" t="str">
        <f>HYPERLINK("https://store.steampowered.com/app/1659040/HITMAN_World_of_Assassination/?curator_clanid=4777282","Abrir Steam")</f>
        <v>Abrir Steam</v>
      </c>
      <c r="J170" t="s">
        <v>16</v>
      </c>
      <c r="K170" t="str">
        <f>HYPERLINK("https://driffle.com/es/hitman-world-of-assassination-global-pc-steam-digital-key-p9947612","Driffle")</f>
        <v>Driffle</v>
      </c>
      <c r="L170" t="str">
        <f>HYPERLINK("https://www.loaded.com/es_es/hitman-3-pc-steam","Loaded")</f>
        <v>Loaded</v>
      </c>
      <c r="M170" t="s">
        <v>16</v>
      </c>
    </row>
    <row r="171">
      <c r="A171" t="s">
        <v>16</v>
      </c>
      <c r="B171" t="s">
        <v>16</v>
      </c>
      <c r="C171" t="s">
        <v>17</v>
      </c>
      <c r="D171">
        <v>12255</v>
      </c>
      <c r="E171">
        <v>28114</v>
      </c>
      <c r="F171">
        <v>0</v>
      </c>
      <c r="G171">
        <v>0</v>
      </c>
      <c r="H171">
        <v>0</v>
      </c>
      <c r="I171" t="str">
        <f>HYPERLINK("https://store.steampowered.com/app/1659040/HITMAN_World_of_Assassination/?curator_clanid=4777282","Abrir Steam")</f>
        <v>Abrir Steam</v>
      </c>
      <c r="J171" t="s">
        <v>16</v>
      </c>
      <c r="K171" t="str">
        <f>HYPERLINK("https://driffle.com/es/hitman-world-of-assassination-global-pc-steam-account-p9945630","Driffle")</f>
        <v>Driffle</v>
      </c>
      <c r="L171" t="s">
        <v>16</v>
      </c>
      <c r="M171" t="s">
        <v>16</v>
      </c>
    </row>
    <row r="172">
      <c r="A172" t="s">
        <v>16</v>
      </c>
      <c r="B172" t="s">
        <v>44</v>
      </c>
      <c r="C172" t="s">
        <v>15</v>
      </c>
      <c r="D172">
        <v>91890</v>
      </c>
      <c r="E172">
        <v>86254</v>
      </c>
      <c r="F172">
        <v>125152</v>
      </c>
      <c r="G172">
        <v>180219</v>
      </c>
      <c r="H172">
        <v>33262</v>
      </c>
      <c r="I172" t="str">
        <f>HYPERLINK("https://store.steampowered.com/app/1659040/HITMAN_World_of_Assassination/?curator_clanid=4777282","Abrir Steam")</f>
        <v>Abrir Steam</v>
      </c>
      <c r="J172" t="str">
        <f>HYPERLINK("https://www.kinguin.net/es/category/418805/hitman-world-of-assassination-deluxe-edition-pc-steam-cd-key","Kinguin")</f>
        <v>Kinguin</v>
      </c>
      <c r="K172" t="s">
        <v>16</v>
      </c>
      <c r="L172" t="s">
        <v>16</v>
      </c>
      <c r="M172" t="s">
        <v>16</v>
      </c>
    </row>
    <row r="173">
      <c r="A173" t="s">
        <v>16</v>
      </c>
      <c r="B173" t="s">
        <v>16</v>
      </c>
      <c r="C173" t="s">
        <v>17</v>
      </c>
      <c r="D173">
        <v>31897</v>
      </c>
      <c r="E173">
        <v>86254</v>
      </c>
      <c r="F173">
        <v>52398</v>
      </c>
      <c r="G173">
        <v>75453</v>
      </c>
      <c r="H173">
        <v>20501</v>
      </c>
      <c r="I173" t="str">
        <f>HYPERLINK("https://store.steampowered.com/app/1659040/HITMAN_World_of_Assassination/?curator_clanid=4777282","Abrir Steam")</f>
        <v>Abrir Steam</v>
      </c>
      <c r="J173" t="str">
        <f>HYPERLINK("https://www.kinguin.net/es/category/374248/hitman-world-of-assassination-deluxe-edition-pc-steam-account","Kinguin")</f>
        <v>Kinguin</v>
      </c>
      <c r="K173" t="str">
        <f>HYPERLINK("https://driffle.com/es/hitman-world-of-assassination-deluxe-edition-global-pc-steam-account-p9979540","Driffle")</f>
        <v>Driffle</v>
      </c>
      <c r="L173" t="s">
        <v>16</v>
      </c>
      <c r="M173" t="s">
        <v>16</v>
      </c>
    </row>
    <row r="174">
      <c r="A174" t="s">
        <v>83</v>
      </c>
      <c r="B174" t="s">
        <v>14</v>
      </c>
      <c r="C174" t="s">
        <v>15</v>
      </c>
      <c r="D174">
        <v>6958</v>
      </c>
      <c r="E174">
        <v>56265</v>
      </c>
      <c r="F174">
        <v>37246</v>
      </c>
      <c r="G174">
        <v>53634</v>
      </c>
      <c r="H174">
        <v>30288</v>
      </c>
      <c r="I174" t="str">
        <f>HYPERLINK("https://store.steampowered.com/app/990080/Hogwarts_Legacy/?curator_clanid=4777282","Abrir Steam")</f>
        <v>Abrir Steam</v>
      </c>
      <c r="J174" t="str">
        <f>HYPERLINK("https://www.kinguin.net/es/category/149507/hogwarts-legacy-latam-pc-steam-cd-key","Kinguin")</f>
        <v>Kinguin</v>
      </c>
      <c r="K174" t="str">
        <f>HYPERLINK("https://driffle.com/es/hogwarts-legacy-latam-pc-steam-digital-key-p9994172","Driffle")</f>
        <v>Driffle</v>
      </c>
      <c r="L174" t="str">
        <f>HYPERLINK("https://www.loaded.com/es_es/hogwarts-legacy-pc-steam","Loaded")</f>
        <v>Loaded</v>
      </c>
      <c r="M174" t="str">
        <f>HYPERLINK("https://www.eneba.com/latam/steam-hogwarts-legacy-pc-steam-key-latam","Eneba")</f>
        <v>Eneba</v>
      </c>
    </row>
    <row r="175">
      <c r="A175" t="s">
        <v>16</v>
      </c>
      <c r="B175" t="s">
        <v>16</v>
      </c>
      <c r="C175" t="s">
        <v>17</v>
      </c>
      <c r="D175">
        <v>3257</v>
      </c>
      <c r="E175">
        <v>56265</v>
      </c>
      <c r="F175">
        <v>29246</v>
      </c>
      <c r="G175">
        <v>42114</v>
      </c>
      <c r="H175">
        <v>25989</v>
      </c>
      <c r="I175" t="str">
        <f>HYPERLINK("https://store.steampowered.com/app/990080/Hogwarts_Legacy/?curator_clanid=4777282","Abrir Steam")</f>
        <v>Abrir Steam</v>
      </c>
      <c r="J175" t="str">
        <f>HYPERLINK("https://www.kinguin.net/es/category/148232/hogwarts-legacy-pc-steam-account","Kinguin")</f>
        <v>Kinguin</v>
      </c>
      <c r="K175" t="str">
        <f>HYPERLINK("https://driffle.com/es/hogwarts-legacy-global-pc-steam-account-p9971523","Driffle")</f>
        <v>Driffle</v>
      </c>
      <c r="L175" t="s">
        <v>16</v>
      </c>
      <c r="M175" t="s">
        <v>16</v>
      </c>
    </row>
    <row r="176">
      <c r="A176" t="s">
        <v>16</v>
      </c>
      <c r="B176" t="s">
        <v>44</v>
      </c>
      <c r="C176" t="s">
        <v>15</v>
      </c>
      <c r="D176">
        <v>11285</v>
      </c>
      <c r="E176">
        <v>75001</v>
      </c>
      <c r="F176">
        <v>43636</v>
      </c>
      <c r="G176">
        <v>62836</v>
      </c>
      <c r="H176">
        <v>32351</v>
      </c>
      <c r="I176" t="str">
        <f>HYPERLINK("https://store.steampowered.com/app/990080/Hogwarts_Legacy/?curator_clanid=4777282","Abrir Steam")</f>
        <v>Abrir Steam</v>
      </c>
      <c r="J176" t="str">
        <f>HYPERLINK("https://www.kinguin.net/es/category/149506/hogwarts-legacy-deluxe-edition-latam-steam-cd-key","Kinguin")</f>
        <v>Kinguin</v>
      </c>
      <c r="K176" t="str">
        <f>HYPERLINK("https://driffle.com/es/hogwarts-legacy-deluxe-edition-pc-steam-digital-code-p9883456","Driffle")</f>
        <v>Driffle</v>
      </c>
      <c r="L176" t="str">
        <f>HYPERLINK("https://www.loaded.com/es_es/hogwarts-legacy-deluxe-edition-pc-steam-ww","Loaded")</f>
        <v>Loaded</v>
      </c>
      <c r="M176" t="str">
        <f>HYPERLINK("https://www.eneba.com/latam/steam-hogwarts-legacy-deluxe-edition-pc-steam-key-latam","Eneba")</f>
        <v>Eneba</v>
      </c>
    </row>
    <row r="177">
      <c r="A177" t="s">
        <v>16</v>
      </c>
      <c r="B177" t="s">
        <v>16</v>
      </c>
      <c r="C177" t="s">
        <v>17</v>
      </c>
      <c r="D177">
        <v>8636</v>
      </c>
      <c r="E177">
        <v>75001</v>
      </c>
      <c r="F177">
        <v>35636</v>
      </c>
      <c r="G177">
        <v>51316</v>
      </c>
      <c r="H177">
        <v>27000</v>
      </c>
      <c r="I177" t="str">
        <f>HYPERLINK("https://store.steampowered.com/app/990080/Hogwarts_Legacy/?curator_clanid=4777282","Abrir Steam")</f>
        <v>Abrir Steam</v>
      </c>
      <c r="J177" t="str">
        <f>HYPERLINK("https://www.kinguin.net/es/category/148234/hogwarts-legacy-deluxe-edition-steam-account","Kinguin")</f>
        <v>Kinguin</v>
      </c>
      <c r="K177" t="str">
        <f>HYPERLINK("https://driffle.com/es/hogwarts-legacy-deluxe-edition-pc-steam-digital-code-p9962290","Driffle")</f>
        <v>Driffle</v>
      </c>
      <c r="L177" t="s">
        <v>16</v>
      </c>
      <c r="M177" t="s">
        <v>16</v>
      </c>
    </row>
    <row r="178">
      <c r="A178" t="s">
        <v>84</v>
      </c>
      <c r="B178" t="s">
        <v>14</v>
      </c>
      <c r="C178" t="s">
        <v>15</v>
      </c>
      <c r="D178">
        <v>0</v>
      </c>
      <c r="E178">
        <v>70331</v>
      </c>
      <c r="F178">
        <v>0</v>
      </c>
      <c r="G178">
        <v>0</v>
      </c>
      <c r="H178">
        <v>0</v>
      </c>
      <c r="I178" t="str">
        <f>HYPERLINK("https://store.steampowered.com/app/2353060/Invincible_VS/","Abrir Steam")</f>
        <v>Abrir Steam</v>
      </c>
      <c r="J178" t="s">
        <v>16</v>
      </c>
      <c r="K178" t="s">
        <v>16</v>
      </c>
      <c r="L178" t="str">
        <f>HYPERLINK("https://www.loaded.com/es_es/invincible-vs-pc-steam","Loaded")</f>
        <v>Loaded</v>
      </c>
      <c r="M178" t="str">
        <f>HYPERLINK("https://www.eneba.com/latam/steam-invincible-vs-steam-key-pc-global","Eneba")</f>
        <v>Eneba</v>
      </c>
    </row>
    <row r="179">
      <c r="A179" t="s">
        <v>16</v>
      </c>
      <c r="B179" t="s">
        <v>16</v>
      </c>
      <c r="C179" t="s">
        <v>17</v>
      </c>
      <c r="D179">
        <v>20201</v>
      </c>
      <c r="E179">
        <v>70331</v>
      </c>
      <c r="F179">
        <v>41509</v>
      </c>
      <c r="G179">
        <v>59773</v>
      </c>
      <c r="H179">
        <v>21308</v>
      </c>
      <c r="I179" t="str">
        <f>HYPERLINK("https://store.steampowered.com/app/2353060/Invincible_VS/","Abrir Steam")</f>
        <v>Abrir Steam</v>
      </c>
      <c r="J179" t="str">
        <f>HYPERLINK("https://www.kinguin.net/es/category/440606/invincible-vs-pc-steam-account","Kinguin")</f>
        <v>Kinguin</v>
      </c>
      <c r="K179" t="str">
        <f>HYPERLINK("https://driffle.com/es/invincible-vs-global-pc-steam-account-p9994202","Driffle")</f>
        <v>Driffle</v>
      </c>
      <c r="L179" t="s">
        <v>16</v>
      </c>
      <c r="M179" t="s">
        <v>16</v>
      </c>
    </row>
    <row r="180">
      <c r="A180" t="s">
        <v>16</v>
      </c>
      <c r="B180" t="s">
        <v>44</v>
      </c>
      <c r="C180" t="s">
        <v>15</v>
      </c>
      <c r="D180">
        <v>0</v>
      </c>
      <c r="E180">
        <v>105966</v>
      </c>
      <c r="F180">
        <v>0</v>
      </c>
      <c r="G180">
        <v>0</v>
      </c>
      <c r="H180">
        <v>0</v>
      </c>
      <c r="I180" t="str">
        <f>HYPERLINK("https://store.steampowered.com/app/2353060/Invincible_VS/","Abrir Steam")</f>
        <v>Abrir Steam</v>
      </c>
      <c r="J180" t="s">
        <v>16</v>
      </c>
      <c r="K180" t="s">
        <v>16</v>
      </c>
      <c r="L180" t="str">
        <f>HYPERLINK("https://www.loaded.com/es_es/invincible-vs-deluxe-edition-pc-steam","Loaded")</f>
        <v>Loaded</v>
      </c>
      <c r="M180" t="s">
        <v>16</v>
      </c>
    </row>
    <row r="181">
      <c r="A181" t="s">
        <v>16</v>
      </c>
      <c r="B181" t="s">
        <v>16</v>
      </c>
      <c r="C181" t="s">
        <v>17</v>
      </c>
      <c r="D181">
        <v>28705</v>
      </c>
      <c r="E181">
        <v>105966</v>
      </c>
      <c r="F181">
        <v>55705</v>
      </c>
      <c r="G181">
        <v>80215</v>
      </c>
      <c r="H181">
        <v>27000</v>
      </c>
      <c r="I181" t="str">
        <f>HYPERLINK("https://store.steampowered.com/app/2353060/Invincible_VS/","Abrir Steam")</f>
        <v>Abrir Steam</v>
      </c>
      <c r="J181" t="str">
        <f>HYPERLINK("https://www.kinguin.net/es/category/440609/invincible-vs-deluxe-edition-pc-steam-account","Kinguin")</f>
        <v>Kinguin</v>
      </c>
      <c r="K181" t="str">
        <f>HYPERLINK("https://driffle.com/es/invincible-vs-deluxe-edition-global-pc-steam-account-p9994203","Driffle")</f>
        <v>Driffle</v>
      </c>
      <c r="L181" t="s">
        <v>16</v>
      </c>
      <c r="M181" t="s">
        <v>16</v>
      </c>
    </row>
    <row r="182">
      <c r="A182" t="s">
        <v>85</v>
      </c>
      <c r="B182" t="s">
        <v>14</v>
      </c>
      <c r="C182" t="s">
        <v>15</v>
      </c>
      <c r="D182">
        <v>64106</v>
      </c>
      <c r="E182">
        <v>75001</v>
      </c>
      <c r="F182">
        <v>86785</v>
      </c>
      <c r="G182">
        <v>124970</v>
      </c>
      <c r="H182">
        <v>22679</v>
      </c>
      <c r="I182" t="str">
        <f>HYPERLINK("https://store.steampowered.com/app/1426210/It_Takes_Two/?curator_clanid=4777282","Abrir Steam")</f>
        <v>Abrir Steam</v>
      </c>
      <c r="J182" t="str">
        <f>HYPERLINK("https://www.kinguin.net/es/category/106598/it-takes-two-steam-cd-key","Kinguin")</f>
        <v>Kinguin</v>
      </c>
      <c r="K182" t="str">
        <f>HYPERLINK("https://driffle.com/es/it-takes-two-steam-altergift-p53426","Driffle")</f>
        <v>Driffle</v>
      </c>
      <c r="L182" t="s">
        <v>16</v>
      </c>
      <c r="M182" t="str">
        <f>HYPERLINK("https://www.eneba.com/latam/steam-it-takes-two-steam-key-global","Eneba")</f>
        <v>Eneba</v>
      </c>
    </row>
    <row r="183">
      <c r="A183" t="s">
        <v>16</v>
      </c>
      <c r="B183" t="s">
        <v>16</v>
      </c>
      <c r="C183" t="s">
        <v>17</v>
      </c>
      <c r="D183">
        <v>10396</v>
      </c>
      <c r="E183">
        <v>75001</v>
      </c>
      <c r="F183">
        <v>37396</v>
      </c>
      <c r="G183">
        <v>53850</v>
      </c>
      <c r="H183">
        <v>27000</v>
      </c>
      <c r="I183" t="str">
        <f>HYPERLINK("https://store.steampowered.com/app/1426210/It_Takes_Two/?curator_clanid=4777282","Abrir Steam")</f>
        <v>Abrir Steam</v>
      </c>
      <c r="J183" t="str">
        <f>HYPERLINK("https://www.kinguin.net/es/category/152047/it-takes-two-steam-account","Kinguin")</f>
        <v>Kinguin</v>
      </c>
      <c r="K183" t="str">
        <f>HYPERLINK("https://driffle.com/es/it-takes-two-global-pc-steam-account-p9945671","Driffle")</f>
        <v>Driffle</v>
      </c>
      <c r="L183" t="s">
        <v>16</v>
      </c>
      <c r="M183" t="s">
        <v>16</v>
      </c>
    </row>
    <row r="184">
      <c r="A184" t="s">
        <v>86</v>
      </c>
      <c r="B184" t="s">
        <v>14</v>
      </c>
      <c r="C184" t="s">
        <v>15</v>
      </c>
      <c r="D184">
        <v>61210</v>
      </c>
      <c r="E184">
        <v>112511</v>
      </c>
      <c r="F184">
        <v>84383</v>
      </c>
      <c r="G184">
        <v>121512</v>
      </c>
      <c r="H184">
        <v>23173</v>
      </c>
      <c r="I184" t="str">
        <f>HYPERLINK("https://store.steampowered.com/app/2215200/LEGO_Batman_El_Legado_del_Caballero_Oscuro/","Abrir Steam")</f>
        <v>Abrir Steam</v>
      </c>
      <c r="J184" t="str">
        <f>HYPERLINK("https://www.kinguin.net/es/category/471797/lego-batman-legacy-of-the-dark-knight-pc-steam-cd-key","Kinguin")</f>
        <v>Kinguin</v>
      </c>
      <c r="K184" t="str">
        <f>HYPERLINK("https://driffle.com/es/lego-batman-legacy-of-the-dark-knight-global-pc-steam-digital-key-p9980732","Driffle")</f>
        <v>Driffle</v>
      </c>
      <c r="L184" t="str">
        <f>HYPERLINK("https://www.loaded.com/es_es/lego-batman-legacy-of-the-dark-knight-pc-latam-steam","Loaded")</f>
        <v>Loaded</v>
      </c>
      <c r="M184" t="str">
        <f>HYPERLINK("https://www.eneba.com/latam/steam-lego-r-batmantm-legacy-of-the-dark-knight-steam-key-pc-latam","Eneba")</f>
        <v>Eneba</v>
      </c>
    </row>
    <row r="185">
      <c r="A185" t="s">
        <v>16</v>
      </c>
      <c r="B185" t="s">
        <v>16</v>
      </c>
      <c r="C185" t="s">
        <v>17</v>
      </c>
      <c r="D185">
        <v>75752</v>
      </c>
      <c r="E185">
        <v>112511</v>
      </c>
      <c r="F185">
        <v>90752</v>
      </c>
      <c r="G185">
        <v>130683</v>
      </c>
      <c r="H185">
        <v>15000</v>
      </c>
      <c r="I185" t="str">
        <f>HYPERLINK("https://store.steampowered.com/app/2215200/LEGO_Batman_El_Legado_del_Caballero_Oscuro/","Abrir Steam")</f>
        <v>Abrir Steam</v>
      </c>
      <c r="J185" t="str">
        <f>HYPERLINK("https://www.kinguin.net/es/category/439222/lego-batman-legacy-of-the-dark-knight-pc-steam-account","Kinguin")</f>
        <v>Kinguin</v>
      </c>
      <c r="K185" t="s">
        <v>16</v>
      </c>
      <c r="L185" t="s">
        <v>16</v>
      </c>
      <c r="M185" t="s">
        <v>16</v>
      </c>
    </row>
    <row r="186">
      <c r="A186" t="s">
        <v>16</v>
      </c>
      <c r="B186" t="s">
        <v>44</v>
      </c>
      <c r="C186" t="s">
        <v>15</v>
      </c>
      <c r="D186">
        <v>86626</v>
      </c>
      <c r="E186">
        <v>150021</v>
      </c>
      <c r="F186">
        <v>108160</v>
      </c>
      <c r="G186">
        <v>155750</v>
      </c>
      <c r="H186">
        <v>21534</v>
      </c>
      <c r="I186" t="str">
        <f>HYPERLINK("https://store.steampowered.com/app/2215200/LEGO_Batman_El_Legado_del_Caballero_Oscuro/","Abrir Steam")</f>
        <v>Abrir Steam</v>
      </c>
      <c r="J186" t="str">
        <f>HYPERLINK("https://www.kinguin.net/es/category/464787/lego-batman-legacy-of-the-dark-knight-deluxe-edition-pc-steam-cd-key","Kinguin")</f>
        <v>Kinguin</v>
      </c>
      <c r="K186" t="str">
        <f>HYPERLINK("https://driffle.com/es/lego-batman-legacy-of-the-dark-knight-deluxe-edition-global-pc-steam-digital-key-p9980733","Driffle")</f>
        <v>Driffle</v>
      </c>
      <c r="L186" t="str">
        <f>HYPERLINK("https://www.loaded.com/es_es/lego-batman-legacy-of-the-dark-knight-deluxe-edition-pc-latam-steam","Loaded")</f>
        <v>Loaded</v>
      </c>
      <c r="M186" t="str">
        <f>HYPERLINK("https://www.eneba.com/latam/steam-lego-r-batmantm-legacy-of-the-dark-knight-deluxe-edition-steam-key-pc-latam","Eneba")</f>
        <v>Eneba</v>
      </c>
    </row>
    <row r="187">
      <c r="A187" t="s">
        <v>16</v>
      </c>
      <c r="B187" t="s">
        <v>16</v>
      </c>
      <c r="C187" t="s">
        <v>17</v>
      </c>
      <c r="D187">
        <v>67248</v>
      </c>
      <c r="E187">
        <v>150021</v>
      </c>
      <c r="F187">
        <v>91408</v>
      </c>
      <c r="G187">
        <v>131628</v>
      </c>
      <c r="H187">
        <v>24160</v>
      </c>
      <c r="I187" t="str">
        <f>HYPERLINK("https://store.steampowered.com/app/2215200/LEGO_Batman_El_Legado_del_Caballero_Oscuro/","Abrir Steam")</f>
        <v>Abrir Steam</v>
      </c>
      <c r="J187" t="str">
        <f>HYPERLINK("https://www.kinguin.net/es/category/439223/lego-batman-legacy-of-the-dark-knight-deluxe-edition-pc-steam-account","Kinguin")</f>
        <v>Kinguin</v>
      </c>
      <c r="K187" t="s">
        <v>16</v>
      </c>
      <c r="L187" t="s">
        <v>16</v>
      </c>
      <c r="M187" t="s">
        <v>16</v>
      </c>
    </row>
    <row r="188">
      <c r="A188" t="s">
        <v>87</v>
      </c>
      <c r="B188" t="s">
        <v>14</v>
      </c>
      <c r="C188" t="s">
        <v>15</v>
      </c>
      <c r="D188">
        <v>0</v>
      </c>
      <c r="E188">
        <v>112511</v>
      </c>
      <c r="F188">
        <v>0</v>
      </c>
      <c r="G188">
        <v>0</v>
      </c>
      <c r="H188">
        <v>0</v>
      </c>
      <c r="I188" t="str">
        <f>HYPERLINK("https://store.steampowered.com/app/3787240/MARVEL_Tkon_Fighting_Souls/?curator_clanid=4777282","Abrir Steam")</f>
        <v>Abrir Steam</v>
      </c>
      <c r="J188" t="s">
        <v>16</v>
      </c>
      <c r="K188" t="s">
        <v>16</v>
      </c>
      <c r="L188" t="s">
        <v>16</v>
      </c>
      <c r="M188" t="s">
        <v>16</v>
      </c>
    </row>
    <row r="189">
      <c r="A189" t="s">
        <v>16</v>
      </c>
      <c r="B189" t="s">
        <v>16</v>
      </c>
      <c r="C189" t="s">
        <v>17</v>
      </c>
      <c r="D189">
        <v>0</v>
      </c>
      <c r="E189">
        <v>112511</v>
      </c>
      <c r="F189">
        <v>0</v>
      </c>
      <c r="G189">
        <v>0</v>
      </c>
      <c r="H189">
        <v>0</v>
      </c>
      <c r="I189" t="str">
        <f>HYPERLINK("https://store.steampowered.com/app/3787240/MARVEL_Tkon_Fighting_Souls/?curator_clanid=4777282","Abrir Steam")</f>
        <v>Abrir Steam</v>
      </c>
      <c r="J189" t="s">
        <v>16</v>
      </c>
      <c r="K189" t="s">
        <v>16</v>
      </c>
      <c r="L189" t="s">
        <v>16</v>
      </c>
      <c r="M189" t="s">
        <v>16</v>
      </c>
    </row>
    <row r="190">
      <c r="A190" t="s">
        <v>16</v>
      </c>
      <c r="B190" t="s">
        <v>44</v>
      </c>
      <c r="C190" t="s">
        <v>15</v>
      </c>
      <c r="D190">
        <v>146323</v>
      </c>
      <c r="E190">
        <v>159399</v>
      </c>
      <c r="F190">
        <v>161323</v>
      </c>
      <c r="G190">
        <v>232305</v>
      </c>
      <c r="H190">
        <v>15000</v>
      </c>
      <c r="I190" t="str">
        <f>HYPERLINK("https://store.steampowered.com/app/3787240/MARVEL_Tkon_Fighting_Souls/?curator_clanid=4777282","Abrir Steam")</f>
        <v>Abrir Steam</v>
      </c>
      <c r="J190" t="str">
        <f>HYPERLINK("https://www.kinguin.net/es/category/509287/marvel-tokon-fighting-souls-deluxe-edition-pre-order-pc-steam-cd-key","Kinguin")</f>
        <v>Kinguin</v>
      </c>
      <c r="K190" t="s">
        <v>16</v>
      </c>
      <c r="L190" t="s">
        <v>16</v>
      </c>
      <c r="M190" t="s">
        <v>16</v>
      </c>
    </row>
    <row r="191">
      <c r="A191" t="s">
        <v>16</v>
      </c>
      <c r="B191" t="s">
        <v>16</v>
      </c>
      <c r="C191" t="s">
        <v>17</v>
      </c>
      <c r="D191">
        <v>0</v>
      </c>
      <c r="E191">
        <v>159399</v>
      </c>
      <c r="F191">
        <v>0</v>
      </c>
      <c r="G191">
        <v>0</v>
      </c>
      <c r="H191">
        <v>0</v>
      </c>
      <c r="I191" t="str">
        <f>HYPERLINK("https://store.steampowered.com/app/3787240/MARVEL_Tkon_Fighting_Souls/?curator_clanid=4777282","Abrir Steam")</f>
        <v>Abrir Steam</v>
      </c>
      <c r="J191" t="s">
        <v>16</v>
      </c>
      <c r="K191" t="s">
        <v>16</v>
      </c>
      <c r="L191" t="s">
        <v>16</v>
      </c>
      <c r="M191" t="s">
        <v>16</v>
      </c>
    </row>
    <row r="192">
      <c r="A192" t="s">
        <v>16</v>
      </c>
      <c r="B192" t="s">
        <v>42</v>
      </c>
      <c r="C192" t="s">
        <v>15</v>
      </c>
      <c r="D192">
        <v>168316</v>
      </c>
      <c r="E192">
        <v>187531</v>
      </c>
      <c r="F192">
        <v>183316</v>
      </c>
      <c r="G192">
        <v>263975</v>
      </c>
      <c r="H192">
        <v>15000</v>
      </c>
      <c r="I192" t="str">
        <f>HYPERLINK("https://store.steampowered.com/app/3787240/MARVEL_Tkon_Fighting_Souls/?curator_clanid=4777282","Abrir Steam")</f>
        <v>Abrir Steam</v>
      </c>
      <c r="J192" t="str">
        <f>HYPERLINK("https://www.kinguin.net/es/category/509291/marvel-tokon-fighting-souls-ultimate-edition-pre-order-pc-steam-cd-key","Kinguin")</f>
        <v>Kinguin</v>
      </c>
      <c r="K192" t="s">
        <v>16</v>
      </c>
      <c r="L192" t="s">
        <v>16</v>
      </c>
      <c r="M192" t="s">
        <v>16</v>
      </c>
    </row>
    <row r="193">
      <c r="A193" t="s">
        <v>16</v>
      </c>
      <c r="B193" t="s">
        <v>16</v>
      </c>
      <c r="C193" t="s">
        <v>17</v>
      </c>
      <c r="D193">
        <v>0</v>
      </c>
      <c r="E193">
        <v>187531</v>
      </c>
      <c r="F193">
        <v>0</v>
      </c>
      <c r="G193">
        <v>0</v>
      </c>
      <c r="H193">
        <v>0</v>
      </c>
      <c r="I193" t="str">
        <f>HYPERLINK("https://store.steampowered.com/app/3787240/MARVEL_Tkon_Fighting_Souls/?curator_clanid=4777282","Abrir Steam")</f>
        <v>Abrir Steam</v>
      </c>
      <c r="J193" t="s">
        <v>16</v>
      </c>
      <c r="K193" t="s">
        <v>16</v>
      </c>
      <c r="L193" t="s">
        <v>16</v>
      </c>
      <c r="M193" t="s">
        <v>16</v>
      </c>
    </row>
    <row r="194">
      <c r="A194" t="s">
        <v>88</v>
      </c>
      <c r="B194" t="s">
        <v>14</v>
      </c>
      <c r="C194" t="s">
        <v>15</v>
      </c>
      <c r="D194">
        <v>7649</v>
      </c>
      <c r="E194">
        <v>54390</v>
      </c>
      <c r="F194">
        <v>35000</v>
      </c>
      <c r="G194">
        <v>50400</v>
      </c>
      <c r="H194">
        <v>27351</v>
      </c>
      <c r="I194" t="str">
        <f>HYPERLINK("https://store.steampowered.com/app/493840/Marvel_vs_Capcom_Infinite/","Abrir Steam")</f>
        <v>Abrir Steam</v>
      </c>
      <c r="J194" t="str">
        <f>HYPERLINK("https://www.kinguin.net/es/category/40785/marvel-vs-capcom-infinite-steam-cd-key","Kinguin")</f>
        <v>Kinguin</v>
      </c>
      <c r="K194" t="str">
        <f>HYPERLINK("https://driffle.com/es/marvel-vs-capcom-infinite-pc-steam-digital-code-p9903799","Driffle")</f>
        <v>Driffle</v>
      </c>
      <c r="L194" t="s">
        <v>16</v>
      </c>
      <c r="M194" t="str">
        <f>HYPERLINK("https://www.eneba.com/latam/steam-marvel-vs-capcom-infinite-steam-key-latam","Eneba")</f>
        <v>Eneba</v>
      </c>
    </row>
    <row r="195">
      <c r="A195" t="s">
        <v>16</v>
      </c>
      <c r="B195" t="s">
        <v>16</v>
      </c>
      <c r="C195" t="s">
        <v>17</v>
      </c>
      <c r="D195">
        <v>0</v>
      </c>
      <c r="E195">
        <v>54390</v>
      </c>
      <c r="F195">
        <v>0</v>
      </c>
      <c r="G195">
        <v>0</v>
      </c>
      <c r="H195">
        <v>0</v>
      </c>
      <c r="I195" t="str">
        <f>HYPERLINK("https://store.steampowered.com/app/493840/Marvel_vs_Capcom_Infinite/","Abrir Steam")</f>
        <v>Abrir Steam</v>
      </c>
      <c r="J195" t="s">
        <v>16</v>
      </c>
      <c r="K195" t="s">
        <v>16</v>
      </c>
      <c r="L195" t="s">
        <v>16</v>
      </c>
      <c r="M195" t="s">
        <v>16</v>
      </c>
    </row>
    <row r="196">
      <c r="A196" t="s">
        <v>16</v>
      </c>
      <c r="B196" t="s">
        <v>44</v>
      </c>
      <c r="C196" t="s">
        <v>15</v>
      </c>
      <c r="D196">
        <v>12963</v>
      </c>
      <c r="E196">
        <v>84398</v>
      </c>
      <c r="F196">
        <v>39963</v>
      </c>
      <c r="G196">
        <v>57547</v>
      </c>
      <c r="H196">
        <v>27000</v>
      </c>
      <c r="I196" t="str">
        <f>HYPERLINK("https://store.steampowered.com/app/493840/Marvel_vs_Capcom_Infinite/","Abrir Steam")</f>
        <v>Abrir Steam</v>
      </c>
      <c r="J196" t="str">
        <f>HYPERLINK("https://www.kinguin.net/es/category/42036/marvel-vs-capcom-infinite-deluxe-edition-steam-cd-key","Kinguin")</f>
        <v>Kinguin</v>
      </c>
      <c r="K196" t="str">
        <f>HYPERLINK("https://driffle.com/es/marvel-vs-capcom-infinite-deluxe-edition-pc-steam-digital-code-p9879561","Driffle")</f>
        <v>Driffle</v>
      </c>
      <c r="L196" t="str">
        <f>HYPERLINK("https://www.loaded.com/es_es/marvel-vs-capcom-infinite-deluxe-edition-pc-steam-cd-key","Loaded")</f>
        <v>Loaded</v>
      </c>
      <c r="M196" t="str">
        <f>HYPERLINK("https://www.eneba.com/latam/steam-marvel-vs-capcom-infinite-deluxe-edition-pc-steam-key-latam","Eneba")</f>
        <v>Eneba</v>
      </c>
    </row>
    <row r="197">
      <c r="A197" t="s">
        <v>16</v>
      </c>
      <c r="B197" t="s">
        <v>16</v>
      </c>
      <c r="C197" t="s">
        <v>17</v>
      </c>
      <c r="D197">
        <v>0</v>
      </c>
      <c r="E197">
        <v>84398</v>
      </c>
      <c r="F197">
        <v>0</v>
      </c>
      <c r="G197">
        <v>0</v>
      </c>
      <c r="H197">
        <v>0</v>
      </c>
      <c r="I197" t="str">
        <f>HYPERLINK("https://store.steampowered.com/app/493840/Marvel_vs_Capcom_Infinite/","Abrir Steam")</f>
        <v>Abrir Steam</v>
      </c>
      <c r="J197" t="s">
        <v>16</v>
      </c>
      <c r="K197" t="s">
        <v>16</v>
      </c>
      <c r="L197" t="s">
        <v>16</v>
      </c>
      <c r="M197" t="s">
        <v>16</v>
      </c>
    </row>
    <row r="198">
      <c r="A198" t="s">
        <v>89</v>
      </c>
      <c r="B198" t="s">
        <v>14</v>
      </c>
      <c r="C198" t="s">
        <v>15</v>
      </c>
      <c r="D198">
        <v>41503</v>
      </c>
      <c r="E198">
        <v>93756</v>
      </c>
      <c r="F198">
        <v>68551</v>
      </c>
      <c r="G198">
        <v>98713</v>
      </c>
      <c r="H198">
        <v>27048</v>
      </c>
      <c r="I198" t="str">
        <f>HYPERLINK("https://store.steampowered.com/app/2651280/Marvels_SpiderMan_2/","Abrir Steam")</f>
        <v>Abrir Steam</v>
      </c>
      <c r="J198" t="str">
        <f>HYPERLINK("https://www.kinguin.net/es/category/307369/marvel-s-spider-man-2-latam-pc-steam-cd-key","Kinguin")</f>
        <v>Kinguin</v>
      </c>
      <c r="K198" t="str">
        <f>HYPERLINK("https://driffle.com/es/marvels-spider-man-2-latam-pc-steam-digital-key-p9930167","Driffle")</f>
        <v>Driffle</v>
      </c>
      <c r="L198" t="s">
        <v>16</v>
      </c>
      <c r="M198" t="str">
        <f>HYPERLINK("https://www.eneba.com/latam/steam-marvels-spider-man-2-pc-steam-key-latam","Eneba")</f>
        <v>Eneba</v>
      </c>
    </row>
    <row r="199">
      <c r="A199" t="s">
        <v>16</v>
      </c>
      <c r="B199" t="s">
        <v>16</v>
      </c>
      <c r="C199" t="s">
        <v>17</v>
      </c>
      <c r="D199">
        <v>42260</v>
      </c>
      <c r="E199">
        <v>93756</v>
      </c>
      <c r="F199">
        <v>59469</v>
      </c>
      <c r="G199">
        <v>85635</v>
      </c>
      <c r="H199">
        <v>17209</v>
      </c>
      <c r="I199" t="str">
        <f>HYPERLINK("https://store.steampowered.com/app/2651280/Marvels_SpiderMan_2/","Abrir Steam")</f>
        <v>Abrir Steam</v>
      </c>
      <c r="J199" t="str">
        <f>HYPERLINK("https://www.kinguin.net/es/category/296645/marvel-s-spider-man-2-pc-steam-account","Kinguin")</f>
        <v>Kinguin</v>
      </c>
      <c r="K199" t="str">
        <f>HYPERLINK("https://driffle.com/es/marvels-spider-man-2-global-pc-steam-account-p9979525","Driffle")</f>
        <v>Driffle</v>
      </c>
      <c r="L199" t="s">
        <v>16</v>
      </c>
      <c r="M199" t="s">
        <v>16</v>
      </c>
    </row>
    <row r="200">
      <c r="A200" t="s">
        <v>16</v>
      </c>
      <c r="B200" t="s">
        <v>44</v>
      </c>
      <c r="C200" t="s">
        <v>15</v>
      </c>
      <c r="D200">
        <v>48182</v>
      </c>
      <c r="E200">
        <v>93756</v>
      </c>
      <c r="F200">
        <v>67463</v>
      </c>
      <c r="G200">
        <v>97147</v>
      </c>
      <c r="H200">
        <v>19281</v>
      </c>
      <c r="I200" t="str">
        <f>HYPERLINK("https://store.steampowered.com/app/2651280/Marvels_SpiderMan_2/","Abrir Steam")</f>
        <v>Abrir Steam</v>
      </c>
      <c r="J200" t="str">
        <f>HYPERLINK("https://www.kinguin.net/es/category/307365/marvel-s-spider-man-2-deluxe-edition-latam-pc-steam-cd-key","Kinguin")</f>
        <v>Kinguin</v>
      </c>
      <c r="K200" t="str">
        <f>HYPERLINK("https://driffle.com/es/marvels-spider-man-2-deluxe-edition-latam-pc-steam-digital-key-p9930164","Driffle")</f>
        <v>Driffle</v>
      </c>
      <c r="L200" t="s">
        <v>16</v>
      </c>
      <c r="M200" t="str">
        <f>HYPERLINK("https://www.eneba.com/latam/steam-marvels-spider-man-2-digital-deluxe-edition-pc-steam-key-latam","Eneba")</f>
        <v>Eneba</v>
      </c>
    </row>
    <row r="201">
      <c r="A201" t="s">
        <v>16</v>
      </c>
      <c r="B201" t="s">
        <v>16</v>
      </c>
      <c r="C201" t="s">
        <v>17</v>
      </c>
      <c r="D201">
        <v>0</v>
      </c>
      <c r="E201">
        <v>93756</v>
      </c>
      <c r="F201">
        <v>0</v>
      </c>
      <c r="G201">
        <v>0</v>
      </c>
      <c r="H201">
        <v>0</v>
      </c>
      <c r="I201" t="str">
        <f>HYPERLINK("https://store.steampowered.com/app/2651280/Marvels_SpiderMan_2/","Abrir Steam")</f>
        <v>Abrir Steam</v>
      </c>
      <c r="J201" t="s">
        <v>16</v>
      </c>
      <c r="K201" t="s">
        <v>16</v>
      </c>
      <c r="L201" t="s">
        <v>16</v>
      </c>
      <c r="M201" t="s">
        <v>16</v>
      </c>
    </row>
    <row r="202">
      <c r="A202" t="s">
        <v>90</v>
      </c>
      <c r="B202" t="s">
        <v>14</v>
      </c>
      <c r="C202" t="s">
        <v>15</v>
      </c>
      <c r="D202">
        <v>25481</v>
      </c>
      <c r="E202">
        <v>112511</v>
      </c>
      <c r="F202">
        <v>52481</v>
      </c>
      <c r="G202">
        <v>75573</v>
      </c>
      <c r="H202">
        <v>27000</v>
      </c>
      <c r="I202" t="str">
        <f>HYPERLINK("https://store.steampowered.com/app/1817070/Marvels_SpiderMan_Remastered/","Abrir Steam")</f>
        <v>Abrir Steam</v>
      </c>
      <c r="J202" t="str">
        <f>HYPERLINK("https://www.kinguin.net/es/category/322545/marvel-s-spider-man-remastered-latam-pc-steam-cd-key","Kinguin")</f>
        <v>Kinguin</v>
      </c>
      <c r="K202" t="str">
        <f>HYPERLINK("https://driffle.com/es/marvels-spider-man-remastered-latam-pc-steam-digital-key-p9973449","Driffle")</f>
        <v>Driffle</v>
      </c>
      <c r="L202" t="str">
        <f>HYPERLINK("https://www.loaded.com/es_es/marvel-s-spider-man-remastered-pc-steam","Loaded")</f>
        <v>Loaded</v>
      </c>
      <c r="M202" t="str">
        <f>HYPERLINK("https://www.eneba.com/latam/steam-marvels-spider-man-remastered-pc-steam-key-latam","Eneba")</f>
        <v>Eneba</v>
      </c>
    </row>
    <row r="203">
      <c r="A203" t="s">
        <v>16</v>
      </c>
      <c r="B203" t="s">
        <v>16</v>
      </c>
      <c r="C203" t="s">
        <v>17</v>
      </c>
      <c r="D203">
        <v>0</v>
      </c>
      <c r="E203">
        <v>112511</v>
      </c>
      <c r="F203">
        <v>0</v>
      </c>
      <c r="G203">
        <v>0</v>
      </c>
      <c r="H203">
        <v>0</v>
      </c>
      <c r="I203" t="str">
        <f>HYPERLINK("https://store.steampowered.com/app/1817070/Marvels_SpiderMan_Remastered/","Abrir Steam")</f>
        <v>Abrir Steam</v>
      </c>
      <c r="J203" t="str">
        <f>HYPERLINK("https://www.kinguin.net/es/category/155017/marvel-s-spider-man-remastered-steam-account","Kinguin")</f>
        <v>Kinguin</v>
      </c>
      <c r="K203" t="s">
        <v>16</v>
      </c>
      <c r="L203" t="s">
        <v>16</v>
      </c>
      <c r="M203" t="s">
        <v>16</v>
      </c>
    </row>
    <row r="204">
      <c r="A204" t="s">
        <v>91</v>
      </c>
      <c r="B204" t="s">
        <v>14</v>
      </c>
      <c r="C204" t="s">
        <v>15</v>
      </c>
      <c r="D204">
        <v>24280</v>
      </c>
      <c r="E204">
        <v>93756</v>
      </c>
      <c r="F204">
        <v>51280</v>
      </c>
      <c r="G204">
        <v>73843</v>
      </c>
      <c r="H204">
        <v>27000</v>
      </c>
      <c r="I204" t="str">
        <f>HYPERLINK("https://store.steampowered.com/app/1817190/Marvels_SpiderMan_Miles_Morales/","Abrir Steam")</f>
        <v>Abrir Steam</v>
      </c>
      <c r="J204" t="str">
        <f>HYPERLINK("https://www.kinguin.net/es/category/136099/marvel-s-spider-man-miles-morales-pc-steam-cd-key","Kinguin")</f>
        <v>Kinguin</v>
      </c>
      <c r="K204" t="str">
        <f>HYPERLINK("https://driffle.com/es/marvels-spider-man-miles-morales-pc-steam-digital-code-p9882675","Driffle")</f>
        <v>Driffle</v>
      </c>
      <c r="L204" t="str">
        <f>HYPERLINK("https://www.loaded.com/es_es/marvel-s-spider-man-miles-morales-pc-steam","Loaded")</f>
        <v>Loaded</v>
      </c>
      <c r="M204" t="str">
        <f>HYPERLINK("https://www.eneba.com/latam/steam-marvels-spider-man-miles-morales-pc-steam-key-latam","Eneba")</f>
        <v>Eneba</v>
      </c>
    </row>
    <row r="205">
      <c r="A205" t="s">
        <v>16</v>
      </c>
      <c r="B205" t="s">
        <v>16</v>
      </c>
      <c r="C205" t="s">
        <v>17</v>
      </c>
      <c r="D205">
        <v>0</v>
      </c>
      <c r="E205">
        <v>93756</v>
      </c>
      <c r="F205">
        <v>0</v>
      </c>
      <c r="G205">
        <v>0</v>
      </c>
      <c r="H205">
        <v>0</v>
      </c>
      <c r="I205" t="str">
        <f>HYPERLINK("https://store.steampowered.com/app/1817190/Marvels_SpiderMan_Miles_Morales/","Abrir Steam")</f>
        <v>Abrir Steam</v>
      </c>
      <c r="J205" t="str">
        <f>HYPERLINK("https://www.kinguin.net/es/category/184113/marvel-s-spider-man-miles-morales-steam-account","Kinguin")</f>
        <v>Kinguin</v>
      </c>
      <c r="K205" t="s">
        <v>16</v>
      </c>
      <c r="L205" t="s">
        <v>16</v>
      </c>
      <c r="M205" t="s">
        <v>16</v>
      </c>
    </row>
    <row r="206">
      <c r="A206" t="s">
        <v>92</v>
      </c>
      <c r="B206" t="s">
        <v>14</v>
      </c>
      <c r="C206" t="s">
        <v>15</v>
      </c>
      <c r="D206">
        <v>0</v>
      </c>
      <c r="E206">
        <v>131266</v>
      </c>
      <c r="F206">
        <v>0</v>
      </c>
      <c r="G206">
        <v>0</v>
      </c>
      <c r="H206">
        <v>0</v>
      </c>
      <c r="I206" t="str">
        <f>HYPERLINK("https://store.steampowered.com/app/2537590/Microsoft_Flight_Simulator_2024/","Abrir Steam")</f>
        <v>Abrir Steam</v>
      </c>
      <c r="J206" t="s">
        <v>16</v>
      </c>
      <c r="K206" t="s">
        <v>16</v>
      </c>
      <c r="L206" t="str">
        <f>HYPERLINK("https://www.loaded.com/es_es/microsoft-flight-simulator-2024-pc-steam","Loaded")</f>
        <v>Loaded</v>
      </c>
      <c r="M206" t="s">
        <v>16</v>
      </c>
    </row>
    <row r="207">
      <c r="A207" t="s">
        <v>16</v>
      </c>
      <c r="B207" t="s">
        <v>16</v>
      </c>
      <c r="C207" t="s">
        <v>17</v>
      </c>
      <c r="D207">
        <v>60075</v>
      </c>
      <c r="E207">
        <v>131266</v>
      </c>
      <c r="F207">
        <v>81224</v>
      </c>
      <c r="G207">
        <v>116963</v>
      </c>
      <c r="H207">
        <v>21149</v>
      </c>
      <c r="I207" t="str">
        <f>HYPERLINK("https://store.steampowered.com/app/2537590/Microsoft_Flight_Simulator_2024/","Abrir Steam")</f>
        <v>Abrir Steam</v>
      </c>
      <c r="J207" t="str">
        <f>HYPERLINK("https://www.kinguin.net/es/category/274084/microsoft-flight-simulator-2024-pc-steam-account","Kinguin")</f>
        <v>Kinguin</v>
      </c>
      <c r="K207" t="str">
        <f>HYPERLINK("https://driffle.com/es/microsoft-flight-simulator-2024-global-pc-steam-account-p9971540","Driffle")</f>
        <v>Driffle</v>
      </c>
      <c r="L207" t="s">
        <v>16</v>
      </c>
      <c r="M207" t="s">
        <v>16</v>
      </c>
    </row>
    <row r="208">
      <c r="A208" t="s">
        <v>16</v>
      </c>
      <c r="B208" t="s">
        <v>44</v>
      </c>
      <c r="C208" t="s">
        <v>15</v>
      </c>
      <c r="D208">
        <v>0</v>
      </c>
      <c r="E208">
        <v>187531</v>
      </c>
      <c r="F208">
        <v>0</v>
      </c>
      <c r="G208">
        <v>0</v>
      </c>
      <c r="H208">
        <v>0</v>
      </c>
      <c r="I208" t="str">
        <f>HYPERLINK("https://store.steampowered.com/app/2537590/Microsoft_Flight_Simulator_2024/","Abrir Steam")</f>
        <v>Abrir Steam</v>
      </c>
      <c r="J208" t="s">
        <v>16</v>
      </c>
      <c r="K208" t="s">
        <v>16</v>
      </c>
      <c r="L208" t="str">
        <f>HYPERLINK("https://www.loaded.com/es_es/microsoft-flight-simulator-2024-deluxe-edition-pc-steam","Loaded")</f>
        <v>Loaded</v>
      </c>
      <c r="M208" t="s">
        <v>16</v>
      </c>
    </row>
    <row r="209">
      <c r="A209" t="s">
        <v>16</v>
      </c>
      <c r="B209" t="s">
        <v>16</v>
      </c>
      <c r="C209" t="s">
        <v>17</v>
      </c>
      <c r="D209">
        <v>144382</v>
      </c>
      <c r="E209">
        <v>187531</v>
      </c>
      <c r="F209">
        <v>159382</v>
      </c>
      <c r="G209">
        <v>229510</v>
      </c>
      <c r="H209">
        <v>15000</v>
      </c>
      <c r="I209" t="str">
        <f>HYPERLINK("https://store.steampowered.com/app/2537590/Microsoft_Flight_Simulator_2024/","Abrir Steam")</f>
        <v>Abrir Steam</v>
      </c>
      <c r="J209" t="str">
        <f>HYPERLINK("https://www.kinguin.net/es/category/274086/microsoft-flight-simulator-2024-deluxe-edition-pc-steam-account","Kinguin")</f>
        <v>Kinguin</v>
      </c>
      <c r="K209" t="str">
        <f>HYPERLINK("https://driffle.com/es/microsoft-flight-simulator-2024-deluxe-edition-global-pc-steam-account-p9971541","Driffle")</f>
        <v>Driffle</v>
      </c>
      <c r="L209" t="s">
        <v>16</v>
      </c>
      <c r="M209" t="s">
        <v>16</v>
      </c>
    </row>
    <row r="210">
      <c r="A210" t="s">
        <v>16</v>
      </c>
      <c r="B210" t="s">
        <v>93</v>
      </c>
      <c r="C210" t="s">
        <v>15</v>
      </c>
      <c r="D210">
        <v>0</v>
      </c>
      <c r="E210">
        <v>243796</v>
      </c>
      <c r="F210">
        <v>0</v>
      </c>
      <c r="G210">
        <v>0</v>
      </c>
      <c r="H210">
        <v>0</v>
      </c>
      <c r="I210" t="str">
        <f>HYPERLINK("https://store.steampowered.com/app/2537590/Microsoft_Flight_Simulator_2024/","Abrir Steam")</f>
        <v>Abrir Steam</v>
      </c>
      <c r="J210" t="s">
        <v>16</v>
      </c>
      <c r="K210" t="s">
        <v>16</v>
      </c>
      <c r="L210" t="str">
        <f>HYPERLINK("https://www.loaded.com/es_es/microsoft-flight-simulator-2024-premium-deluxe-edition-pc-steam","Loaded")</f>
        <v>Loaded</v>
      </c>
      <c r="M210" t="s">
        <v>16</v>
      </c>
    </row>
    <row r="211">
      <c r="A211" t="s">
        <v>16</v>
      </c>
      <c r="B211" t="s">
        <v>16</v>
      </c>
      <c r="C211" t="s">
        <v>17</v>
      </c>
      <c r="D211">
        <v>185359</v>
      </c>
      <c r="E211">
        <v>187531</v>
      </c>
      <c r="F211">
        <v>200359</v>
      </c>
      <c r="G211">
        <v>288517</v>
      </c>
      <c r="H211">
        <v>15000</v>
      </c>
      <c r="I211" t="str">
        <f>HYPERLINK("https://store.steampowered.com/app/2537590/Microsoft_Flight_Simulator_2024/","Abrir Steam")</f>
        <v>Abrir Steam</v>
      </c>
      <c r="J211" t="str">
        <f>HYPERLINK("https://www.kinguin.net/es/category/274118/microsoft-flight-simulator-2024-premium-deluxe-edition-pc-steam-account","Kinguin")</f>
        <v>Kinguin</v>
      </c>
      <c r="K211" t="str">
        <f>HYPERLINK("https://driffle.com/es/microsoft-flight-simulator-2024-premium-deluxe-edition-global-pc-steam-account-p9971543","Driffle")</f>
        <v>Driffle</v>
      </c>
      <c r="L211" t="s">
        <v>16</v>
      </c>
      <c r="M211" t="s">
        <v>16</v>
      </c>
    </row>
    <row r="212">
      <c r="A212" t="s">
        <v>16</v>
      </c>
      <c r="B212" t="s">
        <v>94</v>
      </c>
      <c r="C212" t="s">
        <v>15</v>
      </c>
      <c r="D212">
        <v>0</v>
      </c>
      <c r="E212">
        <v>375081</v>
      </c>
      <c r="F212">
        <v>0</v>
      </c>
      <c r="G212">
        <v>0</v>
      </c>
      <c r="H212">
        <v>0</v>
      </c>
      <c r="I212" t="str">
        <f>HYPERLINK("https://store.steampowered.com/app/2537590/Microsoft_Flight_Simulator_2024/","Abrir Steam")</f>
        <v>Abrir Steam</v>
      </c>
      <c r="J212" t="s">
        <v>16</v>
      </c>
      <c r="K212" t="s">
        <v>16</v>
      </c>
      <c r="L212" t="str">
        <f>HYPERLINK("https://www.loaded.com/es_es/microsoft-flight-simulator-2024-aviator-edition-pc-steam","Loaded")</f>
        <v>Loaded</v>
      </c>
      <c r="M212" t="s">
        <v>16</v>
      </c>
    </row>
    <row r="213">
      <c r="A213" t="s">
        <v>16</v>
      </c>
      <c r="B213" t="s">
        <v>16</v>
      </c>
      <c r="C213" t="s">
        <v>17</v>
      </c>
      <c r="D213">
        <v>287233</v>
      </c>
      <c r="E213">
        <v>375081</v>
      </c>
      <c r="F213">
        <v>302233</v>
      </c>
      <c r="G213">
        <v>435216</v>
      </c>
      <c r="H213">
        <v>15000</v>
      </c>
      <c r="I213" t="str">
        <f>HYPERLINK("https://store.steampowered.com/app/2537590/Microsoft_Flight_Simulator_2024/","Abrir Steam")</f>
        <v>Abrir Steam</v>
      </c>
      <c r="J213" t="str">
        <f>HYPERLINK("https://www.kinguin.net/es/category/274088/microsoft-flight-simulator-2024-aviator-edition-pc-steam-account","Kinguin")</f>
        <v>Kinguin</v>
      </c>
      <c r="K213" t="s">
        <v>16</v>
      </c>
      <c r="L213" t="s">
        <v>16</v>
      </c>
      <c r="M213" t="s">
        <v>16</v>
      </c>
    </row>
    <row r="214">
      <c r="A214" t="s">
        <v>95</v>
      </c>
      <c r="B214" t="s">
        <v>14</v>
      </c>
      <c r="C214" t="s">
        <v>15</v>
      </c>
      <c r="D214">
        <v>38559</v>
      </c>
      <c r="E214">
        <v>54390</v>
      </c>
      <c r="F214">
        <v>0</v>
      </c>
      <c r="G214">
        <v>0</v>
      </c>
      <c r="H214">
        <v>0</v>
      </c>
      <c r="I214" t="str">
        <f>HYPERLINK("https://store.steampowered.com/app/2246340/Monster_Hunter_Wilds/?curator_clanid=4777282","Abrir Steam")</f>
        <v>Abrir Steam</v>
      </c>
      <c r="J214" t="str">
        <f>HYPERLINK("https://www.kinguin.net/es/category/320762/monster-hunter-wilds-latam-pc-steam-cd-key","Kinguin")</f>
        <v>Kinguin</v>
      </c>
      <c r="K214" t="str">
        <f>HYPERLINK("https://driffle.com/es/monster-hunter-wilds-global-pc-steam-digital-key-p9925652","Driffle")</f>
        <v>Driffle</v>
      </c>
      <c r="L214" t="s">
        <v>16</v>
      </c>
      <c r="M214" t="str">
        <f>HYPERLINK("https://www.eneba.com/latam/steam-monster-hunter-wilds-pc-steam-key-latam","Eneba")</f>
        <v>Eneba</v>
      </c>
    </row>
    <row r="215">
      <c r="A215" t="s">
        <v>16</v>
      </c>
      <c r="B215" t="s">
        <v>16</v>
      </c>
      <c r="C215" t="s">
        <v>17</v>
      </c>
      <c r="D215">
        <v>30071</v>
      </c>
      <c r="E215">
        <v>54390</v>
      </c>
      <c r="F215">
        <v>45071</v>
      </c>
      <c r="G215">
        <v>64902</v>
      </c>
      <c r="H215">
        <v>15000</v>
      </c>
      <c r="I215" t="str">
        <f>HYPERLINK("https://store.steampowered.com/app/2246340/Monster_Hunter_Wilds/?curator_clanid=4777282","Abrir Steam")</f>
        <v>Abrir Steam</v>
      </c>
      <c r="J215" t="str">
        <f>HYPERLINK("https://www.kinguin.net/es/category/273198/monster-hunter-wilds-pc-steam-account","Kinguin")</f>
        <v>Kinguin</v>
      </c>
      <c r="K215" t="str">
        <f>HYPERLINK("https://driffle.com/es/monster-hunter-wilds-global-pc-steam-account-p9979523","Driffle")</f>
        <v>Driffle</v>
      </c>
      <c r="L215" t="s">
        <v>16</v>
      </c>
      <c r="M215" t="s">
        <v>16</v>
      </c>
    </row>
    <row r="216">
      <c r="A216" t="s">
        <v>16</v>
      </c>
      <c r="B216" t="s">
        <v>44</v>
      </c>
      <c r="C216" t="s">
        <v>15</v>
      </c>
      <c r="D216">
        <v>19115</v>
      </c>
      <c r="E216">
        <v>54390</v>
      </c>
      <c r="F216">
        <v>38122</v>
      </c>
      <c r="G216">
        <v>54896</v>
      </c>
      <c r="H216">
        <v>19007</v>
      </c>
      <c r="I216" t="str">
        <f>HYPERLINK("https://store.steampowered.com/app/2246340/Monster_Hunter_Wilds/?curator_clanid=4777282","Abrir Steam")</f>
        <v>Abrir Steam</v>
      </c>
      <c r="J216" t="str">
        <f>HYPERLINK("https://www.kinguin.net/es/category/320759/monster-hunter-wilds-deluxe-edition-latam-pc-steam-cd-key","Kinguin")</f>
        <v>Kinguin</v>
      </c>
      <c r="K216" t="str">
        <f>HYPERLINK("https://driffle.com/es/monster-hunter-wilds-deluxe-edition-global-pc-steam-digital-key-p9925657","Driffle")</f>
        <v>Driffle</v>
      </c>
      <c r="L216" t="s">
        <v>16</v>
      </c>
      <c r="M216" t="str">
        <f>HYPERLINK("https://www.eneba.com/latam/steam-monster-hunter-wilds-deluxe-edition-pc-steam-key-latam","Eneba")</f>
        <v>Eneba</v>
      </c>
    </row>
    <row r="217">
      <c r="A217" t="s">
        <v>16</v>
      </c>
      <c r="B217" t="s">
        <v>16</v>
      </c>
      <c r="C217" t="s">
        <v>17</v>
      </c>
      <c r="D217">
        <v>0</v>
      </c>
      <c r="E217">
        <v>54390</v>
      </c>
      <c r="F217">
        <v>0</v>
      </c>
      <c r="G217">
        <v>0</v>
      </c>
      <c r="H217">
        <v>0</v>
      </c>
      <c r="I217" t="str">
        <f>HYPERLINK("https://store.steampowered.com/app/2246340/Monster_Hunter_Wilds/?curator_clanid=4777282","Abrir Steam")</f>
        <v>Abrir Steam</v>
      </c>
      <c r="J217" t="str">
        <f>HYPERLINK("https://www.kinguin.net/es/category/273383/monster-hunter-wilds-deluxe-edition-pc-steam-account","Kinguin")</f>
        <v>Kinguin</v>
      </c>
      <c r="K217" t="s">
        <v>16</v>
      </c>
      <c r="L217" t="s">
        <v>16</v>
      </c>
      <c r="M217" t="s">
        <v>16</v>
      </c>
    </row>
    <row r="218">
      <c r="A218" t="s">
        <v>16</v>
      </c>
      <c r="B218" t="s">
        <v>93</v>
      </c>
      <c r="C218" t="s">
        <v>15</v>
      </c>
      <c r="D218">
        <v>19115</v>
      </c>
      <c r="E218">
        <v>54390</v>
      </c>
      <c r="F218">
        <v>38122</v>
      </c>
      <c r="G218">
        <v>54896</v>
      </c>
      <c r="H218">
        <v>19007</v>
      </c>
      <c r="I218" t="str">
        <f>HYPERLINK("https://store.steampowered.com/app/2246340/Monster_Hunter_Wilds/?curator_clanid=4777282","Abrir Steam")</f>
        <v>Abrir Steam</v>
      </c>
      <c r="J218" t="str">
        <f>HYPERLINK("https://www.kinguin.net/es/category/330068/monster-hunter-wilds-premium-deluxe-edition-latam-pc-steam-cd-key","Kinguin")</f>
        <v>Kinguin</v>
      </c>
      <c r="K218" t="s">
        <v>16</v>
      </c>
      <c r="L218" t="s">
        <v>16</v>
      </c>
      <c r="M218" t="str">
        <f>HYPERLINK("https://www.eneba.com/latam/steam-monster-hunter-wilds-premium-deluxe-edition-pc-steam-key-latam","Eneba")</f>
        <v>Eneba</v>
      </c>
    </row>
    <row r="219">
      <c r="A219" t="s">
        <v>16</v>
      </c>
      <c r="B219" t="s">
        <v>16</v>
      </c>
      <c r="C219" t="s">
        <v>17</v>
      </c>
      <c r="D219">
        <v>0</v>
      </c>
      <c r="E219">
        <v>54390</v>
      </c>
      <c r="F219">
        <v>0</v>
      </c>
      <c r="G219">
        <v>0</v>
      </c>
      <c r="H219">
        <v>0</v>
      </c>
      <c r="I219" t="str">
        <f>HYPERLINK("https://store.steampowered.com/app/2246340/Monster_Hunter_Wilds/?curator_clanid=4777282","Abrir Steam")</f>
        <v>Abrir Steam</v>
      </c>
      <c r="J219" t="str">
        <f>HYPERLINK("https://www.kinguin.net/es/category/273379/monster-hunter-wilds-premium-deluxe-edition-pc-steam-account","Kinguin")</f>
        <v>Kinguin</v>
      </c>
      <c r="K219" t="s">
        <v>16</v>
      </c>
      <c r="L219" t="s">
        <v>16</v>
      </c>
      <c r="M219" t="s">
        <v>16</v>
      </c>
    </row>
    <row r="220">
      <c r="A220" t="s">
        <v>96</v>
      </c>
      <c r="B220" t="s">
        <v>14</v>
      </c>
      <c r="C220" t="s">
        <v>15</v>
      </c>
      <c r="D220">
        <v>13193</v>
      </c>
      <c r="E220">
        <v>75001</v>
      </c>
      <c r="F220">
        <v>48193</v>
      </c>
      <c r="G220">
        <v>69398</v>
      </c>
      <c r="H220">
        <v>35000</v>
      </c>
      <c r="I220" t="str">
        <f>HYPERLINK("https://store.steampowered.com/app/1971870/Mortal_Kombat_1/?curator_clanid=4777282","Abrir Steam")</f>
        <v>Abrir Steam</v>
      </c>
      <c r="J220" t="str">
        <f>HYPERLINK("https://www.kinguin.net/es/category/275778/mortal-kombat-1-latam-pc-steam-cd-key","Kinguin")</f>
        <v>Kinguin</v>
      </c>
      <c r="K220" t="str">
        <f>HYPERLINK("https://driffle.com/es/mortal-kombat-1-latam-pc-steam-digital-key-p9919803","Driffle")</f>
        <v>Driffle</v>
      </c>
      <c r="L220" t="str">
        <f>HYPERLINK("https://www.loaded.com/es_es/mortal-kombat-11-pc-steam-cd-key","Loaded")</f>
        <v>Loaded</v>
      </c>
      <c r="M220" t="str">
        <f>HYPERLINK("https://www.eneba.com/latam/steam-mortal-kombat-1-pc-steam-key-latam","Eneba")</f>
        <v>Eneba</v>
      </c>
    </row>
    <row r="221">
      <c r="A221" t="s">
        <v>16</v>
      </c>
      <c r="B221" t="s">
        <v>16</v>
      </c>
      <c r="C221" t="s">
        <v>17</v>
      </c>
      <c r="D221">
        <v>33410</v>
      </c>
      <c r="E221">
        <v>75001</v>
      </c>
      <c r="F221">
        <v>48615</v>
      </c>
      <c r="G221">
        <v>70006</v>
      </c>
      <c r="H221">
        <v>15205</v>
      </c>
      <c r="I221" t="str">
        <f>HYPERLINK("https://store.steampowered.com/app/1971870/Mortal_Kombat_1/?curator_clanid=4777282","Abrir Steam")</f>
        <v>Abrir Steam</v>
      </c>
      <c r="J221" t="str">
        <f>HYPERLINK("https://www.kinguin.net/es/category/185707/mortal-kombat-1-steam-account","Kinguin")</f>
        <v>Kinguin</v>
      </c>
      <c r="K221" t="s">
        <v>16</v>
      </c>
      <c r="L221" t="s">
        <v>16</v>
      </c>
      <c r="M221" t="s">
        <v>16</v>
      </c>
    </row>
    <row r="222">
      <c r="A222" t="s">
        <v>16</v>
      </c>
      <c r="B222" t="s">
        <v>97</v>
      </c>
      <c r="C222" t="s">
        <v>15</v>
      </c>
      <c r="D222">
        <v>21401</v>
      </c>
      <c r="E222">
        <v>112511</v>
      </c>
      <c r="F222">
        <v>56401</v>
      </c>
      <c r="G222">
        <v>81217</v>
      </c>
      <c r="H222">
        <v>35000</v>
      </c>
      <c r="I222" t="str">
        <f>HYPERLINK("https://store.steampowered.com/app/1971870/Mortal_Kombat_1/?curator_clanid=4777282","Abrir Steam")</f>
        <v>Abrir Steam</v>
      </c>
      <c r="J222" t="str">
        <f>HYPERLINK("https://www.kinguin.net/es/category/451660/mortal-kombat-1-definitive-edition-latam-pc-steam-cd-key","Kinguin")</f>
        <v>Kinguin</v>
      </c>
      <c r="K222" t="str">
        <f>HYPERLINK("https://driffle.com/es/mortal-kombat-1-definitive-edition-global-pc-steam-digital-key-p9948991","Driffle")</f>
        <v>Driffle</v>
      </c>
      <c r="L222" t="str">
        <f>HYPERLINK("https://www.loaded.com/es_es/mortal-kombat-1-definitive-edition-pc-steam","Loaded")</f>
        <v>Loaded</v>
      </c>
      <c r="M222" t="str">
        <f>HYPERLINK("https://www.eneba.com/latam/steam-mortal-kombat-1-definitive-edition-steam-key-pc-latam","Eneba")</f>
        <v>Eneba</v>
      </c>
    </row>
    <row r="223">
      <c r="A223" t="s">
        <v>16</v>
      </c>
      <c r="B223" t="s">
        <v>16</v>
      </c>
      <c r="C223" t="s">
        <v>17</v>
      </c>
      <c r="D223">
        <v>35812</v>
      </c>
      <c r="E223">
        <v>112511</v>
      </c>
      <c r="F223">
        <v>62812</v>
      </c>
      <c r="G223">
        <v>90449</v>
      </c>
      <c r="H223">
        <v>27000</v>
      </c>
      <c r="I223" t="str">
        <f>HYPERLINK("https://store.steampowered.com/app/1971870/Mortal_Kombat_1/?curator_clanid=4777282","Abrir Steam")</f>
        <v>Abrir Steam</v>
      </c>
      <c r="J223" t="str">
        <f>HYPERLINK("https://www.kinguin.net/es/category/405683/mortal-kombat-1-definitive-edition-pc-steam-account","Kinguin")</f>
        <v>Kinguin</v>
      </c>
      <c r="K223" t="s">
        <v>16</v>
      </c>
      <c r="L223" t="s">
        <v>16</v>
      </c>
      <c r="M223" t="s">
        <v>16</v>
      </c>
    </row>
    <row r="224">
      <c r="A224" t="s">
        <v>98</v>
      </c>
      <c r="B224" t="s">
        <v>14</v>
      </c>
      <c r="C224" t="s">
        <v>15</v>
      </c>
      <c r="D224">
        <v>21550</v>
      </c>
      <c r="E224">
        <v>131266</v>
      </c>
      <c r="F224">
        <v>54265</v>
      </c>
      <c r="G224">
        <v>78142</v>
      </c>
      <c r="H224">
        <v>32715</v>
      </c>
      <c r="I224" t="str">
        <f>HYPERLINK("https://store.steampowered.com/app/3472040/NBA_2K26/","Abrir Steam")</f>
        <v>Abrir Steam</v>
      </c>
      <c r="J224" t="str">
        <f>HYPERLINK("https://www.kinguin.net/es/category/369993/nba-2k26-standard-edition-pc-steam-cd-key","Kinguin")</f>
        <v>Kinguin</v>
      </c>
      <c r="K224" t="str">
        <f>HYPERLINK("https://driffle.com/es/nba-2k26-global-pc-steam-digital-key-p9949948","Driffle")</f>
        <v>Driffle</v>
      </c>
      <c r="L224" t="str">
        <f>HYPERLINK("https://www.loaded.com/es_es/nba-2k26-standard-edition-pc-steam","Loaded")</f>
        <v>Loaded</v>
      </c>
      <c r="M224" t="str">
        <f>HYPERLINK("https://www.eneba.com/latam/steam-nba-2k26-steam-key-pc-global","Eneba")</f>
        <v>Eneba</v>
      </c>
    </row>
    <row r="225">
      <c r="A225" t="s">
        <v>16</v>
      </c>
      <c r="B225" t="s">
        <v>16</v>
      </c>
      <c r="C225" t="s">
        <v>17</v>
      </c>
      <c r="D225">
        <v>17059</v>
      </c>
      <c r="E225">
        <v>131266</v>
      </c>
      <c r="F225">
        <v>44059</v>
      </c>
      <c r="G225">
        <v>63445</v>
      </c>
      <c r="H225">
        <v>27000</v>
      </c>
      <c r="I225" t="str">
        <f>HYPERLINK("https://store.steampowered.com/app/3472040/NBA_2K26/","Abrir Steam")</f>
        <v>Abrir Steam</v>
      </c>
      <c r="J225" t="str">
        <f>HYPERLINK("https://www.kinguin.net/es/category/371701/nba-2k26-standard-edition-pc-steam-account","Kinguin")</f>
        <v>Kinguin</v>
      </c>
      <c r="K225" t="str">
        <f>HYPERLINK("https://driffle.com/es/nba-2k26-global-pc-steam-account-p9979521","Driffle")</f>
        <v>Driffle</v>
      </c>
      <c r="L225" t="s">
        <v>16</v>
      </c>
      <c r="M225" t="s">
        <v>16</v>
      </c>
    </row>
    <row r="226">
      <c r="A226" t="s">
        <v>16</v>
      </c>
      <c r="B226" t="s">
        <v>99</v>
      </c>
      <c r="C226" t="s">
        <v>15</v>
      </c>
      <c r="D226">
        <v>33657</v>
      </c>
      <c r="E226">
        <v>150021</v>
      </c>
      <c r="F226">
        <v>65539</v>
      </c>
      <c r="G226">
        <v>94376</v>
      </c>
      <c r="H226">
        <v>31882</v>
      </c>
      <c r="I226" t="str">
        <f>HYPERLINK("https://store.steampowered.com/app/3472040/NBA_2K26/","Abrir Steam")</f>
        <v>Abrir Steam</v>
      </c>
      <c r="J226" t="str">
        <f>HYPERLINK("https://www.kinguin.net/es/category/410112/nba-2k26-slam-edition-pc-steam-cd-key","Kinguin")</f>
        <v>Kinguin</v>
      </c>
      <c r="K226" t="str">
        <f>HYPERLINK("https://driffle.com/es/nba-2k26-slam-edition-global-pc-steam-digital-key-p9970529","Driffle")</f>
        <v>Driffle</v>
      </c>
      <c r="L226" t="str">
        <f>HYPERLINK("https://www.loaded.com/es_es/nba-2k26-slam-edition-pc-steam","Loaded")</f>
        <v>Loaded</v>
      </c>
      <c r="M226" t="str">
        <f>HYPERLINK("https://www.eneba.com/latam/steam-nba-2k26-slam-edition-steam-key-pc-global","Eneba")</f>
        <v>Eneba</v>
      </c>
    </row>
    <row r="227">
      <c r="A227" t="s">
        <v>16</v>
      </c>
      <c r="B227" t="s">
        <v>16</v>
      </c>
      <c r="C227" t="s">
        <v>17</v>
      </c>
      <c r="D227">
        <v>29988</v>
      </c>
      <c r="E227">
        <v>150021</v>
      </c>
      <c r="F227">
        <v>56988</v>
      </c>
      <c r="G227">
        <v>82063</v>
      </c>
      <c r="H227">
        <v>27000</v>
      </c>
      <c r="I227" t="str">
        <f>HYPERLINK("https://store.steampowered.com/app/3472040/NBA_2K26/","Abrir Steam")</f>
        <v>Abrir Steam</v>
      </c>
      <c r="J227" t="str">
        <f>HYPERLINK("https://www.kinguin.net/es/category/426616/nba-2k26-slam-edition-pc-steam-account","Kinguin")</f>
        <v>Kinguin</v>
      </c>
      <c r="K227" t="str">
        <f>HYPERLINK("https://driffle.com/es/nba-2k26-slam-edition-global-pc-steam-account-p9977089","Driffle")</f>
        <v>Driffle</v>
      </c>
      <c r="L227" t="s">
        <v>16</v>
      </c>
      <c r="M227" t="s">
        <v>16</v>
      </c>
    </row>
    <row r="228">
      <c r="A228" t="s">
        <v>16</v>
      </c>
      <c r="B228" t="s">
        <v>100</v>
      </c>
      <c r="C228" t="s">
        <v>15</v>
      </c>
      <c r="D228">
        <v>45336</v>
      </c>
      <c r="E228">
        <v>187531</v>
      </c>
      <c r="F228">
        <v>73933</v>
      </c>
      <c r="G228">
        <v>106464</v>
      </c>
      <c r="H228">
        <v>28597</v>
      </c>
      <c r="I228" t="str">
        <f>HYPERLINK("https://store.steampowered.com/app/3472040/NBA_2K26/","Abrir Steam")</f>
        <v>Abrir Steam</v>
      </c>
      <c r="J228" t="str">
        <f>HYPERLINK("https://www.kinguin.net/es/category/372374/nba-2k26-superstar-edition-pc-steam-cd-key","Kinguin")</f>
        <v>Kinguin</v>
      </c>
      <c r="K228" t="str">
        <f>HYPERLINK("https://driffle.com/es/nba-2k26-superstar-edition-global-pc-steam-digital-key-p9949949","Driffle")</f>
        <v>Driffle</v>
      </c>
      <c r="L228" t="str">
        <f>HYPERLINK("https://www.loaded.com/es_es/nba-2k26-superstar-edition-pc-steam","Loaded")</f>
        <v>Loaded</v>
      </c>
      <c r="M228" t="str">
        <f>HYPERLINK("https://www.eneba.com/latam/steam-nba-2k26-superstar-edition-steam-key-pc-global","Eneba")</f>
        <v>Eneba</v>
      </c>
    </row>
    <row r="229">
      <c r="A229" t="s">
        <v>16</v>
      </c>
      <c r="B229" t="s">
        <v>16</v>
      </c>
      <c r="C229" t="s">
        <v>17</v>
      </c>
      <c r="D229">
        <v>37276</v>
      </c>
      <c r="E229">
        <v>187531</v>
      </c>
      <c r="F229">
        <v>64276</v>
      </c>
      <c r="G229">
        <v>92557</v>
      </c>
      <c r="H229">
        <v>27000</v>
      </c>
      <c r="I229" t="str">
        <f>HYPERLINK("https://store.steampowered.com/app/3472040/NBA_2K26/","Abrir Steam")</f>
        <v>Abrir Steam</v>
      </c>
      <c r="J229" t="str">
        <f>HYPERLINK("https://www.kinguin.net/es/category/371704/nba-2k26-superstar-edition-pc-steam-account","Kinguin")</f>
        <v>Kinguin</v>
      </c>
      <c r="K229" t="s">
        <v>16</v>
      </c>
      <c r="L229" t="s">
        <v>16</v>
      </c>
      <c r="M229" t="s">
        <v>16</v>
      </c>
    </row>
    <row r="230">
      <c r="A230" t="s">
        <v>101</v>
      </c>
      <c r="B230" t="s">
        <v>102</v>
      </c>
      <c r="C230" t="s">
        <v>15</v>
      </c>
      <c r="D230">
        <v>16532</v>
      </c>
      <c r="E230">
        <v>59997</v>
      </c>
      <c r="F230">
        <v>42703</v>
      </c>
      <c r="G230">
        <v>61492</v>
      </c>
      <c r="H230">
        <v>26171</v>
      </c>
      <c r="I230" t="str">
        <f>HYPERLINK("https://store.steampowered.com/app/524220/NieRAutomata/?curator_clanid=4777282","Abrir Steam")</f>
        <v>Abrir Steam</v>
      </c>
      <c r="J230" t="str">
        <f>HYPERLINK("https://www.kinguin.net/es/category/389320/nier-automata-game-of-the-yorha-edition-latam-pc-steam-cd-key","Kinguin")</f>
        <v>Kinguin</v>
      </c>
      <c r="K230" t="str">
        <f>HYPERLINK("https://driffle.com/es/nier-automata-game-of-the-yorha-edition-pc-steam-digital-code-p221997","Driffle")</f>
        <v>Driffle</v>
      </c>
      <c r="L230" t="str">
        <f>HYPERLINK("https://www.loaded.com/es_es/nier-automata-game-of-the-yorha-edition-steam-pc","Loaded")</f>
        <v>Loaded</v>
      </c>
      <c r="M230" t="str">
        <f>HYPERLINK("https://www.eneba.com/latam/steam-nier-automata-game-of-the-yorha-edition-steam-key-pc-latam","Eneba")</f>
        <v>Eneba</v>
      </c>
    </row>
    <row r="231">
      <c r="A231" t="s">
        <v>16</v>
      </c>
      <c r="B231" t="s">
        <v>16</v>
      </c>
      <c r="C231" t="s">
        <v>17</v>
      </c>
      <c r="D231">
        <v>8735</v>
      </c>
      <c r="E231">
        <v>59997</v>
      </c>
      <c r="F231">
        <v>32893</v>
      </c>
      <c r="G231">
        <v>47366</v>
      </c>
      <c r="H231">
        <v>24158</v>
      </c>
      <c r="I231" t="str">
        <f>HYPERLINK("https://store.steampowered.com/app/524220/NieRAutomata/?curator_clanid=4777282","Abrir Steam")</f>
        <v>Abrir Steam</v>
      </c>
      <c r="J231" t="str">
        <f>HYPERLINK("https://www.kinguin.net/es/category/156126/nier-automata-game-of-the-yorha-edition-steam-account","Kinguin")</f>
        <v>Kinguin</v>
      </c>
      <c r="K231" t="str">
        <f>HYPERLINK("https://driffle.com/es/nier-automata-game-of-the-yorha-edition-global-pc-steam-account-p9979549","Driffle")</f>
        <v>Driffle</v>
      </c>
      <c r="L231" t="s">
        <v>16</v>
      </c>
      <c r="M231" t="s">
        <v>16</v>
      </c>
    </row>
    <row r="232">
      <c r="A232" t="s">
        <v>103</v>
      </c>
      <c r="B232" t="s">
        <v>14</v>
      </c>
      <c r="C232" t="s">
        <v>15</v>
      </c>
      <c r="D232">
        <v>0</v>
      </c>
      <c r="E232">
        <v>56246</v>
      </c>
      <c r="F232">
        <v>0</v>
      </c>
      <c r="G232">
        <v>0</v>
      </c>
      <c r="H232">
        <v>0</v>
      </c>
      <c r="I232" t="str">
        <f>HYPERLINK("https://store.steampowered.com/app/2694490/Path_of_Exile_2/?curator_clanid=4777282","Abrir Steam")</f>
        <v>Abrir Steam</v>
      </c>
      <c r="J232" t="str">
        <f>HYPERLINK("https://www.kinguin.net/es/category/295495/path-of-exile-2-early-access-pc-epic-games-steam-cd-key","Kinguin")</f>
        <v>Kinguin</v>
      </c>
      <c r="K232" t="s">
        <v>16</v>
      </c>
      <c r="L232" t="s">
        <v>16</v>
      </c>
      <c r="M232" t="s">
        <v>16</v>
      </c>
    </row>
    <row r="233">
      <c r="A233" t="s">
        <v>16</v>
      </c>
      <c r="B233" t="s">
        <v>16</v>
      </c>
      <c r="C233" t="s">
        <v>17</v>
      </c>
      <c r="D233">
        <v>16795</v>
      </c>
      <c r="E233">
        <v>56246</v>
      </c>
      <c r="F233">
        <v>34654</v>
      </c>
      <c r="G233">
        <v>49902</v>
      </c>
      <c r="H233">
        <v>17859</v>
      </c>
      <c r="I233" t="str">
        <f>HYPERLINK("https://store.steampowered.com/app/2694490/Path_of_Exile_2/?curator_clanid=4777282","Abrir Steam")</f>
        <v>Abrir Steam</v>
      </c>
      <c r="J233" t="str">
        <f>HYPERLINK("https://www.kinguin.net/es/category/293164/path-of-exile-2-early-access-supporter-pack-pc-steam-account","Kinguin")</f>
        <v>Kinguin</v>
      </c>
      <c r="K233" t="str">
        <f>HYPERLINK("https://driffle.com/es/path-of-exile-2-early-access-supporter-pack-dlc-global-pc-steam-account-p9962318","Driffle")</f>
        <v>Driffle</v>
      </c>
      <c r="L233" t="s">
        <v>16</v>
      </c>
      <c r="M233" t="s">
        <v>16</v>
      </c>
    </row>
    <row r="234">
      <c r="A234" t="s">
        <v>16</v>
      </c>
      <c r="B234" t="s">
        <v>104</v>
      </c>
      <c r="C234" t="s">
        <v>15</v>
      </c>
      <c r="D234">
        <v>0</v>
      </c>
      <c r="E234">
        <v>112511</v>
      </c>
      <c r="F234">
        <v>0</v>
      </c>
      <c r="G234">
        <v>0</v>
      </c>
      <c r="H234">
        <v>0</v>
      </c>
      <c r="I234" t="str">
        <f>HYPERLINK("https://store.steampowered.com/app/2694490/Path_of_Exile_2/?curator_clanid=4777282","Abrir Steam")</f>
        <v>Abrir Steam</v>
      </c>
      <c r="J234" t="s">
        <v>16</v>
      </c>
      <c r="K234" t="s">
        <v>16</v>
      </c>
      <c r="L234" t="s">
        <v>16</v>
      </c>
      <c r="M234" t="s">
        <v>16</v>
      </c>
    </row>
    <row r="235">
      <c r="A235" t="s">
        <v>16</v>
      </c>
      <c r="B235" t="s">
        <v>16</v>
      </c>
      <c r="C235" t="s">
        <v>17</v>
      </c>
      <c r="D235">
        <v>41553</v>
      </c>
      <c r="E235">
        <v>112511</v>
      </c>
      <c r="F235">
        <v>66500</v>
      </c>
      <c r="G235">
        <v>95760</v>
      </c>
      <c r="H235">
        <v>24947</v>
      </c>
      <c r="I235" t="str">
        <f>HYPERLINK("https://store.steampowered.com/app/2694490/Path_of_Exile_2/?curator_clanid=4777282","Abrir Steam")</f>
        <v>Abrir Steam</v>
      </c>
      <c r="J235" t="str">
        <f>HYPERLINK("https://www.kinguin.net/es/category/293181/path-of-exile-2-lord-of-ogham-supporter-pack-pc-steam-account","Kinguin")</f>
        <v>Kinguin</v>
      </c>
      <c r="K235" t="s">
        <v>16</v>
      </c>
      <c r="L235" t="s">
        <v>16</v>
      </c>
      <c r="M235" t="s">
        <v>16</v>
      </c>
    </row>
    <row r="236">
      <c r="A236" t="s">
        <v>16</v>
      </c>
      <c r="B236" t="s">
        <v>105</v>
      </c>
      <c r="C236" t="s">
        <v>15</v>
      </c>
      <c r="D236">
        <v>0</v>
      </c>
      <c r="E236">
        <v>187531</v>
      </c>
      <c r="F236">
        <v>0</v>
      </c>
      <c r="G236">
        <v>0</v>
      </c>
      <c r="H236">
        <v>0</v>
      </c>
      <c r="I236" t="str">
        <f>HYPERLINK("https://store.steampowered.com/app/2694490/Path_of_Exile_2/?curator_clanid=4777282","Abrir Steam")</f>
        <v>Abrir Steam</v>
      </c>
      <c r="J236" t="s">
        <v>16</v>
      </c>
      <c r="K236" t="s">
        <v>16</v>
      </c>
      <c r="L236" t="s">
        <v>16</v>
      </c>
      <c r="M236" t="s">
        <v>16</v>
      </c>
    </row>
    <row r="237">
      <c r="A237" t="s">
        <v>16</v>
      </c>
      <c r="B237" t="s">
        <v>16</v>
      </c>
      <c r="C237" t="s">
        <v>17</v>
      </c>
      <c r="D237">
        <v>84257</v>
      </c>
      <c r="E237">
        <v>187531</v>
      </c>
      <c r="F237">
        <v>111257</v>
      </c>
      <c r="G237">
        <v>160210</v>
      </c>
      <c r="H237">
        <v>27000</v>
      </c>
      <c r="I237" t="str">
        <f>HYPERLINK("https://store.steampowered.com/app/2694490/Path_of_Exile_2/?curator_clanid=4777282","Abrir Steam")</f>
        <v>Abrir Steam</v>
      </c>
      <c r="J237" t="str">
        <f>HYPERLINK("https://www.kinguin.net/es/category/293317/path-of-exile-2-king-of-the-faridun-supporter-pack-pc-steam-account","Kinguin")</f>
        <v>Kinguin</v>
      </c>
      <c r="K237" t="s">
        <v>16</v>
      </c>
      <c r="L237" t="s">
        <v>16</v>
      </c>
      <c r="M237" t="s">
        <v>16</v>
      </c>
    </row>
    <row r="238">
      <c r="A238" t="s">
        <v>106</v>
      </c>
      <c r="B238" t="s">
        <v>14</v>
      </c>
      <c r="C238" t="s">
        <v>15</v>
      </c>
      <c r="D238">
        <v>22717</v>
      </c>
      <c r="E238">
        <v>90005</v>
      </c>
      <c r="F238">
        <v>57717</v>
      </c>
      <c r="G238">
        <v>83112</v>
      </c>
      <c r="H238">
        <v>35000</v>
      </c>
      <c r="I238" t="str">
        <f>HYPERLINK("https://store.steampowered.com/app/2161700/Persona_3_Reload/","Abrir Steam")</f>
        <v>Abrir Steam</v>
      </c>
      <c r="J238" t="str">
        <f>HYPERLINK("https://www.kinguin.net/es/category/213128/persona-3-reload-pc-steam-cd-key","Kinguin")</f>
        <v>Kinguin</v>
      </c>
      <c r="K238" t="str">
        <f>HYPERLINK("https://driffle.com/es/persona-3-reload-pc-steam-digital-code-p9889101","Driffle")</f>
        <v>Driffle</v>
      </c>
      <c r="L238" t="str">
        <f>HYPERLINK("https://www.loaded.com/es_es/persona-3-reload-pc-steam-ww","Loaded")</f>
        <v>Loaded</v>
      </c>
      <c r="M238" t="str">
        <f>HYPERLINK("https://www.eneba.com/latam/steam-persona-3-reload-pc-steam-key-global","Eneba")</f>
        <v>Eneba</v>
      </c>
    </row>
    <row r="239">
      <c r="A239" t="s">
        <v>16</v>
      </c>
      <c r="B239" t="s">
        <v>16</v>
      </c>
      <c r="C239" t="s">
        <v>17</v>
      </c>
      <c r="D239">
        <v>31781</v>
      </c>
      <c r="E239">
        <v>90005</v>
      </c>
      <c r="F239">
        <v>53814</v>
      </c>
      <c r="G239">
        <v>77492</v>
      </c>
      <c r="H239">
        <v>22033</v>
      </c>
      <c r="I239" t="str">
        <f>HYPERLINK("https://store.steampowered.com/app/2161700/Persona_3_Reload/","Abrir Steam")</f>
        <v>Abrir Steam</v>
      </c>
      <c r="J239" t="str">
        <f>HYPERLINK("https://www.kinguin.net/es/category/212612/persona-3-reload-steam-account","Kinguin")</f>
        <v>Kinguin</v>
      </c>
      <c r="K239" t="s">
        <v>16</v>
      </c>
      <c r="L239" t="s">
        <v>16</v>
      </c>
      <c r="M239" t="s">
        <v>16</v>
      </c>
    </row>
    <row r="240">
      <c r="A240" t="s">
        <v>16</v>
      </c>
      <c r="B240" t="s">
        <v>44</v>
      </c>
      <c r="C240" t="s">
        <v>15</v>
      </c>
      <c r="D240">
        <v>46915</v>
      </c>
      <c r="E240">
        <v>105009</v>
      </c>
      <c r="F240">
        <v>78757</v>
      </c>
      <c r="G240">
        <v>113410</v>
      </c>
      <c r="H240">
        <v>31842</v>
      </c>
      <c r="I240" t="str">
        <f>HYPERLINK("https://store.steampowered.com/app/2161700/Persona_3_Reload/","Abrir Steam")</f>
        <v>Abrir Steam</v>
      </c>
      <c r="J240" t="str">
        <f>HYPERLINK("https://www.kinguin.net/es/category/213135/persona-3-reload-deluxe-edition-steam-cd-key","Kinguin")</f>
        <v>Kinguin</v>
      </c>
      <c r="K240" t="str">
        <f>HYPERLINK("https://driffle.com/es/persona-3-reload-deluxe-edition-pc-steam-digital-code-p9889103","Driffle")</f>
        <v>Driffle</v>
      </c>
      <c r="L240" t="str">
        <f>HYPERLINK("https://www.loaded.com/es_es/persona-3-reload-digital-premium-edition-pc-steam-ww","Loaded")</f>
        <v>Loaded</v>
      </c>
      <c r="M240" t="str">
        <f>HYPERLINK("https://www.eneba.com/latam/steam-persona-3-reload-digital-deluxe-edition-pc-steam-key-global","Eneba")</f>
        <v>Eneba</v>
      </c>
    </row>
    <row r="241">
      <c r="A241" t="s">
        <v>16</v>
      </c>
      <c r="B241" t="s">
        <v>16</v>
      </c>
      <c r="C241" t="s">
        <v>17</v>
      </c>
      <c r="D241">
        <v>81477</v>
      </c>
      <c r="E241">
        <v>105009</v>
      </c>
      <c r="F241">
        <v>96477</v>
      </c>
      <c r="G241">
        <v>138927</v>
      </c>
      <c r="H241">
        <v>15000</v>
      </c>
      <c r="I241" t="str">
        <f>HYPERLINK("https://store.steampowered.com/app/2161700/Persona_3_Reload/","Abrir Steam")</f>
        <v>Abrir Steam</v>
      </c>
      <c r="J241" t="str">
        <f>HYPERLINK("https://www.kinguin.net/es/category/212863/persona-3-reload-deluxe-edition-steam-account","Kinguin")</f>
        <v>Kinguin</v>
      </c>
      <c r="K241" t="s">
        <v>16</v>
      </c>
      <c r="L241" t="s">
        <v>16</v>
      </c>
      <c r="M241" t="s">
        <v>16</v>
      </c>
    </row>
    <row r="242">
      <c r="A242" t="s">
        <v>16</v>
      </c>
      <c r="B242" t="s">
        <v>93</v>
      </c>
      <c r="C242" t="s">
        <v>15</v>
      </c>
      <c r="D242">
        <v>0</v>
      </c>
      <c r="E242">
        <v>135017</v>
      </c>
      <c r="F242">
        <v>0</v>
      </c>
      <c r="G242">
        <v>0</v>
      </c>
      <c r="H242">
        <v>0</v>
      </c>
      <c r="I242" t="str">
        <f>HYPERLINK("https://store.steampowered.com/app/2161700/Persona_3_Reload/","Abrir Steam")</f>
        <v>Abrir Steam</v>
      </c>
      <c r="J242" t="str">
        <f>HYPERLINK("https://www.kinguin.net/es/category/213231/persona-3-reload-premium-edition-steam-cd-key","Kinguin")</f>
        <v>Kinguin</v>
      </c>
      <c r="K242" t="str">
        <f>HYPERLINK("https://driffle.com/es/persona-3-reload-premium-edition-pc-steam-digital-code-p9889104","Driffle")</f>
        <v>Driffle</v>
      </c>
      <c r="L242" t="str">
        <f>HYPERLINK("https://www.loaded.com/es_es/persona-3-reload-digital-deluxe-edition-pc-steam-ww","Loaded")</f>
        <v>Loaded</v>
      </c>
      <c r="M242" t="str">
        <f>HYPERLINK("https://www.eneba.com/latam/steam-persona-3-reload-digital-premium-edition-pc-steam-key-global","Eneba")</f>
        <v>Eneba</v>
      </c>
    </row>
    <row r="243">
      <c r="A243" t="s">
        <v>16</v>
      </c>
      <c r="B243" t="s">
        <v>16</v>
      </c>
      <c r="C243" t="s">
        <v>17</v>
      </c>
      <c r="D243">
        <v>106201</v>
      </c>
      <c r="E243">
        <v>135017</v>
      </c>
      <c r="F243">
        <v>121201</v>
      </c>
      <c r="G243">
        <v>174529</v>
      </c>
      <c r="H243">
        <v>15000</v>
      </c>
      <c r="I243" t="str">
        <f>HYPERLINK("https://store.steampowered.com/app/2161700/Persona_3_Reload/","Abrir Steam")</f>
        <v>Abrir Steam</v>
      </c>
      <c r="J243" t="str">
        <f>HYPERLINK("https://www.kinguin.net/es/category/212869/persona-3-reload-premium-edition-steam-account","Kinguin")</f>
        <v>Kinguin</v>
      </c>
      <c r="K243" t="s">
        <v>16</v>
      </c>
      <c r="L243" t="s">
        <v>16</v>
      </c>
      <c r="M243" t="s">
        <v>16</v>
      </c>
    </row>
    <row r="244">
      <c r="A244" t="s">
        <v>107</v>
      </c>
      <c r="B244" t="s">
        <v>14</v>
      </c>
      <c r="C244" t="s">
        <v>15</v>
      </c>
      <c r="D244">
        <v>55256</v>
      </c>
      <c r="E244">
        <v>84398</v>
      </c>
      <c r="F244">
        <v>77488</v>
      </c>
      <c r="G244">
        <v>111583</v>
      </c>
      <c r="H244">
        <v>22232</v>
      </c>
      <c r="I244" t="str">
        <f>HYPERLINK("https://store.steampowered.com/app/3357650/PRAGMATA/","Abrir Steam")</f>
        <v>Abrir Steam</v>
      </c>
      <c r="J244" t="str">
        <f>HYPERLINK("https://www.kinguin.net/es/category/475522/pragmata-latam-pc-steam-cd-key","Kinguin")</f>
        <v>Kinguin</v>
      </c>
      <c r="K244" t="str">
        <f>HYPERLINK("https://driffle.com/es/pragmata-latam-steam-digital-key-p9987965","Driffle")</f>
        <v>Driffle</v>
      </c>
      <c r="L244" t="str">
        <f>HYPERLINK("https://www.loaded.com/es_es/pragmata-pc-steam-latam","Loaded")</f>
        <v>Loaded</v>
      </c>
      <c r="M244" t="str">
        <f>HYPERLINK("https://www.eneba.com/latam/steam-pragmata-steam-key-pc-latam","Eneba")</f>
        <v>Eneba</v>
      </c>
    </row>
    <row r="245">
      <c r="A245" t="s">
        <v>16</v>
      </c>
      <c r="B245" t="s">
        <v>16</v>
      </c>
      <c r="C245" t="s">
        <v>17</v>
      </c>
      <c r="D245">
        <v>52377</v>
      </c>
      <c r="E245">
        <v>84398</v>
      </c>
      <c r="F245">
        <v>67377</v>
      </c>
      <c r="G245">
        <v>97023</v>
      </c>
      <c r="H245">
        <v>15000</v>
      </c>
      <c r="I245" t="str">
        <f>HYPERLINK("https://store.steampowered.com/app/3357650/PRAGMATA/","Abrir Steam")</f>
        <v>Abrir Steam</v>
      </c>
      <c r="J245" t="str">
        <f>HYPERLINK("https://www.kinguin.net/es/category/428363/pragmata-pc-steam-account","Kinguin")</f>
        <v>Kinguin</v>
      </c>
      <c r="K245" t="str">
        <f>HYPERLINK("https://driffle.com/es/pragmata-global-pc-steam-account-p9978287","Driffle")</f>
        <v>Driffle</v>
      </c>
      <c r="L245" t="s">
        <v>16</v>
      </c>
      <c r="M245" t="s">
        <v>16</v>
      </c>
    </row>
    <row r="246">
      <c r="A246" t="s">
        <v>16</v>
      </c>
      <c r="B246" t="s">
        <v>44</v>
      </c>
      <c r="C246" t="s">
        <v>15</v>
      </c>
      <c r="D246">
        <v>67313</v>
      </c>
      <c r="E246">
        <v>99402</v>
      </c>
      <c r="F246">
        <v>102313</v>
      </c>
      <c r="G246">
        <v>147331</v>
      </c>
      <c r="H246">
        <v>35000</v>
      </c>
      <c r="I246" t="str">
        <f>HYPERLINK("https://store.steampowered.com/app/3357650/PRAGMATA/","Abrir Steam")</f>
        <v>Abrir Steam</v>
      </c>
      <c r="J246" t="str">
        <f>HYPERLINK("https://www.kinguin.net/es/category/475524/pragmata-deluxe-edition-latam-pc-steam-cd-key","Kinguin")</f>
        <v>Kinguin</v>
      </c>
      <c r="K246" t="str">
        <f>HYPERLINK("https://driffle.com/es/pragmata-deluxe-edition-latam-pc-steam-digital-key-p9987966","Driffle")</f>
        <v>Driffle</v>
      </c>
      <c r="L246" t="str">
        <f>HYPERLINK("https://www.loaded.com/es_es/pragmata-deluxe-edition-pc-steam-latam","Loaded")</f>
        <v>Loaded</v>
      </c>
      <c r="M246" t="str">
        <f>HYPERLINK("https://www.eneba.com/latam/steam-pragmata-deluxe-edition-steam-key-pc-latam","Eneba")</f>
        <v>Eneba</v>
      </c>
    </row>
    <row r="247">
      <c r="A247" t="s">
        <v>16</v>
      </c>
      <c r="B247" t="s">
        <v>16</v>
      </c>
      <c r="C247" t="s">
        <v>17</v>
      </c>
      <c r="D247">
        <v>79437</v>
      </c>
      <c r="E247">
        <v>99402</v>
      </c>
      <c r="F247">
        <v>94437</v>
      </c>
      <c r="G247">
        <v>135989</v>
      </c>
      <c r="H247">
        <v>15000</v>
      </c>
      <c r="I247" t="str">
        <f>HYPERLINK("https://store.steampowered.com/app/3357650/PRAGMATA/","Abrir Steam")</f>
        <v>Abrir Steam</v>
      </c>
      <c r="J247" t="str">
        <f>HYPERLINK("https://www.kinguin.net/es/category/431201/pragmata-deluxe-edition-pc-steam-account","Kinguin")</f>
        <v>Kinguin</v>
      </c>
      <c r="K247" t="str">
        <f>HYPERLINK("https://driffle.com/es/pragmata-deluxe-edition-global-pc-steam-account-p9978289","Driffle")</f>
        <v>Driffle</v>
      </c>
      <c r="L247" t="s">
        <v>16</v>
      </c>
      <c r="M247" t="s">
        <v>16</v>
      </c>
    </row>
    <row r="248">
      <c r="A248" t="s">
        <v>108</v>
      </c>
      <c r="B248" t="s">
        <v>14</v>
      </c>
      <c r="C248" t="s">
        <v>15</v>
      </c>
      <c r="D248">
        <v>15364</v>
      </c>
      <c r="E248">
        <v>61873</v>
      </c>
      <c r="F248">
        <v>42552</v>
      </c>
      <c r="G248">
        <v>61275</v>
      </c>
      <c r="H248">
        <v>27188</v>
      </c>
      <c r="I248" t="str">
        <f>HYPERLINK("https://store.steampowered.com/app/1144200/Ready_or_Not/","Abrir Steam")</f>
        <v>Abrir Steam</v>
      </c>
      <c r="J248" t="str">
        <f>HYPERLINK("https://www.kinguin.net/es/category/146495/ready-or-not-latam-pc-steam-cd-key","Kinguin")</f>
        <v>Kinguin</v>
      </c>
      <c r="K248" t="str">
        <f>HYPERLINK("https://driffle.com/es/ready-or-not-latam-pc-steam-digital-code-p9895584","Driffle")</f>
        <v>Driffle</v>
      </c>
      <c r="L248" t="str">
        <f>HYPERLINK("https://www.loaded.com/es_es/ready-or-not-pc-steam-latam","Loaded")</f>
        <v>Loaded</v>
      </c>
      <c r="M248" t="str">
        <f>HYPERLINK("https://www.eneba.com/latam/steam-ready-or-not-pc-steam-key-latam","Eneba")</f>
        <v>Eneba</v>
      </c>
    </row>
    <row r="249">
      <c r="A249" t="s">
        <v>16</v>
      </c>
      <c r="B249" t="s">
        <v>16</v>
      </c>
      <c r="C249" t="s">
        <v>17</v>
      </c>
      <c r="D249">
        <v>11054</v>
      </c>
      <c r="E249">
        <v>61873</v>
      </c>
      <c r="F249">
        <v>34552</v>
      </c>
      <c r="G249">
        <v>49755</v>
      </c>
      <c r="H249">
        <v>23498</v>
      </c>
      <c r="I249" t="str">
        <f>HYPERLINK("https://store.steampowered.com/app/1144200/Ready_or_Not/","Abrir Steam")</f>
        <v>Abrir Steam</v>
      </c>
      <c r="J249" t="str">
        <f>HYPERLINK("https://www.kinguin.net/es/category/133263/ready-or-not-pc-steam-account","Kinguin")</f>
        <v>Kinguin</v>
      </c>
      <c r="K249" t="str">
        <f>HYPERLINK("https://driffle.com/es/ready-or-not-global-pc-steam-account-p9943438","Driffle")</f>
        <v>Driffle</v>
      </c>
      <c r="L249" t="s">
        <v>16</v>
      </c>
      <c r="M249" t="s">
        <v>16</v>
      </c>
    </row>
    <row r="250">
      <c r="A250" t="s">
        <v>16</v>
      </c>
      <c r="B250" t="s">
        <v>44</v>
      </c>
      <c r="C250" t="s">
        <v>15</v>
      </c>
      <c r="D250">
        <v>26485</v>
      </c>
      <c r="E250">
        <v>75001</v>
      </c>
      <c r="F250">
        <v>50345</v>
      </c>
      <c r="G250">
        <v>72497</v>
      </c>
      <c r="H250">
        <v>23860</v>
      </c>
      <c r="I250" t="str">
        <f>HYPERLINK("https://store.steampowered.com/app/1144200/Ready_or_Not/","Abrir Steam")</f>
        <v>Abrir Steam</v>
      </c>
      <c r="J250" t="str">
        <f>HYPERLINK("https://www.kinguin.net/es/category/476489/ready-or-not-deluxe-edition-latam-pc-steam-cd-key","Kinguin")</f>
        <v>Kinguin</v>
      </c>
      <c r="K250" t="str">
        <f>HYPERLINK("https://driffle.com/es/ready-or-not-digital-deluxe-edition-latam-pc-steam-digital-key-p9995969","Driffle")</f>
        <v>Driffle</v>
      </c>
      <c r="L250" t="str">
        <f>HYPERLINK("https://www.loaded.com/es_es/ready-or-not-digital-deluxe-edition-pc-steam","Loaded")</f>
        <v>Loaded</v>
      </c>
      <c r="M250" t="str">
        <f>HYPERLINK("https://www.eneba.com/latam/steam-ready-or-not-digital-deluxe-edition-steam-key-pc-latam","Eneba")</f>
        <v>Eneba</v>
      </c>
    </row>
    <row r="251">
      <c r="A251" t="s">
        <v>16</v>
      </c>
      <c r="B251" t="s">
        <v>16</v>
      </c>
      <c r="C251" t="s">
        <v>17</v>
      </c>
      <c r="D251">
        <v>0</v>
      </c>
      <c r="E251">
        <v>75001</v>
      </c>
      <c r="F251">
        <v>0</v>
      </c>
      <c r="G251">
        <v>0</v>
      </c>
      <c r="H251">
        <v>0</v>
      </c>
      <c r="I251" t="str">
        <f>HYPERLINK("https://store.steampowered.com/app/1144200/Ready_or_Not/","Abrir Steam")</f>
        <v>Abrir Steam</v>
      </c>
      <c r="J251" t="str">
        <f>HYPERLINK("https://www.kinguin.net/es/category/505409/ready-or-not-deluxe-edition-pc-steam-account","Kinguin")</f>
        <v>Kinguin</v>
      </c>
      <c r="K251" t="s">
        <v>16</v>
      </c>
      <c r="L251" t="s">
        <v>16</v>
      </c>
      <c r="M251" t="s">
        <v>16</v>
      </c>
    </row>
    <row r="252">
      <c r="A252" t="s">
        <v>109</v>
      </c>
      <c r="B252" t="s">
        <v>14</v>
      </c>
      <c r="C252" t="s">
        <v>15</v>
      </c>
      <c r="D252">
        <v>0</v>
      </c>
      <c r="E252">
        <v>112511</v>
      </c>
      <c r="F252">
        <v>0</v>
      </c>
      <c r="G252">
        <v>0</v>
      </c>
      <c r="H252">
        <v>0</v>
      </c>
      <c r="I252" t="str">
        <f>HYPERLINK("https://store.steampowered.com/app/1174180/Red_Dead_Redemption_2/","Abrir Steam")</f>
        <v>Abrir Steam</v>
      </c>
      <c r="J252" t="str">
        <f>HYPERLINK("https://www.kinguin.net/es/category/250518/red-dead-redemption-2-pc-steam-cd-key","Kinguin")</f>
        <v>Kinguin</v>
      </c>
      <c r="K252" t="s">
        <v>16</v>
      </c>
      <c r="L252" t="s">
        <v>16</v>
      </c>
      <c r="M252" t="s">
        <v>16</v>
      </c>
    </row>
    <row r="253">
      <c r="A253" t="s">
        <v>16</v>
      </c>
      <c r="B253" t="s">
        <v>16</v>
      </c>
      <c r="C253" t="s">
        <v>17</v>
      </c>
      <c r="D253">
        <v>15891</v>
      </c>
      <c r="E253">
        <v>112511</v>
      </c>
      <c r="F253">
        <v>42891</v>
      </c>
      <c r="G253">
        <v>61763</v>
      </c>
      <c r="H253">
        <v>27000</v>
      </c>
      <c r="I253" t="str">
        <f>HYPERLINK("https://store.steampowered.com/app/1174180/Red_Dead_Redemption_2/","Abrir Steam")</f>
        <v>Abrir Steam</v>
      </c>
      <c r="J253" t="str">
        <f>HYPERLINK("https://www.kinguin.net/es/category/133287/red-dead-redemption-2-steam-account","Kinguin")</f>
        <v>Kinguin</v>
      </c>
      <c r="K253" t="s">
        <v>16</v>
      </c>
      <c r="L253" t="s">
        <v>16</v>
      </c>
      <c r="M253" t="s">
        <v>16</v>
      </c>
    </row>
    <row r="254">
      <c r="A254" t="s">
        <v>16</v>
      </c>
      <c r="B254" t="s">
        <v>42</v>
      </c>
      <c r="C254" t="s">
        <v>15</v>
      </c>
      <c r="D254">
        <v>0</v>
      </c>
      <c r="E254">
        <v>187531</v>
      </c>
      <c r="F254">
        <v>0</v>
      </c>
      <c r="G254">
        <v>0</v>
      </c>
      <c r="H254">
        <v>0</v>
      </c>
      <c r="I254" t="str">
        <f>HYPERLINK("https://store.steampowered.com/app/1174180/Red_Dead_Redemption_2/","Abrir Steam")</f>
        <v>Abrir Steam</v>
      </c>
      <c r="J254" t="s">
        <v>16</v>
      </c>
      <c r="K254" t="s">
        <v>16</v>
      </c>
      <c r="L254" t="s">
        <v>16</v>
      </c>
      <c r="M254" t="s">
        <v>16</v>
      </c>
    </row>
    <row r="255">
      <c r="A255" t="s">
        <v>16</v>
      </c>
      <c r="B255" t="s">
        <v>16</v>
      </c>
      <c r="C255" t="s">
        <v>17</v>
      </c>
      <c r="D255">
        <v>20563</v>
      </c>
      <c r="E255">
        <v>187531</v>
      </c>
      <c r="F255">
        <v>47563</v>
      </c>
      <c r="G255">
        <v>68491</v>
      </c>
      <c r="H255">
        <v>27000</v>
      </c>
      <c r="I255" t="str">
        <f>HYPERLINK("https://store.steampowered.com/app/1174180/Red_Dead_Redemption_2/","Abrir Steam")</f>
        <v>Abrir Steam</v>
      </c>
      <c r="J255" t="str">
        <f>HYPERLINK("https://www.kinguin.net/es/category/156115/red-dead-redemption-2-ultimate-edition-steam-account","Kinguin")</f>
        <v>Kinguin</v>
      </c>
      <c r="K255" t="s">
        <v>16</v>
      </c>
      <c r="L255" t="s">
        <v>16</v>
      </c>
      <c r="M255" t="s">
        <v>16</v>
      </c>
    </row>
    <row r="256">
      <c r="A256" t="s">
        <v>110</v>
      </c>
      <c r="B256" t="s">
        <v>14</v>
      </c>
      <c r="C256" t="s">
        <v>15</v>
      </c>
      <c r="D256">
        <v>11647</v>
      </c>
      <c r="E256">
        <v>54390</v>
      </c>
      <c r="F256">
        <v>40391</v>
      </c>
      <c r="G256">
        <v>58163</v>
      </c>
      <c r="H256">
        <v>28744</v>
      </c>
      <c r="I256" t="str">
        <f>HYPERLINK("https://store.steampowered.com/app/883710/Resident_Evil_2/?curator_clanid=4777282","Abrir Steam")</f>
        <v>Abrir Steam</v>
      </c>
      <c r="J256" t="str">
        <f>HYPERLINK("https://www.kinguin.net/es/category/326609/resident-evil-2-biohazard-re-2-latam-pc-steam-cd-key","Kinguin")</f>
        <v>Kinguin</v>
      </c>
      <c r="K256" t="str">
        <f>HYPERLINK("https://driffle.com/es/resident-evil-2-biohazard-re-2-latam-pc-steam-digital-code-p9887138","Driffle")</f>
        <v>Driffle</v>
      </c>
      <c r="L256" t="s">
        <v>16</v>
      </c>
      <c r="M256" t="str">
        <f>HYPERLINK("https://www.eneba.com/latam/steam-resident-evil-2-biohazard-re-2-steam-key-latam","Eneba")</f>
        <v>Eneba</v>
      </c>
    </row>
    <row r="257">
      <c r="A257" t="s">
        <v>16</v>
      </c>
      <c r="B257" t="s">
        <v>16</v>
      </c>
      <c r="C257" t="s">
        <v>17</v>
      </c>
      <c r="D257">
        <v>12946</v>
      </c>
      <c r="E257">
        <v>54390</v>
      </c>
      <c r="F257">
        <v>32391</v>
      </c>
      <c r="G257">
        <v>46643</v>
      </c>
      <c r="H257">
        <v>19445</v>
      </c>
      <c r="I257" t="str">
        <f>HYPERLINK("https://store.steampowered.com/app/883710/Resident_Evil_2/?curator_clanid=4777282","Abrir Steam")</f>
        <v>Abrir Steam</v>
      </c>
      <c r="J257" t="str">
        <f>HYPERLINK("https://www.kinguin.net/es/category/199156/resident-evil-2-steam-account","Kinguin")</f>
        <v>Kinguin</v>
      </c>
      <c r="K257" t="s">
        <v>16</v>
      </c>
      <c r="L257" t="s">
        <v>16</v>
      </c>
      <c r="M257" t="s">
        <v>16</v>
      </c>
    </row>
    <row r="258">
      <c r="A258" t="s">
        <v>16</v>
      </c>
      <c r="B258" t="s">
        <v>44</v>
      </c>
      <c r="C258" t="s">
        <v>15</v>
      </c>
      <c r="D258">
        <v>13407</v>
      </c>
      <c r="E258">
        <v>73145</v>
      </c>
      <c r="F258">
        <v>40407</v>
      </c>
      <c r="G258">
        <v>58186</v>
      </c>
      <c r="H258">
        <v>27000</v>
      </c>
      <c r="I258" t="str">
        <f>HYPERLINK("https://store.steampowered.com/app/883710/Resident_Evil_2/?curator_clanid=4777282","Abrir Steam")</f>
        <v>Abrir Steam</v>
      </c>
      <c r="J258" t="str">
        <f>HYPERLINK("https://www.kinguin.net/es/category/170954/resident-evil-2-biohazard-re-2-deluxe-edition-latam-steam-cd-key","Kinguin")</f>
        <v>Kinguin</v>
      </c>
      <c r="K258" t="str">
        <f>HYPERLINK("https://driffle.com/es/resident-evil-2-biohazard-re2-deluxe-edition-latam-pc-steam-digital-code-p9887140","Driffle")</f>
        <v>Driffle</v>
      </c>
      <c r="L258" t="s">
        <v>16</v>
      </c>
      <c r="M258" t="str">
        <f>HYPERLINK("https://www.eneba.com/latam/steam-resident-evil-2-biohazard-re-2-deluxe-edition-steam-key-latam","Eneba")</f>
        <v>Eneba</v>
      </c>
    </row>
    <row r="259">
      <c r="A259" t="s">
        <v>16</v>
      </c>
      <c r="B259" t="s">
        <v>16</v>
      </c>
      <c r="C259" t="s">
        <v>17</v>
      </c>
      <c r="D259">
        <v>0</v>
      </c>
      <c r="E259">
        <v>73145</v>
      </c>
      <c r="F259">
        <v>0</v>
      </c>
      <c r="G259">
        <v>0</v>
      </c>
      <c r="H259">
        <v>0</v>
      </c>
      <c r="I259" t="str">
        <f>HYPERLINK("https://store.steampowered.com/app/883710/Resident_Evil_2/?curator_clanid=4777282","Abrir Steam")</f>
        <v>Abrir Steam</v>
      </c>
      <c r="J259" t="s">
        <v>16</v>
      </c>
      <c r="K259" t="s">
        <v>16</v>
      </c>
      <c r="L259" t="s">
        <v>16</v>
      </c>
      <c r="M259" t="s">
        <v>16</v>
      </c>
    </row>
    <row r="260">
      <c r="A260" t="s">
        <v>111</v>
      </c>
      <c r="B260" t="s">
        <v>14</v>
      </c>
      <c r="C260" t="s">
        <v>15</v>
      </c>
      <c r="D260">
        <v>10676</v>
      </c>
      <c r="E260">
        <v>54390</v>
      </c>
      <c r="F260">
        <v>38371</v>
      </c>
      <c r="G260">
        <v>55254</v>
      </c>
      <c r="H260">
        <v>27695</v>
      </c>
      <c r="I260" t="str">
        <f>HYPERLINK("https://store.steampowered.com/app/952060/Resident_Evil_3/?curator_clanid=4777282","Abrir Steam")</f>
        <v>Abrir Steam</v>
      </c>
      <c r="J260" t="str">
        <f>HYPERLINK("https://www.kinguin.net/es/category/71701/resident-evil-3-steam-cd-key","Kinguin")</f>
        <v>Kinguin</v>
      </c>
      <c r="K260" t="str">
        <f>HYPERLINK("https://driffle.com/es/resident-evil-3-p9879598","Driffle")</f>
        <v>Driffle</v>
      </c>
      <c r="L260" t="s">
        <v>16</v>
      </c>
      <c r="M260" t="str">
        <f>HYPERLINK("https://www.eneba.com/latam/steam-resident-evil-3-steam-key-latam","Eneba")</f>
        <v>Eneba</v>
      </c>
    </row>
    <row r="261">
      <c r="A261" t="s">
        <v>16</v>
      </c>
      <c r="B261" t="s">
        <v>16</v>
      </c>
      <c r="C261" t="s">
        <v>17</v>
      </c>
      <c r="D261">
        <v>7896</v>
      </c>
      <c r="E261">
        <v>54390</v>
      </c>
      <c r="F261">
        <v>30371</v>
      </c>
      <c r="G261">
        <v>43734</v>
      </c>
      <c r="H261">
        <v>22475</v>
      </c>
      <c r="I261" t="str">
        <f>HYPERLINK("https://store.steampowered.com/app/952060/Resident_Evil_3/?curator_clanid=4777282","Abrir Steam")</f>
        <v>Abrir Steam</v>
      </c>
      <c r="J261" t="str">
        <f>HYPERLINK("https://www.kinguin.net/es/category/165389/resident-evil-3-steam-account","Kinguin")</f>
        <v>Kinguin</v>
      </c>
      <c r="K261" t="str">
        <f>HYPERLINK("https://driffle.com/es/resident-evil-3-global-pc-steam-account-p9997169","Driffle")</f>
        <v>Driffle</v>
      </c>
      <c r="L261" t="s">
        <v>16</v>
      </c>
      <c r="M261" t="s">
        <v>16</v>
      </c>
    </row>
    <row r="262">
      <c r="A262" t="s">
        <v>112</v>
      </c>
      <c r="B262" t="s">
        <v>14</v>
      </c>
      <c r="C262" t="s">
        <v>15</v>
      </c>
      <c r="D262">
        <v>13028</v>
      </c>
      <c r="E262">
        <v>54390</v>
      </c>
      <c r="F262">
        <v>39266</v>
      </c>
      <c r="G262">
        <v>56543</v>
      </c>
      <c r="H262">
        <v>26238</v>
      </c>
      <c r="I262" t="str">
        <f>HYPERLINK("https://store.steampowered.com/app/2050650/Resident_Evil_4/","Abrir Steam")</f>
        <v>Abrir Steam</v>
      </c>
      <c r="J262" t="str">
        <f>HYPERLINK("https://www.kinguin.net/es/category/286215/resident-evil-4-2023-latam-pc-steam-cd-key","Kinguin")</f>
        <v>Kinguin</v>
      </c>
      <c r="K262" t="str">
        <f>HYPERLINK("https://driffle.com/es/resident-evil-4-remake-pc-steam-digital-code-p9883809","Driffle")</f>
        <v>Driffle</v>
      </c>
      <c r="L262" t="s">
        <v>16</v>
      </c>
      <c r="M262" t="str">
        <f>HYPERLINK("https://www.eneba.com/latam/steam-resident-evil-4-pc-steam-key-latam","Eneba")</f>
        <v>Eneba</v>
      </c>
    </row>
    <row r="263">
      <c r="A263" t="s">
        <v>16</v>
      </c>
      <c r="B263" t="s">
        <v>16</v>
      </c>
      <c r="C263" t="s">
        <v>17</v>
      </c>
      <c r="D263">
        <v>10133</v>
      </c>
      <c r="E263">
        <v>54390</v>
      </c>
      <c r="F263">
        <v>31266</v>
      </c>
      <c r="G263">
        <v>45023</v>
      </c>
      <c r="H263">
        <v>21133</v>
      </c>
      <c r="I263" t="str">
        <f>HYPERLINK("https://store.steampowered.com/app/2050650/Resident_Evil_4/","Abrir Steam")</f>
        <v>Abrir Steam</v>
      </c>
      <c r="J263" t="str">
        <f>HYPERLINK("https://www.kinguin.net/es/category/151130/resident-evil-4-2023-pc-steam-account","Kinguin")</f>
        <v>Kinguin</v>
      </c>
      <c r="K263" t="s">
        <v>16</v>
      </c>
      <c r="L263" t="s">
        <v>16</v>
      </c>
      <c r="M263" t="s">
        <v>16</v>
      </c>
    </row>
    <row r="264">
      <c r="A264" t="s">
        <v>16</v>
      </c>
      <c r="B264" t="s">
        <v>47</v>
      </c>
      <c r="C264" t="s">
        <v>15</v>
      </c>
      <c r="D264">
        <v>24659</v>
      </c>
      <c r="E264">
        <v>73145</v>
      </c>
      <c r="F264">
        <v>51410</v>
      </c>
      <c r="G264">
        <v>74030</v>
      </c>
      <c r="H264">
        <v>26751</v>
      </c>
      <c r="I264" t="str">
        <f>HYPERLINK("https://store.steampowered.com/app/2050650/Resident_Evil_4/","Abrir Steam")</f>
        <v>Abrir Steam</v>
      </c>
      <c r="J264" t="str">
        <f>HYPERLINK("https://www.kinguin.net/es/category/325062/resident-evil-4-2023-gold-edition-latam-pc-steam-cd-key","Kinguin")</f>
        <v>Kinguin</v>
      </c>
      <c r="K264" t="s">
        <v>16</v>
      </c>
      <c r="L264" t="s">
        <v>16</v>
      </c>
      <c r="M264" t="str">
        <f>HYPERLINK("https://www.eneba.com/latam/steam-resident-evil-4-gold-edition-pc-steam-key-latam","Eneba")</f>
        <v>Eneba</v>
      </c>
    </row>
    <row r="265">
      <c r="A265" t="s">
        <v>16</v>
      </c>
      <c r="B265" t="s">
        <v>16</v>
      </c>
      <c r="C265" t="s">
        <v>17</v>
      </c>
      <c r="D265">
        <v>22208</v>
      </c>
      <c r="E265">
        <v>73145</v>
      </c>
      <c r="F265">
        <v>43410</v>
      </c>
      <c r="G265">
        <v>62510</v>
      </c>
      <c r="H265">
        <v>21202</v>
      </c>
      <c r="I265" t="str">
        <f>HYPERLINK("https://store.steampowered.com/app/2050650/Resident_Evil_4/","Abrir Steam")</f>
        <v>Abrir Steam</v>
      </c>
      <c r="J265" t="str">
        <f>HYPERLINK("https://www.kinguin.net/es/category/214865/resident-evil-4-2023-gold-edition-pc-steam-account","Kinguin")</f>
        <v>Kinguin</v>
      </c>
      <c r="K265" t="s">
        <v>16</v>
      </c>
      <c r="L265" t="s">
        <v>16</v>
      </c>
      <c r="M265" t="s">
        <v>16</v>
      </c>
    </row>
    <row r="266">
      <c r="A266" t="s">
        <v>113</v>
      </c>
      <c r="B266" t="s">
        <v>114</v>
      </c>
      <c r="C266" t="s">
        <v>15</v>
      </c>
      <c r="D266">
        <v>29988</v>
      </c>
      <c r="E266">
        <v>73145</v>
      </c>
      <c r="F266">
        <v>53857</v>
      </c>
      <c r="G266">
        <v>77554</v>
      </c>
      <c r="H266">
        <v>23869</v>
      </c>
      <c r="I266" t="str">
        <f>HYPERLINK("https://store.steampowered.com/app/1196590/Resident_Evil_Village/?l=spanish","Abrir Steam")</f>
        <v>Abrir Steam</v>
      </c>
      <c r="J266" t="str">
        <f>HYPERLINK("https://www.kinguin.net/es/category/154024/resident-evil-7-gold-edition-village-gold-edition-bundle-pc-steam-cd-key","Kinguin")</f>
        <v>Kinguin</v>
      </c>
      <c r="K266" t="str">
        <f>HYPERLINK("https://driffle.com/es/resident-evil-7-gold-edition-and-village-gold-edition-pc-steam-digital-code-p9905289","Driffle")</f>
        <v>Driffle</v>
      </c>
      <c r="L266" t="s">
        <v>16</v>
      </c>
      <c r="M266" t="str">
        <f>HYPERLINK("https://www.eneba.com/latam/steam-resident-evil-7-gold-edition-village-gold-edition-pc-steam-key-latam","Eneba")</f>
        <v>Eneba</v>
      </c>
    </row>
    <row r="267">
      <c r="A267" t="s">
        <v>16</v>
      </c>
      <c r="B267" t="s">
        <v>114</v>
      </c>
      <c r="C267" t="s">
        <v>17</v>
      </c>
      <c r="D267">
        <v>28327</v>
      </c>
      <c r="E267">
        <v>73145</v>
      </c>
      <c r="F267">
        <v>45857</v>
      </c>
      <c r="G267">
        <v>66034</v>
      </c>
      <c r="H267">
        <v>17530</v>
      </c>
      <c r="I267" t="str">
        <f>HYPERLINK("https://store.steampowered.com/app/1196590/Resident_Evil_Village/?l=spanish","Abrir Steam")</f>
        <v>Abrir Steam</v>
      </c>
      <c r="J267" t="str">
        <f>HYPERLINK("https://www.kinguin.net/es/category/159039/resident-evil-7-gold-edition-village-gold-edition-bundle-steam-account","Kinguin")</f>
        <v>Kinguin</v>
      </c>
      <c r="K267" t="s">
        <v>16</v>
      </c>
      <c r="L267" t="s">
        <v>16</v>
      </c>
      <c r="M267" t="s">
        <v>16</v>
      </c>
    </row>
    <row r="268">
      <c r="A268" t="s">
        <v>115</v>
      </c>
      <c r="B268" t="s">
        <v>14</v>
      </c>
      <c r="C268" t="s">
        <v>15</v>
      </c>
      <c r="D268">
        <v>11104</v>
      </c>
      <c r="E268">
        <v>28133</v>
      </c>
      <c r="F268">
        <v>40947</v>
      </c>
      <c r="G268">
        <v>58964</v>
      </c>
      <c r="H268">
        <v>29843</v>
      </c>
      <c r="I268" t="str">
        <f>HYPERLINK("https://store.steampowered.com/app/418370/Resident_Evil_7_Biohazard/","Abrir Steam")</f>
        <v>Abrir Steam</v>
      </c>
      <c r="J268" t="str">
        <f>HYPERLINK("https://www.kinguin.net/es/category/326624/resident-evil-7-biohazard-latam-pc-steam-cd-key","Kinguin")</f>
        <v>Kinguin</v>
      </c>
      <c r="K268" t="str">
        <f>HYPERLINK("https://driffle.com/es/resident-evil-7-biohazard-steam-cd-key-p935891","Driffle")</f>
        <v>Driffle</v>
      </c>
      <c r="L268" t="s">
        <v>16</v>
      </c>
      <c r="M268" t="str">
        <f>HYPERLINK("https://www.eneba.com/latam/steam-resident-evil-7-biohazard-steam-key-latam","Eneba")</f>
        <v>Eneba</v>
      </c>
    </row>
    <row r="269">
      <c r="A269" t="s">
        <v>16</v>
      </c>
      <c r="B269" t="s">
        <v>16</v>
      </c>
      <c r="C269" t="s">
        <v>17</v>
      </c>
      <c r="D269">
        <v>17947</v>
      </c>
      <c r="E269">
        <v>28133</v>
      </c>
      <c r="F269">
        <v>32947</v>
      </c>
      <c r="G269">
        <v>47444</v>
      </c>
      <c r="H269">
        <v>15000</v>
      </c>
      <c r="I269" t="str">
        <f>HYPERLINK("https://store.steampowered.com/app/418370/Resident_Evil_7_Biohazard/","Abrir Steam")</f>
        <v>Abrir Steam</v>
      </c>
      <c r="J269" t="str">
        <f>HYPERLINK("https://www.kinguin.net/es/category/282608/resident-evil-7-biohazard-pc-steam-account","Kinguin")</f>
        <v>Kinguin</v>
      </c>
      <c r="K269" t="s">
        <v>16</v>
      </c>
      <c r="L269" t="s">
        <v>16</v>
      </c>
      <c r="M269" t="s">
        <v>16</v>
      </c>
    </row>
    <row r="270">
      <c r="A270" t="s">
        <v>16</v>
      </c>
      <c r="B270" t="s">
        <v>47</v>
      </c>
      <c r="C270" t="s">
        <v>15</v>
      </c>
      <c r="D270">
        <v>14690</v>
      </c>
      <c r="E270">
        <v>84398</v>
      </c>
      <c r="F270">
        <v>41690</v>
      </c>
      <c r="G270">
        <v>60034</v>
      </c>
      <c r="H270">
        <v>27000</v>
      </c>
      <c r="I270" t="str">
        <f>HYPERLINK("https://store.steampowered.com/app/418370/Resident_Evil_7_Biohazard/","Abrir Steam")</f>
        <v>Abrir Steam</v>
      </c>
      <c r="J270" t="str">
        <f>HYPERLINK("https://www.kinguin.net/es/category/326593/resident-evil-7-biohazard-gold-edition-latam-pc-steam-cd-key","Kinguin")</f>
        <v>Kinguin</v>
      </c>
      <c r="K270" t="str">
        <f>HYPERLINK("https://driffle.com/es/resident-evil-7-biohazard-gold-edition-pc-steam-digital-code-p9879852","Driffle")</f>
        <v>Driffle</v>
      </c>
      <c r="L270" t="s">
        <v>16</v>
      </c>
      <c r="M270" t="str">
        <f>HYPERLINK("https://www.eneba.com/latam/steam-resident-evil-7-biohazard-gold-edition-steam-key-latam","Eneba")</f>
        <v>Eneba</v>
      </c>
    </row>
    <row r="271">
      <c r="A271" t="s">
        <v>16</v>
      </c>
      <c r="B271" t="s">
        <v>16</v>
      </c>
      <c r="C271" t="s">
        <v>17</v>
      </c>
      <c r="D271">
        <v>0</v>
      </c>
      <c r="E271">
        <v>84398</v>
      </c>
      <c r="F271">
        <v>0</v>
      </c>
      <c r="G271">
        <v>0</v>
      </c>
      <c r="H271">
        <v>0</v>
      </c>
      <c r="I271" t="str">
        <f>HYPERLINK("https://store.steampowered.com/app/418370/Resident_Evil_7_Biohazard/","Abrir Steam")</f>
        <v>Abrir Steam</v>
      </c>
      <c r="J271" t="s">
        <v>16</v>
      </c>
      <c r="K271" t="s">
        <v>16</v>
      </c>
      <c r="L271" t="s">
        <v>16</v>
      </c>
      <c r="M271" t="s">
        <v>16</v>
      </c>
    </row>
    <row r="272">
      <c r="A272" t="s">
        <v>116</v>
      </c>
      <c r="B272" t="s">
        <v>14</v>
      </c>
      <c r="C272" t="s">
        <v>15</v>
      </c>
      <c r="D272">
        <v>59154</v>
      </c>
      <c r="E272">
        <v>99402</v>
      </c>
      <c r="F272">
        <v>74514</v>
      </c>
      <c r="G272">
        <v>107300</v>
      </c>
      <c r="H272">
        <v>15360</v>
      </c>
      <c r="I272" t="str">
        <f>HYPERLINK("https://store.steampowered.com/app/3764200/Resident_Evil_Requiem/","Abrir Steam")</f>
        <v>Abrir Steam</v>
      </c>
      <c r="J272" t="str">
        <f>HYPERLINK("https://www.kinguin.net/es/category/428086/resident-evil-requiem-latam-pc-steam-cd-key","Kinguin")</f>
        <v>Kinguin</v>
      </c>
      <c r="K272" t="str">
        <f>HYPERLINK("https://driffle.com/es/resident-evil-requiem-latam-pc-steam-digital-key-p9977704","Driffle")</f>
        <v>Driffle</v>
      </c>
      <c r="L272" t="str">
        <f>HYPERLINK("https://www.loaded.com/es_es/resident-evil-requiem-pc-latam-steam","Loaded")</f>
        <v>Loaded</v>
      </c>
      <c r="M272" t="str">
        <f>HYPERLINK("https://www.eneba.com/latam/steam-resident-evil-requiem-steam-key-pc-latam","Eneba")</f>
        <v>Eneba</v>
      </c>
    </row>
    <row r="273">
      <c r="A273" t="s">
        <v>16</v>
      </c>
      <c r="B273" t="s">
        <v>16</v>
      </c>
      <c r="C273" t="s">
        <v>17</v>
      </c>
      <c r="D273">
        <v>41750</v>
      </c>
      <c r="E273">
        <v>99402</v>
      </c>
      <c r="F273">
        <v>61467</v>
      </c>
      <c r="G273">
        <v>88512</v>
      </c>
      <c r="H273">
        <v>19717</v>
      </c>
      <c r="I273" t="str">
        <f>HYPERLINK("https://store.steampowered.com/app/3764200/Resident_Evil_Requiem/","Abrir Steam")</f>
        <v>Abrir Steam</v>
      </c>
      <c r="J273" t="str">
        <f>HYPERLINK("https://www.kinguin.net/es/category/405998/resident-evil-requiem-pc-steam-account","Kinguin")</f>
        <v>Kinguin</v>
      </c>
      <c r="K273" t="s">
        <v>16</v>
      </c>
      <c r="L273" t="s">
        <v>16</v>
      </c>
      <c r="M273" t="s">
        <v>16</v>
      </c>
    </row>
    <row r="274">
      <c r="A274" t="s">
        <v>16</v>
      </c>
      <c r="B274" t="s">
        <v>44</v>
      </c>
      <c r="C274" t="s">
        <v>15</v>
      </c>
      <c r="D274">
        <v>67330</v>
      </c>
      <c r="E274">
        <v>112511</v>
      </c>
      <c r="F274">
        <v>84383</v>
      </c>
      <c r="G274">
        <v>121512</v>
      </c>
      <c r="H274">
        <v>17053</v>
      </c>
      <c r="I274" t="str">
        <f>HYPERLINK("https://store.steampowered.com/app/3764200/Resident_Evil_Requiem/","Abrir Steam")</f>
        <v>Abrir Steam</v>
      </c>
      <c r="J274" t="str">
        <f>HYPERLINK("https://www.kinguin.net/es/category/428464/resident-evil-requiem-deluxe-edition-latam-pc-steam-cd-key","Kinguin")</f>
        <v>Kinguin</v>
      </c>
      <c r="K274" t="str">
        <f>HYPERLINK("https://driffle.com/es/resident-evil-requiem-deluxe-edition-latam-pc-steam-digital-key-p9977705","Driffle")</f>
        <v>Driffle</v>
      </c>
      <c r="L274" t="str">
        <f>HYPERLINK("https://www.loaded.com/es_es/resident-evil-requiem-deluxe-edition-pc-latam-steam","Loaded")</f>
        <v>Loaded</v>
      </c>
      <c r="M274" t="str">
        <f>HYPERLINK("https://www.eneba.com/latam/steam-resident-evil-requiem-deluxe-edition-steam-key-pc-latam","Eneba")</f>
        <v>Eneba</v>
      </c>
    </row>
    <row r="275">
      <c r="A275" t="s">
        <v>16</v>
      </c>
      <c r="B275" t="s">
        <v>16</v>
      </c>
      <c r="C275" t="s">
        <v>17</v>
      </c>
      <c r="D275">
        <v>67248</v>
      </c>
      <c r="E275">
        <v>112511</v>
      </c>
      <c r="F275">
        <v>82248</v>
      </c>
      <c r="G275">
        <v>118437</v>
      </c>
      <c r="H275">
        <v>15000</v>
      </c>
      <c r="I275" t="str">
        <f>HYPERLINK("https://store.steampowered.com/app/3764200/Resident_Evil_Requiem/","Abrir Steam")</f>
        <v>Abrir Steam</v>
      </c>
      <c r="J275" t="str">
        <f>HYPERLINK("https://www.kinguin.net/es/category/406014/resident-evil-requiem-deluxe-edition-pc-steam-account","Kinguin")</f>
        <v>Kinguin</v>
      </c>
      <c r="K275" t="s">
        <v>16</v>
      </c>
      <c r="L275" t="s">
        <v>16</v>
      </c>
      <c r="M275" t="s">
        <v>16</v>
      </c>
    </row>
    <row r="276">
      <c r="A276" t="s">
        <v>117</v>
      </c>
      <c r="B276" t="s">
        <v>14</v>
      </c>
      <c r="C276" t="s">
        <v>15</v>
      </c>
      <c r="D276">
        <v>15463</v>
      </c>
      <c r="E276">
        <v>54390</v>
      </c>
      <c r="F276">
        <v>40793</v>
      </c>
      <c r="G276">
        <v>58742</v>
      </c>
      <c r="H276">
        <v>25330</v>
      </c>
      <c r="I276" t="str">
        <f>HYPERLINK("https://store.steampowered.com/app/1196590/Resident_Evil_Village/?l=spanish","Abrir Steam")</f>
        <v>Abrir Steam</v>
      </c>
      <c r="J276" t="str">
        <f>HYPERLINK("https://www.kinguin.net/es/category/85671/resident-evil-village-steam-cd-key","Kinguin")</f>
        <v>Kinguin</v>
      </c>
      <c r="K276" t="str">
        <f>HYPERLINK("https://driffle.com/es/resident-evil-village-resident-evil-8-latam-pc-steam-digital-key-p9931713","Driffle")</f>
        <v>Driffle</v>
      </c>
      <c r="L276" t="str">
        <f>HYPERLINK("https://www.loaded.com/es_es/resident-evil-village-pc-steam-ww","Loaded")</f>
        <v>Loaded</v>
      </c>
      <c r="M276" t="str">
        <f>HYPERLINK("https://www.eneba.com/latam/steam-resident-evil-village-resident-evil-8-steam-key-latam","Eneba")</f>
        <v>Eneba</v>
      </c>
    </row>
    <row r="277">
      <c r="A277" t="s">
        <v>16</v>
      </c>
      <c r="B277" t="s">
        <v>16</v>
      </c>
      <c r="C277" t="s">
        <v>17</v>
      </c>
      <c r="D277">
        <v>14427</v>
      </c>
      <c r="E277">
        <v>54390</v>
      </c>
      <c r="F277">
        <v>32983</v>
      </c>
      <c r="G277">
        <v>47496</v>
      </c>
      <c r="H277">
        <v>18556</v>
      </c>
      <c r="I277" t="str">
        <f>HYPERLINK("https://store.steampowered.com/app/1196590/Resident_Evil_Village/?l=spanish","Abrir Steam")</f>
        <v>Abrir Steam</v>
      </c>
      <c r="J277" t="str">
        <f>HYPERLINK("https://www.kinguin.net/es/category/159606/resident-evil-village-steam-account","Kinguin")</f>
        <v>Kinguin</v>
      </c>
      <c r="K277" t="s">
        <v>16</v>
      </c>
      <c r="L277" t="s">
        <v>16</v>
      </c>
      <c r="M277" t="s">
        <v>16</v>
      </c>
    </row>
    <row r="278">
      <c r="A278" t="s">
        <v>16</v>
      </c>
      <c r="B278" t="s">
        <v>47</v>
      </c>
      <c r="C278" t="s">
        <v>15</v>
      </c>
      <c r="D278">
        <v>21566</v>
      </c>
      <c r="E278">
        <v>73145</v>
      </c>
      <c r="F278">
        <v>51410</v>
      </c>
      <c r="G278">
        <v>74030</v>
      </c>
      <c r="H278">
        <v>29844</v>
      </c>
      <c r="I278" t="str">
        <f>HYPERLINK("https://store.steampowered.com/app/1196590/Resident_Evil_Village/?l=spanish","Abrir Steam")</f>
        <v>Abrir Steam</v>
      </c>
      <c r="J278" t="str">
        <f>HYPERLINK("https://www.kinguin.net/es/category/326599/resident-evil-village-gold-edition-latam-pc-steam-cd-key","Kinguin")</f>
        <v>Kinguin</v>
      </c>
      <c r="K278" t="str">
        <f>HYPERLINK("https://driffle.com/es/resident-evil-village-resident-evil-8-gold-edition-latam-pc-steam-digital-key-p9978713","Driffle")</f>
        <v>Driffle</v>
      </c>
      <c r="L278" t="str">
        <f>HYPERLINK("https://www.loaded.com/es_es/resident-evil-village-gold-edition-pc-steam","Loaded")</f>
        <v>Loaded</v>
      </c>
      <c r="M278" t="str">
        <f>HYPERLINK("https://www.eneba.com/latam/steam-resident-evil-village-resident-evil-8-gold-edition-pc-steam-key-latam","Eneba")</f>
        <v>Eneba</v>
      </c>
    </row>
    <row r="279">
      <c r="A279" t="s">
        <v>16</v>
      </c>
      <c r="B279" t="s">
        <v>16</v>
      </c>
      <c r="C279" t="s">
        <v>17</v>
      </c>
      <c r="D279">
        <v>22208</v>
      </c>
      <c r="E279">
        <v>73145</v>
      </c>
      <c r="F279">
        <v>43410</v>
      </c>
      <c r="G279">
        <v>62510</v>
      </c>
      <c r="H279">
        <v>21202</v>
      </c>
      <c r="I279" t="str">
        <f>HYPERLINK("https://store.steampowered.com/app/1196590/Resident_Evil_Village/?l=spanish","Abrir Steam")</f>
        <v>Abrir Steam</v>
      </c>
      <c r="J279" t="str">
        <f>HYPERLINK("https://www.kinguin.net/es/category/159038/resident-evil-village-gold-edition-steam-account","Kinguin")</f>
        <v>Kinguin</v>
      </c>
      <c r="K279" t="s">
        <v>16</v>
      </c>
      <c r="L279" t="s">
        <v>16</v>
      </c>
      <c r="M279" t="s">
        <v>16</v>
      </c>
    </row>
    <row r="280">
      <c r="A280" t="s">
        <v>118</v>
      </c>
      <c r="B280" t="s">
        <v>14</v>
      </c>
      <c r="C280" t="s">
        <v>15</v>
      </c>
      <c r="D280">
        <v>13275</v>
      </c>
      <c r="E280">
        <v>54390</v>
      </c>
      <c r="F280">
        <v>35786</v>
      </c>
      <c r="G280">
        <v>51532</v>
      </c>
      <c r="H280">
        <v>22511</v>
      </c>
      <c r="I280" t="str">
        <f>HYPERLINK("https://store.steampowered.com/app/883710/Resident_Evil_2/?curator_clanid=4777282","Abrir Steam")</f>
        <v>Abrir Steam</v>
      </c>
      <c r="J280" t="str">
        <f>HYPERLINK("https://www.kinguin.net/es/category/80572/resident-evil-raccoon-city-edition-pc-steam-cd-key","Kinguin")</f>
        <v>Kinguin</v>
      </c>
      <c r="K280" t="str">
        <f>HYPERLINK("https://driffle.com/es/resident-evil-raccoon-city-edition-global-pc-steam-digital-key-p9960425","Driffle")</f>
        <v>Driffle</v>
      </c>
      <c r="L280" t="s">
        <v>16</v>
      </c>
      <c r="M280" t="str">
        <f>HYPERLINK("https://www.eneba.com/latam/steam-resident-evil-raccoon-city-edition-pc-steam-key-global","Eneba")</f>
        <v>Eneba</v>
      </c>
    </row>
    <row r="281">
      <c r="A281" t="s">
        <v>16</v>
      </c>
      <c r="B281" t="s">
        <v>16</v>
      </c>
      <c r="C281" t="s">
        <v>17</v>
      </c>
      <c r="D281">
        <v>0</v>
      </c>
      <c r="E281">
        <v>54390</v>
      </c>
      <c r="F281">
        <v>0</v>
      </c>
      <c r="G281">
        <v>0</v>
      </c>
      <c r="H281">
        <v>0</v>
      </c>
      <c r="I281" t="str">
        <f>HYPERLINK("https://store.steampowered.com/app/883710/Resident_Evil_2/?curator_clanid=4777282","Abrir Steam")</f>
        <v>Abrir Steam</v>
      </c>
      <c r="J281" t="s">
        <v>16</v>
      </c>
      <c r="K281" t="s">
        <v>16</v>
      </c>
      <c r="L281" t="s">
        <v>16</v>
      </c>
      <c r="M281" t="s">
        <v>16</v>
      </c>
    </row>
    <row r="282">
      <c r="A282" t="s">
        <v>119</v>
      </c>
      <c r="B282" t="s">
        <v>120</v>
      </c>
      <c r="C282" t="s">
        <v>15</v>
      </c>
      <c r="D282">
        <v>0</v>
      </c>
      <c r="E282">
        <v>44993</v>
      </c>
      <c r="F282">
        <v>0</v>
      </c>
      <c r="G282">
        <v>0</v>
      </c>
      <c r="H282">
        <v>0</v>
      </c>
      <c r="I282" t="str">
        <f>HYPERLINK("https://store.steampowered.com/app/1172620/Sea_of_Thieves_2026_Edition/","Abrir Steam")</f>
        <v>Abrir Steam</v>
      </c>
      <c r="J282" t="s">
        <v>16</v>
      </c>
      <c r="K282" t="s">
        <v>16</v>
      </c>
      <c r="L282" t="s">
        <v>16</v>
      </c>
      <c r="M282" t="s">
        <v>16</v>
      </c>
    </row>
    <row r="283">
      <c r="A283" t="s">
        <v>16</v>
      </c>
      <c r="B283" t="s">
        <v>16</v>
      </c>
      <c r="C283" t="s">
        <v>17</v>
      </c>
      <c r="D283">
        <v>13357</v>
      </c>
      <c r="E283">
        <v>44993</v>
      </c>
      <c r="F283">
        <v>28890</v>
      </c>
      <c r="G283">
        <v>41602</v>
      </c>
      <c r="H283">
        <v>15533</v>
      </c>
      <c r="I283" t="str">
        <f>HYPERLINK("https://store.steampowered.com/app/1172620/Sea_of_Thieves_2026_Edition/","Abrir Steam")</f>
        <v>Abrir Steam</v>
      </c>
      <c r="J283" t="str">
        <f>HYPERLINK("https://www.kinguin.net/es/category/491050/sea-of-thieves-2026-edition-pc-steam-account","Kinguin")</f>
        <v>Kinguin</v>
      </c>
      <c r="K283" t="str">
        <f>HYPERLINK("https://driffle.com/es/sea-of-thieves-2026-edition-global-pc-steam-account-p9992474","Driffle")</f>
        <v>Driffle</v>
      </c>
      <c r="L283" t="s">
        <v>16</v>
      </c>
      <c r="M283" t="s">
        <v>16</v>
      </c>
    </row>
    <row r="284">
      <c r="A284" t="s">
        <v>16</v>
      </c>
      <c r="B284" t="s">
        <v>121</v>
      </c>
      <c r="C284" t="s">
        <v>15</v>
      </c>
      <c r="D284">
        <v>0</v>
      </c>
      <c r="E284">
        <v>56246</v>
      </c>
      <c r="F284">
        <v>0</v>
      </c>
      <c r="G284">
        <v>0</v>
      </c>
      <c r="H284">
        <v>0</v>
      </c>
      <c r="I284" t="str">
        <f>HYPERLINK("https://store.steampowered.com/app/1172620/Sea_of_Thieves_2026_Edition/","Abrir Steam")</f>
        <v>Abrir Steam</v>
      </c>
      <c r="J284" t="s">
        <v>16</v>
      </c>
      <c r="K284" t="s">
        <v>16</v>
      </c>
      <c r="L284" t="s">
        <v>16</v>
      </c>
      <c r="M284" t="s">
        <v>16</v>
      </c>
    </row>
    <row r="285">
      <c r="A285" t="s">
        <v>16</v>
      </c>
      <c r="B285" t="s">
        <v>16</v>
      </c>
      <c r="C285" t="s">
        <v>17</v>
      </c>
      <c r="D285">
        <v>51834</v>
      </c>
      <c r="E285">
        <v>56246</v>
      </c>
      <c r="F285">
        <v>66834</v>
      </c>
      <c r="G285">
        <v>96241</v>
      </c>
      <c r="H285">
        <v>15000</v>
      </c>
      <c r="I285" t="str">
        <f>HYPERLINK("https://store.steampowered.com/app/1172620/Sea_of_Thieves_2026_Edition/","Abrir Steam")</f>
        <v>Abrir Steam</v>
      </c>
      <c r="J285" t="str">
        <f>HYPERLINK("https://www.kinguin.net/es/category/491052/sea-of-thieves-2026-deluxe-edition-pc-steam-account","Kinguin")</f>
        <v>Kinguin</v>
      </c>
      <c r="K285" t="str">
        <f>HYPERLINK("https://driffle.com/es/sea-of-thieves-2026-deluxe-edition-global-pc-steam-account-p9992475","Driffle")</f>
        <v>Driffle</v>
      </c>
      <c r="L285" t="s">
        <v>16</v>
      </c>
      <c r="M285" t="s">
        <v>16</v>
      </c>
    </row>
    <row r="286">
      <c r="A286" t="s">
        <v>16</v>
      </c>
      <c r="B286" t="s">
        <v>122</v>
      </c>
      <c r="C286" t="s">
        <v>15</v>
      </c>
      <c r="D286">
        <v>0</v>
      </c>
      <c r="E286">
        <v>67499</v>
      </c>
      <c r="F286">
        <v>0</v>
      </c>
      <c r="G286">
        <v>0</v>
      </c>
      <c r="H286">
        <v>0</v>
      </c>
      <c r="I286" t="str">
        <f>HYPERLINK("https://store.steampowered.com/app/1172620/Sea_of_Thieves_2026_Edition/","Abrir Steam")</f>
        <v>Abrir Steam</v>
      </c>
      <c r="J286" t="s">
        <v>16</v>
      </c>
      <c r="K286" t="s">
        <v>16</v>
      </c>
      <c r="L286" t="s">
        <v>16</v>
      </c>
      <c r="M286" t="s">
        <v>16</v>
      </c>
    </row>
    <row r="287">
      <c r="A287" t="s">
        <v>16</v>
      </c>
      <c r="B287" t="s">
        <v>16</v>
      </c>
      <c r="C287" t="s">
        <v>17</v>
      </c>
      <c r="D287">
        <v>60980</v>
      </c>
      <c r="E287">
        <v>67499</v>
      </c>
      <c r="F287">
        <v>75980</v>
      </c>
      <c r="G287">
        <v>109411</v>
      </c>
      <c r="H287">
        <v>15000</v>
      </c>
      <c r="I287" t="str">
        <f>HYPERLINK("https://store.steampowered.com/app/1172620/Sea_of_Thieves_2026_Edition/","Abrir Steam")</f>
        <v>Abrir Steam</v>
      </c>
      <c r="J287" t="str">
        <f>HYPERLINK("https://www.kinguin.net/es/category/491059/sea-of-thieves-2026-premium-edition-pc-steam-account","Kinguin")</f>
        <v>Kinguin</v>
      </c>
      <c r="K287" t="str">
        <f>HYPERLINK("https://driffle.com/es/sea-of-thieves-2026-premium-edition-global-pc-steam-account-p9992476","Driffle")</f>
        <v>Driffle</v>
      </c>
      <c r="L287" t="s">
        <v>16</v>
      </c>
      <c r="M287" t="s">
        <v>16</v>
      </c>
    </row>
    <row r="288">
      <c r="A288" t="s">
        <v>123</v>
      </c>
      <c r="B288" t="s">
        <v>14</v>
      </c>
      <c r="C288" t="s">
        <v>15</v>
      </c>
      <c r="D288">
        <v>33245</v>
      </c>
      <c r="E288">
        <v>61873</v>
      </c>
      <c r="F288">
        <v>49045</v>
      </c>
      <c r="G288">
        <v>70625</v>
      </c>
      <c r="H288">
        <v>15800</v>
      </c>
      <c r="I288" t="str">
        <f>HYPERLINK("https://store.steampowered.com/app/2124490/SILENT_HILL_2/","Abrir Steam")</f>
        <v>Abrir Steam</v>
      </c>
      <c r="J288" t="str">
        <f>HYPERLINK("https://www.kinguin.net/es/category/278941/silent-hill-2-latam-pc-steam-cd-key","Kinguin")</f>
        <v>Kinguin</v>
      </c>
      <c r="K288" t="str">
        <f>HYPERLINK("https://driffle.com/es/silent-hill-2-pc-steam-digital-key-p9908068","Driffle")</f>
        <v>Driffle</v>
      </c>
      <c r="L288" t="str">
        <f>HYPERLINK("https://www.loaded.com/es_es/silent-hill-2-pc-steam","Loaded")</f>
        <v>Loaded</v>
      </c>
      <c r="M288" t="str">
        <f>HYPERLINK("https://www.eneba.com/latam/steam-silent-hill-2-pc-steam-key-global","Eneba")</f>
        <v>Eneba</v>
      </c>
    </row>
    <row r="289">
      <c r="A289" t="s">
        <v>16</v>
      </c>
      <c r="B289" t="s">
        <v>16</v>
      </c>
      <c r="C289" t="s">
        <v>17</v>
      </c>
      <c r="D289">
        <v>22273</v>
      </c>
      <c r="E289">
        <v>61873</v>
      </c>
      <c r="F289">
        <v>39039</v>
      </c>
      <c r="G289">
        <v>56216</v>
      </c>
      <c r="H289">
        <v>16766</v>
      </c>
      <c r="I289" t="str">
        <f>HYPERLINK("https://store.steampowered.com/app/2124490/SILENT_HILL_2/","Abrir Steam")</f>
        <v>Abrir Steam</v>
      </c>
      <c r="J289" t="str">
        <f>HYPERLINK("https://www.kinguin.net/es/category/272532/silent-hill-2-pc-steam-account","Kinguin")</f>
        <v>Kinguin</v>
      </c>
      <c r="K289" t="str">
        <f>HYPERLINK("https://driffle.com/es/silent-hill-2-global-pc-steam-account-p9962323","Driffle")</f>
        <v>Driffle</v>
      </c>
      <c r="L289" t="s">
        <v>16</v>
      </c>
      <c r="M289" t="s">
        <v>16</v>
      </c>
    </row>
    <row r="290">
      <c r="A290" t="s">
        <v>16</v>
      </c>
      <c r="B290" t="s">
        <v>44</v>
      </c>
      <c r="C290" t="s">
        <v>15</v>
      </c>
      <c r="D290">
        <v>0</v>
      </c>
      <c r="E290">
        <v>69375</v>
      </c>
      <c r="F290">
        <v>0</v>
      </c>
      <c r="G290">
        <v>0</v>
      </c>
      <c r="H290">
        <v>0</v>
      </c>
      <c r="I290" t="str">
        <f>HYPERLINK("https://store.steampowered.com/app/2124490/SILENT_HILL_2/","Abrir Steam")</f>
        <v>Abrir Steam</v>
      </c>
      <c r="J290" t="str">
        <f>HYPERLINK("https://www.kinguin.net/es/category/263907/silent-hill-2-digital-deluxe-edition-pc-steam-cd-key","Kinguin")</f>
        <v>Kinguin</v>
      </c>
      <c r="K290" t="str">
        <f>HYPERLINK("https://driffle.com/es/silent-hill-2-digital-deluxe-edition-pc-steam-digital-key-p9914456","Driffle")</f>
        <v>Driffle</v>
      </c>
      <c r="L290" t="str">
        <f>HYPERLINK("https://www.loaded.com/es_es/silent-hill-2-digital-deluxe-pc-steam","Loaded")</f>
        <v>Loaded</v>
      </c>
      <c r="M290" t="str">
        <f>HYPERLINK("https://www.eneba.com/latam/steam-silent-hill-2-digital-deluxe-pc-steam-key-global","Eneba")</f>
        <v>Eneba</v>
      </c>
    </row>
    <row r="291">
      <c r="A291" t="s">
        <v>16</v>
      </c>
      <c r="B291" t="s">
        <v>16</v>
      </c>
      <c r="C291" t="s">
        <v>17</v>
      </c>
      <c r="D291">
        <v>0</v>
      </c>
      <c r="E291">
        <v>69375</v>
      </c>
      <c r="F291">
        <v>0</v>
      </c>
      <c r="G291">
        <v>0</v>
      </c>
      <c r="H291">
        <v>0</v>
      </c>
      <c r="I291" t="str">
        <f>HYPERLINK("https://store.steampowered.com/app/2124490/SILENT_HILL_2/","Abrir Steam")</f>
        <v>Abrir Steam</v>
      </c>
      <c r="J291" t="str">
        <f>HYPERLINK("https://www.kinguin.net/es/category/274184/silent-hill-2-digital-deluxe-edition-pc-steam-account","Kinguin")</f>
        <v>Kinguin</v>
      </c>
      <c r="K291" t="s">
        <v>16</v>
      </c>
      <c r="L291" t="s">
        <v>16</v>
      </c>
      <c r="M291" t="s">
        <v>16</v>
      </c>
    </row>
    <row r="292">
      <c r="A292" t="s">
        <v>124</v>
      </c>
      <c r="B292" t="s">
        <v>14</v>
      </c>
      <c r="C292" t="s">
        <v>15</v>
      </c>
      <c r="D292">
        <v>42556</v>
      </c>
      <c r="E292">
        <v>61873</v>
      </c>
      <c r="F292">
        <v>67120</v>
      </c>
      <c r="G292">
        <v>96653</v>
      </c>
      <c r="H292">
        <v>24564</v>
      </c>
      <c r="I292" t="str">
        <f>HYPERLINK("https://store.steampowered.com/app/2947440/SILENT_HILL_f/","Abrir Steam")</f>
        <v>Abrir Steam</v>
      </c>
      <c r="J292" t="str">
        <f>HYPERLINK("https://www.kinguin.net/es/category/392619/silent-hill-f-latam-pc-steam-cd-key","Kinguin")</f>
        <v>Kinguin</v>
      </c>
      <c r="K292" t="str">
        <f>HYPERLINK("https://driffle.com/es/silent-hill-f-latam-pc-steam-digital-key-p9963231","Driffle")</f>
        <v>Driffle</v>
      </c>
      <c r="L292" t="s">
        <v>16</v>
      </c>
      <c r="M292" t="str">
        <f>HYPERLINK("https://www.eneba.com/latam/steam-silent-hill-f-steam-key-pc-latam","Eneba")</f>
        <v>Eneba</v>
      </c>
    </row>
    <row r="293">
      <c r="A293" t="s">
        <v>16</v>
      </c>
      <c r="B293" t="s">
        <v>16</v>
      </c>
      <c r="C293" t="s">
        <v>17</v>
      </c>
      <c r="D293">
        <v>19888</v>
      </c>
      <c r="E293">
        <v>61873</v>
      </c>
      <c r="F293">
        <v>38085</v>
      </c>
      <c r="G293">
        <v>54842</v>
      </c>
      <c r="H293">
        <v>18197</v>
      </c>
      <c r="I293" t="str">
        <f>HYPERLINK("https://store.steampowered.com/app/2947440/SILENT_HILL_f/","Abrir Steam")</f>
        <v>Abrir Steam</v>
      </c>
      <c r="J293" t="str">
        <f>HYPERLINK("https://www.kinguin.net/es/category/347319/silent-hill-f-pc-steam-account","Kinguin")</f>
        <v>Kinguin</v>
      </c>
      <c r="K293" t="str">
        <f>HYPERLINK("https://driffle.com/es/silent-hill-f-global-pc-steam-account-p9964460","Driffle")</f>
        <v>Driffle</v>
      </c>
      <c r="L293" t="s">
        <v>16</v>
      </c>
      <c r="M293" t="s">
        <v>16</v>
      </c>
    </row>
    <row r="294">
      <c r="A294" t="s">
        <v>16</v>
      </c>
      <c r="B294" t="s">
        <v>44</v>
      </c>
      <c r="C294" t="s">
        <v>15</v>
      </c>
      <c r="D294">
        <v>0</v>
      </c>
      <c r="E294">
        <v>69375</v>
      </c>
      <c r="F294">
        <v>0</v>
      </c>
      <c r="G294">
        <v>0</v>
      </c>
      <c r="H294">
        <v>0</v>
      </c>
      <c r="I294" t="str">
        <f>HYPERLINK("https://store.steampowered.com/app/2947440/SILENT_HILL_f/","Abrir Steam")</f>
        <v>Abrir Steam</v>
      </c>
      <c r="J294" t="str">
        <f>HYPERLINK("https://www.kinguin.net/es/category/390829/silent-hill-f-deluxe-edition-latam-pc-steam-cd-key","Kinguin")</f>
        <v>Kinguin</v>
      </c>
      <c r="K294" t="str">
        <f>HYPERLINK("https://driffle.com/es/silent-hill-f-digital-deluxe-edition-latam-pc-steam-digital-key-p9962789","Driffle")</f>
        <v>Driffle</v>
      </c>
      <c r="L294" t="s">
        <v>16</v>
      </c>
      <c r="M294" t="str">
        <f>HYPERLINK("https://www.eneba.com/latam/steam-silent-hill-f-digital-deluxe-steam-key-pc-latam","Eneba")</f>
        <v>Eneba</v>
      </c>
    </row>
    <row r="295">
      <c r="A295" t="s">
        <v>16</v>
      </c>
      <c r="B295" t="s">
        <v>16</v>
      </c>
      <c r="C295" t="s">
        <v>17</v>
      </c>
      <c r="D295">
        <v>26419</v>
      </c>
      <c r="E295">
        <v>69375</v>
      </c>
      <c r="F295">
        <v>43624</v>
      </c>
      <c r="G295">
        <v>62819</v>
      </c>
      <c r="H295">
        <v>17205</v>
      </c>
      <c r="I295" t="str">
        <f>HYPERLINK("https://store.steampowered.com/app/2947440/SILENT_HILL_f/","Abrir Steam")</f>
        <v>Abrir Steam</v>
      </c>
      <c r="J295" t="str">
        <f>HYPERLINK("https://www.kinguin.net/es/category/347325/silent-hill-f-deluxe-edition-pc-steam-account","Kinguin")</f>
        <v>Kinguin</v>
      </c>
      <c r="K295" t="str">
        <f>HYPERLINK("https://driffle.com/es/silent-hill-f-digital-deluxe-edition-global-pc-steam-account-p9979491","Driffle")</f>
        <v>Driffle</v>
      </c>
      <c r="L295" t="s">
        <v>16</v>
      </c>
      <c r="M295" t="s">
        <v>16</v>
      </c>
    </row>
    <row r="296">
      <c r="A296" t="s">
        <v>125</v>
      </c>
      <c r="B296" t="s">
        <v>14</v>
      </c>
      <c r="C296" t="s">
        <v>15</v>
      </c>
      <c r="D296">
        <v>62888</v>
      </c>
      <c r="E296">
        <v>79690</v>
      </c>
      <c r="F296">
        <v>77888</v>
      </c>
      <c r="G296">
        <v>112159</v>
      </c>
      <c r="H296">
        <v>15000</v>
      </c>
      <c r="I296" t="str">
        <f>HYPERLINK("https://store.steampowered.com/app/1636440/SILENT_HILL_Townfall/","Abrir Steam")</f>
        <v>Abrir Steam</v>
      </c>
      <c r="J296" t="str">
        <f>HYPERLINK("https://www.kinguin.net/es/category/566817/silent-hill-townfall-pre-order-pc-steam-cd-key","Kinguin")</f>
        <v>Kinguin</v>
      </c>
      <c r="K296" t="s">
        <v>16</v>
      </c>
      <c r="L296" t="str">
        <f>HYPERLINK("https://www.loaded.com/es_es/silent-hill-townfall-pc-steam","Loaded")</f>
        <v>Loaded</v>
      </c>
      <c r="M296" t="str">
        <f>HYPERLINK("https://www.eneba.com/latam/steam-silent-hill-townfall-steam-key-pc-global","Eneba")</f>
        <v>Eneba</v>
      </c>
    </row>
    <row r="297">
      <c r="A297" t="s">
        <v>16</v>
      </c>
      <c r="B297" t="s">
        <v>16</v>
      </c>
      <c r="C297" t="s">
        <v>17</v>
      </c>
      <c r="D297">
        <v>0</v>
      </c>
      <c r="E297">
        <v>79690</v>
      </c>
      <c r="F297">
        <v>0</v>
      </c>
      <c r="G297">
        <v>0</v>
      </c>
      <c r="H297">
        <v>0</v>
      </c>
      <c r="I297" t="str">
        <f>HYPERLINK("https://store.steampowered.com/app/1636440/SILENT_HILL_Townfall/","Abrir Steam")</f>
        <v>Abrir Steam</v>
      </c>
      <c r="J297" t="s">
        <v>16</v>
      </c>
      <c r="K297" t="s">
        <v>16</v>
      </c>
      <c r="L297" t="s">
        <v>16</v>
      </c>
      <c r="M297" t="s">
        <v>16</v>
      </c>
    </row>
    <row r="298">
      <c r="A298" t="s">
        <v>16</v>
      </c>
      <c r="B298" t="s">
        <v>44</v>
      </c>
      <c r="C298" t="s">
        <v>15</v>
      </c>
      <c r="D298">
        <v>71080</v>
      </c>
      <c r="E298">
        <v>95632</v>
      </c>
      <c r="F298">
        <v>86080</v>
      </c>
      <c r="G298">
        <v>123955</v>
      </c>
      <c r="H298">
        <v>15000</v>
      </c>
      <c r="I298" t="str">
        <f>HYPERLINK("https://store.steampowered.com/app/1636440/SILENT_HILL_Townfall/","Abrir Steam")</f>
        <v>Abrir Steam</v>
      </c>
      <c r="J298" t="s">
        <v>16</v>
      </c>
      <c r="K298" t="s">
        <v>16</v>
      </c>
      <c r="L298" t="str">
        <f>HYPERLINK("https://www.loaded.com/es_es/silent-hill-townfall-deluxe-edition-pc-steam","Loaded")</f>
        <v>Loaded</v>
      </c>
      <c r="M298" t="str">
        <f>HYPERLINK("https://www.eneba.com/latam/steam-silent-hill-townfall-deluxe-edition-steam-key-pc-global","Eneba")</f>
        <v>Eneba</v>
      </c>
    </row>
    <row r="299">
      <c r="A299" t="s">
        <v>16</v>
      </c>
      <c r="B299" t="s">
        <v>16</v>
      </c>
      <c r="C299" t="s">
        <v>17</v>
      </c>
      <c r="D299">
        <v>0</v>
      </c>
      <c r="E299">
        <v>95632</v>
      </c>
      <c r="F299">
        <v>0</v>
      </c>
      <c r="G299">
        <v>0</v>
      </c>
      <c r="H299">
        <v>0</v>
      </c>
      <c r="I299" t="str">
        <f>HYPERLINK("https://store.steampowered.com/app/1636440/SILENT_HILL_Townfall/","Abrir Steam")</f>
        <v>Abrir Steam</v>
      </c>
      <c r="J299" t="s">
        <v>16</v>
      </c>
      <c r="K299" t="s">
        <v>16</v>
      </c>
      <c r="L299" t="s">
        <v>16</v>
      </c>
      <c r="M299" t="s">
        <v>16</v>
      </c>
    </row>
    <row r="300">
      <c r="A300" t="s">
        <v>126</v>
      </c>
      <c r="B300" t="s">
        <v>14</v>
      </c>
      <c r="C300" t="s">
        <v>15</v>
      </c>
      <c r="D300">
        <v>70390</v>
      </c>
      <c r="E300">
        <v>93756</v>
      </c>
      <c r="F300">
        <v>86639</v>
      </c>
      <c r="G300">
        <v>124760</v>
      </c>
      <c r="H300">
        <v>16249</v>
      </c>
      <c r="I300" t="str">
        <f>HYPERLINK("https://store.steampowered.com/app/2001120/Split_Fiction/?curator_clanid=4777282","Abrir Steam")</f>
        <v>Abrir Steam</v>
      </c>
      <c r="J300" t="str">
        <f>HYPERLINK("https://www.kinguin.net/es/category/321035/split-fiction-pc-steam-cd-key","Kinguin")</f>
        <v>Kinguin</v>
      </c>
      <c r="K300" t="str">
        <f>HYPERLINK("https://driffle.com/es/split-fiction-global-pc-steam-digital-key-p9929426","Driffle")</f>
        <v>Driffle</v>
      </c>
      <c r="L300" t="s">
        <v>16</v>
      </c>
      <c r="M300" t="str">
        <f>HYPERLINK("https://www.eneba.com/latam/steam-split-fiction-steam-key-pc-global","Eneba")</f>
        <v>Eneba</v>
      </c>
    </row>
    <row r="301">
      <c r="A301" t="s">
        <v>16</v>
      </c>
      <c r="B301" t="s">
        <v>16</v>
      </c>
      <c r="C301" t="s">
        <v>17</v>
      </c>
      <c r="D301">
        <v>28014</v>
      </c>
      <c r="E301">
        <v>93756</v>
      </c>
      <c r="F301">
        <v>53770</v>
      </c>
      <c r="G301">
        <v>77429</v>
      </c>
      <c r="H301">
        <v>25756</v>
      </c>
      <c r="I301" t="str">
        <f>HYPERLINK("https://store.steampowered.com/app/2001120/Split_Fiction/?curator_clanid=4777282","Abrir Steam")</f>
        <v>Abrir Steam</v>
      </c>
      <c r="J301" t="str">
        <f>HYPERLINK("https://www.kinguin.net/es/category/305795/split-fiction-pc-steam-account","Kinguin")</f>
        <v>Kinguin</v>
      </c>
      <c r="K301" t="str">
        <f>HYPERLINK("https://driffle.com/es/split-fiction-global-pc-steam-account-p9945656","Driffle")</f>
        <v>Driffle</v>
      </c>
      <c r="L301" t="s">
        <v>16</v>
      </c>
      <c r="M301" t="s">
        <v>16</v>
      </c>
    </row>
    <row r="302">
      <c r="A302" t="s">
        <v>127</v>
      </c>
      <c r="B302" t="s">
        <v>14</v>
      </c>
      <c r="C302" t="s">
        <v>15</v>
      </c>
      <c r="D302">
        <v>132719</v>
      </c>
      <c r="E302">
        <v>131266</v>
      </c>
      <c r="F302">
        <v>147719</v>
      </c>
      <c r="G302">
        <v>212715</v>
      </c>
      <c r="H302">
        <v>15000</v>
      </c>
      <c r="I302" t="str">
        <f>HYPERLINK("https://store.steampowered.com/app/1774580/STAR_WARS_Jedi_Survivor/?curator_clanid=4777282","Abrir Steam")</f>
        <v>Abrir Steam</v>
      </c>
      <c r="J302" t="s">
        <v>16</v>
      </c>
      <c r="K302" t="s">
        <v>16</v>
      </c>
      <c r="L302" t="s">
        <v>16</v>
      </c>
      <c r="M302" t="str">
        <f>HYPERLINK("https://www.eneba.com/latam/steam-star-wars-jedi-survivortm-pc-steam-key-global","Eneba")</f>
        <v>Eneba</v>
      </c>
    </row>
    <row r="303">
      <c r="A303" t="s">
        <v>16</v>
      </c>
      <c r="B303" t="s">
        <v>16</v>
      </c>
      <c r="C303" t="s">
        <v>17</v>
      </c>
      <c r="D303">
        <v>8686</v>
      </c>
      <c r="E303">
        <v>131266</v>
      </c>
      <c r="F303">
        <v>35686</v>
      </c>
      <c r="G303">
        <v>51388</v>
      </c>
      <c r="H303">
        <v>27000</v>
      </c>
      <c r="I303" t="str">
        <f>HYPERLINK("https://store.steampowered.com/app/1774580/STAR_WARS_Jedi_Survivor/?curator_clanid=4777282","Abrir Steam")</f>
        <v>Abrir Steam</v>
      </c>
      <c r="J303" t="str">
        <f>HYPERLINK("https://www.kinguin.net/es/category/158455/star-wars-jedi-survivor-steam-account","Kinguin")</f>
        <v>Kinguin</v>
      </c>
      <c r="K303" t="str">
        <f>HYPERLINK("https://driffle.com/es/star-wars-jedi-survivor-global-pc-steam-account-p9971599","Driffle")</f>
        <v>Driffle</v>
      </c>
      <c r="L303" t="s">
        <v>16</v>
      </c>
      <c r="M303" t="s">
        <v>16</v>
      </c>
    </row>
    <row r="304">
      <c r="A304" t="s">
        <v>16</v>
      </c>
      <c r="B304" t="s">
        <v>44</v>
      </c>
      <c r="C304" t="s">
        <v>15</v>
      </c>
      <c r="D304">
        <v>0</v>
      </c>
      <c r="E304">
        <v>168776</v>
      </c>
      <c r="F304">
        <v>0</v>
      </c>
      <c r="G304">
        <v>0</v>
      </c>
      <c r="H304">
        <v>0</v>
      </c>
      <c r="I304" t="str">
        <f>HYPERLINK("https://store.steampowered.com/app/1774580/STAR_WARS_Jedi_Survivor/?curator_clanid=4777282","Abrir Steam")</f>
        <v>Abrir Steam</v>
      </c>
      <c r="J304" t="s">
        <v>16</v>
      </c>
      <c r="K304" t="str">
        <f>HYPERLINK("https://driffle.com/es/star-wars-jedi-survivor-deluxe-edition-global-pc-steam-digital-key-p9930698","Driffle")</f>
        <v>Driffle</v>
      </c>
      <c r="L304" t="s">
        <v>16</v>
      </c>
      <c r="M304" t="str">
        <f>HYPERLINK("https://www.eneba.com/latam/steam-star-wars-jedi-survivortm-deluxe-edition-pc-steam-key-global","Eneba")</f>
        <v>Eneba</v>
      </c>
    </row>
    <row r="305">
      <c r="A305" t="s">
        <v>16</v>
      </c>
      <c r="B305" t="s">
        <v>16</v>
      </c>
      <c r="C305" t="s">
        <v>17</v>
      </c>
      <c r="D305">
        <v>99391</v>
      </c>
      <c r="E305">
        <v>168776</v>
      </c>
      <c r="F305">
        <v>114391</v>
      </c>
      <c r="G305">
        <v>164723</v>
      </c>
      <c r="H305">
        <v>15000</v>
      </c>
      <c r="I305" t="str">
        <f>HYPERLINK("https://store.steampowered.com/app/1774580/STAR_WARS_Jedi_Survivor/?curator_clanid=4777282","Abrir Steam")</f>
        <v>Abrir Steam</v>
      </c>
      <c r="J305" t="str">
        <f>HYPERLINK("https://www.kinguin.net/es/category/160069/star-wars-jedi-survivor-deluxe-edition-steam-account","Kinguin")</f>
        <v>Kinguin</v>
      </c>
      <c r="K305" t="s">
        <v>16</v>
      </c>
      <c r="L305" t="s">
        <v>16</v>
      </c>
      <c r="M305" t="s">
        <v>16</v>
      </c>
    </row>
    <row r="306">
      <c r="A306" t="s">
        <v>128</v>
      </c>
      <c r="B306" t="s">
        <v>14</v>
      </c>
      <c r="C306" t="s">
        <v>15</v>
      </c>
      <c r="D306">
        <v>42063</v>
      </c>
      <c r="E306">
        <v>112511</v>
      </c>
      <c r="F306">
        <v>77063</v>
      </c>
      <c r="G306">
        <v>110971</v>
      </c>
      <c r="H306">
        <v>35000</v>
      </c>
      <c r="I306" t="str">
        <f>HYPERLINK("https://store.steampowered.com/app/3489700/Stellar_Blade/","Abrir Steam")</f>
        <v>Abrir Steam</v>
      </c>
      <c r="J306" t="str">
        <f>HYPERLINK("https://www.kinguin.net/es/category/346615/stellar-blade-latam-pc-steam-cd-key","Kinguin")</f>
        <v>Kinguin</v>
      </c>
      <c r="K306" t="str">
        <f>HYPERLINK("https://driffle.com/es/stellar-blade-latam-pc-steam-digital-key-p9938571","Driffle")</f>
        <v>Driffle</v>
      </c>
      <c r="L306" t="str">
        <f>HYPERLINK("https://www.loaded.com/es_es/stellar-blade-pc-steam","Loaded")</f>
        <v>Loaded</v>
      </c>
      <c r="M306" t="str">
        <f>HYPERLINK("https://www.eneba.com/latam/steam-stellar-blade-steam-key-pc-latam","Eneba")</f>
        <v>Eneba</v>
      </c>
    </row>
    <row r="307">
      <c r="A307" t="s">
        <v>16</v>
      </c>
      <c r="B307" t="s">
        <v>16</v>
      </c>
      <c r="C307" t="s">
        <v>17</v>
      </c>
      <c r="D307">
        <v>50337</v>
      </c>
      <c r="E307">
        <v>112511</v>
      </c>
      <c r="F307">
        <v>70014</v>
      </c>
      <c r="G307">
        <v>100820</v>
      </c>
      <c r="H307">
        <v>19677</v>
      </c>
      <c r="I307" t="str">
        <f>HYPERLINK("https://store.steampowered.com/app/3489700/Stellar_Blade/","Abrir Steam")</f>
        <v>Abrir Steam</v>
      </c>
      <c r="J307" t="s">
        <v>16</v>
      </c>
      <c r="K307" t="str">
        <f>HYPERLINK("https://driffle.com/es/stellar-blade-global-pc-steam-account-p9979470","Driffle")</f>
        <v>Driffle</v>
      </c>
      <c r="L307" t="s">
        <v>16</v>
      </c>
      <c r="M307" t="s">
        <v>16</v>
      </c>
    </row>
    <row r="308">
      <c r="A308" t="s">
        <v>16</v>
      </c>
      <c r="B308" t="s">
        <v>129</v>
      </c>
      <c r="C308" t="s">
        <v>15</v>
      </c>
      <c r="D308">
        <v>59335</v>
      </c>
      <c r="E308">
        <v>131266</v>
      </c>
      <c r="F308">
        <v>94335</v>
      </c>
      <c r="G308">
        <v>135842</v>
      </c>
      <c r="H308">
        <v>35000</v>
      </c>
      <c r="I308" t="str">
        <f>HYPERLINK("https://store.steampowered.com/app/3489700/Stellar_Blade/","Abrir Steam")</f>
        <v>Abrir Steam</v>
      </c>
      <c r="J308" t="str">
        <f>HYPERLINK("https://www.kinguin.net/es/category/346620/stellar-blade-complete-edition-latam-pc-steam-cd-key","Kinguin")</f>
        <v>Kinguin</v>
      </c>
      <c r="K308" t="str">
        <f>HYPERLINK("https://driffle.com/es/stellar-blade-complete-edition-latam-pc-steam-digital-key-p9938572","Driffle")</f>
        <v>Driffle</v>
      </c>
      <c r="L308" t="str">
        <f>HYPERLINK("https://www.loaded.com/es_es/stellar-blade-complete-edition-pc-steam","Loaded")</f>
        <v>Loaded</v>
      </c>
      <c r="M308" t="str">
        <f>HYPERLINK("https://www.eneba.com/latam/steam-stellar-blade-complete-edition-steam-key-pc-latam","Eneba")</f>
        <v>Eneba</v>
      </c>
    </row>
    <row r="309">
      <c r="A309" t="s">
        <v>16</v>
      </c>
      <c r="B309" t="s">
        <v>16</v>
      </c>
      <c r="C309" t="s">
        <v>17</v>
      </c>
      <c r="D309">
        <v>84175</v>
      </c>
      <c r="E309">
        <v>131266</v>
      </c>
      <c r="F309">
        <v>99175</v>
      </c>
      <c r="G309">
        <v>142812</v>
      </c>
      <c r="H309">
        <v>15000</v>
      </c>
      <c r="I309" t="str">
        <f>HYPERLINK("https://store.steampowered.com/app/3489700/Stellar_Blade/","Abrir Steam")</f>
        <v>Abrir Steam</v>
      </c>
      <c r="J309" t="str">
        <f>HYPERLINK("https://www.kinguin.net/es/category/340981/stellar-blade-complete-edition-pc-steam-account","Kinguin")</f>
        <v>Kinguin</v>
      </c>
      <c r="K309" t="str">
        <f>HYPERLINK("https://driffle.com/es/stellar-blade-complete-edition-global-pc-steam-account-p9979471","Driffle")</f>
        <v>Driffle</v>
      </c>
      <c r="L309" t="s">
        <v>16</v>
      </c>
      <c r="M309" t="s">
        <v>16</v>
      </c>
    </row>
    <row r="310">
      <c r="A310" t="s">
        <v>130</v>
      </c>
      <c r="B310" t="s">
        <v>14</v>
      </c>
      <c r="C310" t="s">
        <v>15</v>
      </c>
      <c r="D310">
        <v>23030</v>
      </c>
      <c r="E310">
        <v>56246</v>
      </c>
      <c r="F310">
        <v>42185</v>
      </c>
      <c r="G310">
        <v>60746</v>
      </c>
      <c r="H310">
        <v>19155</v>
      </c>
      <c r="I310" t="str">
        <f>HYPERLINK("https://store.steampowered.com/app/1364780/Street_Fighter_6/","Abrir Steam")</f>
        <v>Abrir Steam</v>
      </c>
      <c r="J310" t="str">
        <f>HYPERLINK("https://www.kinguin.net/es/category/164647/street-fighter-6-pc-steam-cd-key","Kinguin")</f>
        <v>Kinguin</v>
      </c>
      <c r="K310" t="s">
        <v>16</v>
      </c>
      <c r="L310" t="s">
        <v>16</v>
      </c>
      <c r="M310" t="str">
        <f>HYPERLINK("https://www.eneba.com/latam/steam-street-fighter-6-pc-steam-key-latam","Eneba")</f>
        <v>Eneba</v>
      </c>
    </row>
    <row r="311">
      <c r="A311" t="s">
        <v>16</v>
      </c>
      <c r="B311" t="s">
        <v>16</v>
      </c>
      <c r="C311" t="s">
        <v>17</v>
      </c>
      <c r="D311">
        <v>22734</v>
      </c>
      <c r="E311">
        <v>56246</v>
      </c>
      <c r="F311">
        <v>37734</v>
      </c>
      <c r="G311">
        <v>54337</v>
      </c>
      <c r="H311">
        <v>15000</v>
      </c>
      <c r="I311" t="str">
        <f>HYPERLINK("https://store.steampowered.com/app/1364780/Street_Fighter_6/","Abrir Steam")</f>
        <v>Abrir Steam</v>
      </c>
      <c r="J311" t="str">
        <f>HYPERLINK("https://www.kinguin.net/es/category/153297/street-fighter-6-steam-account","Kinguin")</f>
        <v>Kinguin</v>
      </c>
      <c r="K311" t="s">
        <v>16</v>
      </c>
      <c r="L311" t="s">
        <v>16</v>
      </c>
      <c r="M311" t="s">
        <v>16</v>
      </c>
    </row>
    <row r="312">
      <c r="A312" t="s">
        <v>16</v>
      </c>
      <c r="B312" t="s">
        <v>131</v>
      </c>
      <c r="C312" t="s">
        <v>15</v>
      </c>
      <c r="D312">
        <v>68728</v>
      </c>
      <c r="E312">
        <v>84398</v>
      </c>
      <c r="F312">
        <v>83728</v>
      </c>
      <c r="G312">
        <v>120568</v>
      </c>
      <c r="H312">
        <v>15000</v>
      </c>
      <c r="I312" t="str">
        <f>HYPERLINK("https://store.steampowered.com/app/1364780/Street_Fighter_6/","Abrir Steam")</f>
        <v>Abrir Steam</v>
      </c>
      <c r="J312" t="str">
        <f>HYPERLINK("https://www.kinguin.net/es/category/353130/street-fighter-6-years-1-2-fighters-edition-latam-pc-steam-cd-key","Kinguin")</f>
        <v>Kinguin</v>
      </c>
      <c r="K312" t="str">
        <f>HYPERLINK("https://driffle.com/es/street-fighter-6-years-12-fighter-edition-latam-pc-steam-digital-key-p9940168","Driffle")</f>
        <v>Driffle</v>
      </c>
      <c r="L312" t="s">
        <v>16</v>
      </c>
      <c r="M312" t="str">
        <f>HYPERLINK("https://www.eneba.com/latam/steam-street-fightertm-6-years-1-2-fighters-edition-steam-key-pc-latam","Eneba")</f>
        <v>Eneba</v>
      </c>
    </row>
    <row r="313">
      <c r="A313" t="s">
        <v>16</v>
      </c>
      <c r="B313" t="s">
        <v>16</v>
      </c>
      <c r="C313" t="s">
        <v>17</v>
      </c>
      <c r="D313">
        <v>0</v>
      </c>
      <c r="E313">
        <v>84398</v>
      </c>
      <c r="F313">
        <v>0</v>
      </c>
      <c r="G313">
        <v>0</v>
      </c>
      <c r="H313">
        <v>0</v>
      </c>
      <c r="I313" t="str">
        <f>HYPERLINK("https://store.steampowered.com/app/1364780/Street_Fighter_6/","Abrir Steam")</f>
        <v>Abrir Steam</v>
      </c>
      <c r="J313" t="str">
        <f>HYPERLINK("https://www.kinguin.net/es/category/437624/street-fighter-6-years-1-2-fighters-edition-pc-steam-account","Kinguin")</f>
        <v>Kinguin</v>
      </c>
      <c r="K313" t="s">
        <v>16</v>
      </c>
      <c r="L313" t="s">
        <v>16</v>
      </c>
      <c r="M313" t="s">
        <v>16</v>
      </c>
    </row>
    <row r="314">
      <c r="A314" t="s">
        <v>132</v>
      </c>
      <c r="B314" t="s">
        <v>14</v>
      </c>
      <c r="C314" t="s">
        <v>15</v>
      </c>
      <c r="D314">
        <v>0</v>
      </c>
      <c r="E314">
        <v>39367</v>
      </c>
      <c r="F314">
        <v>0</v>
      </c>
      <c r="G314">
        <v>0</v>
      </c>
      <c r="H314">
        <v>0</v>
      </c>
      <c r="I314" t="str">
        <f>HYPERLINK("https://store.steampowered.com/app/1962700/Subnautica_2/","Abrir Steam")</f>
        <v>Abrir Steam</v>
      </c>
      <c r="J314" t="s">
        <v>16</v>
      </c>
      <c r="K314" t="s">
        <v>16</v>
      </c>
      <c r="L314" t="s">
        <v>16</v>
      </c>
      <c r="M314" t="str">
        <f>HYPERLINK("https://www.eneba.com/latam/steam-subnautica-2-steam-key-pc-global","Eneba")</f>
        <v>Eneba</v>
      </c>
    </row>
    <row r="315">
      <c r="A315" t="s">
        <v>16</v>
      </c>
      <c r="B315" t="s">
        <v>16</v>
      </c>
      <c r="C315" t="s">
        <v>17</v>
      </c>
      <c r="D315">
        <v>20793</v>
      </c>
      <c r="E315">
        <v>39367</v>
      </c>
      <c r="F315">
        <v>35793</v>
      </c>
      <c r="G315">
        <v>51542</v>
      </c>
      <c r="H315">
        <v>15000</v>
      </c>
      <c r="I315" t="str">
        <f>HYPERLINK("https://store.steampowered.com/app/1962700/Subnautica_2/","Abrir Steam")</f>
        <v>Abrir Steam</v>
      </c>
      <c r="J315" t="str">
        <f>HYPERLINK("https://www.kinguin.net/es/category/492108/subnautica-2-pc-steam-account","Kinguin")</f>
        <v>Kinguin</v>
      </c>
      <c r="K315" t="str">
        <f>HYPERLINK("https://driffle.com/es/subnautica-2-global-pc-steam-account-p9995025","Driffle")</f>
        <v>Driffle</v>
      </c>
      <c r="L315" t="s">
        <v>16</v>
      </c>
      <c r="M315" t="s">
        <v>16</v>
      </c>
    </row>
    <row r="316">
      <c r="A316" t="s">
        <v>133</v>
      </c>
      <c r="B316" t="s">
        <v>14</v>
      </c>
      <c r="C316" t="s">
        <v>15</v>
      </c>
      <c r="D316">
        <v>32768</v>
      </c>
      <c r="E316">
        <v>59997</v>
      </c>
      <c r="F316">
        <v>67768</v>
      </c>
      <c r="G316">
        <v>97586</v>
      </c>
      <c r="H316">
        <v>35000</v>
      </c>
      <c r="I316" t="str">
        <f>HYPERLINK("https://store.steampowered.com/app/1778820/TEKKEN_8/?curator_clanid=4777282","Abrir Steam")</f>
        <v>Abrir Steam</v>
      </c>
      <c r="J316" t="str">
        <f>HYPERLINK("https://www.kinguin.net/es/category/296523/tekken-8-pc-steam-cd-key","Kinguin")</f>
        <v>Kinguin</v>
      </c>
      <c r="K316" t="str">
        <f>HYPERLINK("https://driffle.com/es/tekken-8-pc-steam-digital-code-p9888257","Driffle")</f>
        <v>Driffle</v>
      </c>
      <c r="L316" t="str">
        <f>HYPERLINK("https://www.loaded.com/es_es/tekken-8-pc-steam","Loaded")</f>
        <v>Loaded</v>
      </c>
      <c r="M316" t="str">
        <f>HYPERLINK("https://www.eneba.com/latam/steam-tekken-8-pc-steam-key-global","Eneba")</f>
        <v>Eneba</v>
      </c>
    </row>
    <row r="317">
      <c r="A317" t="s">
        <v>16</v>
      </c>
      <c r="B317" t="s">
        <v>16</v>
      </c>
      <c r="C317" t="s">
        <v>17</v>
      </c>
      <c r="D317">
        <v>50748</v>
      </c>
      <c r="E317">
        <v>59997</v>
      </c>
      <c r="F317">
        <v>65748</v>
      </c>
      <c r="G317">
        <v>94677</v>
      </c>
      <c r="H317">
        <v>15000</v>
      </c>
      <c r="I317" t="str">
        <f>HYPERLINK("https://store.steampowered.com/app/1778820/TEKKEN_8/?curator_clanid=4777282","Abrir Steam")</f>
        <v>Abrir Steam</v>
      </c>
      <c r="J317" t="str">
        <f>HYPERLINK("https://www.kinguin.net/es/category/180122/tekken-8-steam-account","Kinguin")</f>
        <v>Kinguin</v>
      </c>
      <c r="K317" t="str">
        <f>HYPERLINK("https://driffle.com/es/tekken-8-global-pc-steam-account-p9997873","Driffle")</f>
        <v>Driffle</v>
      </c>
      <c r="L317" t="s">
        <v>16</v>
      </c>
      <c r="M317" t="s">
        <v>16</v>
      </c>
    </row>
    <row r="318">
      <c r="A318" t="s">
        <v>134</v>
      </c>
      <c r="B318" t="s">
        <v>14</v>
      </c>
      <c r="C318" t="s">
        <v>15</v>
      </c>
      <c r="D318">
        <v>14492</v>
      </c>
      <c r="E318">
        <v>44993</v>
      </c>
      <c r="F318">
        <v>33745</v>
      </c>
      <c r="G318">
        <v>48593</v>
      </c>
      <c r="H318">
        <v>19253</v>
      </c>
      <c r="I318" t="str">
        <f>HYPERLINK("https://store.steampowered.com/app/489830/The_Elder_Scrolls_V_Skyrim_Special_Edition/","Abrir Steam")</f>
        <v>Abrir Steam</v>
      </c>
      <c r="J318" t="str">
        <f>HYPERLINK("https://www.kinguin.net/es/category/301555/the-elder-scrolls-v-skyrim-special-edition-latam-ru-cis-tr-pc-steam-cd-key","Kinguin")</f>
        <v>Kinguin</v>
      </c>
      <c r="K318" t="str">
        <f>HYPERLINK("https://driffle.com/es/the-elder-scrolls-v-skyrim-special-edition-latam-pc-steam-digital-key-p9981028","Driffle")</f>
        <v>Driffle</v>
      </c>
      <c r="L318" t="str">
        <f>HYPERLINK("https://www.loaded.com/es_es/the-elder-scrolls-v-5-skyrim-special-edition-pc-steam-cd-key","Loaded")</f>
        <v>Loaded</v>
      </c>
      <c r="M318" t="str">
        <f>HYPERLINK("https://www.eneba.com/latam/steam-the-elder-scrolls-v-skyrim-special-edition-steam-key-latam","Eneba")</f>
        <v>Eneba</v>
      </c>
    </row>
    <row r="319">
      <c r="A319" t="s">
        <v>16</v>
      </c>
      <c r="B319" t="s">
        <v>16</v>
      </c>
      <c r="C319" t="s">
        <v>17</v>
      </c>
      <c r="D319">
        <v>7847</v>
      </c>
      <c r="E319">
        <v>44993</v>
      </c>
      <c r="F319">
        <v>26686</v>
      </c>
      <c r="G319">
        <v>38428</v>
      </c>
      <c r="H319">
        <v>18839</v>
      </c>
      <c r="I319" t="str">
        <f>HYPERLINK("https://store.steampowered.com/app/489830/The_Elder_Scrolls_V_Skyrim_Special_Edition/","Abrir Steam")</f>
        <v>Abrir Steam</v>
      </c>
      <c r="J319" t="str">
        <f>HYPERLINK("https://www.kinguin.net/es/category/206801/the-elder-scrolls-v-skyrim-special-edition-pc-steam-account","Kinguin")</f>
        <v>Kinguin</v>
      </c>
      <c r="K319" t="str">
        <f>HYPERLINK("https://driffle.com/es/the-elder-scrolls-v-skyrim-special-edition-global-pc-steam-account-p9997153","Driffle")</f>
        <v>Driffle</v>
      </c>
      <c r="L319" t="s">
        <v>16</v>
      </c>
      <c r="M319" t="s">
        <v>16</v>
      </c>
    </row>
    <row r="320">
      <c r="A320" t="s">
        <v>135</v>
      </c>
      <c r="B320" t="s">
        <v>14</v>
      </c>
      <c r="C320" t="s">
        <v>15</v>
      </c>
      <c r="D320">
        <v>34298</v>
      </c>
      <c r="E320">
        <v>112511</v>
      </c>
      <c r="F320">
        <v>68642</v>
      </c>
      <c r="G320">
        <v>98844</v>
      </c>
      <c r="H320">
        <v>34344</v>
      </c>
      <c r="I320" t="str">
        <f>HYPERLINK("https://store.steampowered.com/app/1888930/The_Last_of_Us_Parte_I/","Abrir Steam")</f>
        <v>Abrir Steam</v>
      </c>
      <c r="J320" t="str">
        <f>HYPERLINK("https://www.kinguin.net/es/category/160275/the-last-of-us-part-1-latam-steam-cd-key","Kinguin")</f>
        <v>Kinguin</v>
      </c>
      <c r="K320" t="str">
        <f>HYPERLINK("https://driffle.com/es/the-last-of-us-part-i-latam-pc-steam-digital-key-p9975836","Driffle")</f>
        <v>Driffle</v>
      </c>
      <c r="L320" t="str">
        <f>HYPERLINK("https://www.loaded.com/es_es/the-last-of-us-part-i-pc-steam","Loaded")</f>
        <v>Loaded</v>
      </c>
      <c r="M320" t="str">
        <f>HYPERLINK("https://www.eneba.com/latam/steam-the-last-of-us-part-i-pc-steam-key-latam","Eneba")</f>
        <v>Eneba</v>
      </c>
    </row>
    <row r="321">
      <c r="A321" t="s">
        <v>16</v>
      </c>
      <c r="B321" t="s">
        <v>16</v>
      </c>
      <c r="C321" t="s">
        <v>17</v>
      </c>
      <c r="D321">
        <v>32686</v>
      </c>
      <c r="E321">
        <v>112511</v>
      </c>
      <c r="F321">
        <v>59686</v>
      </c>
      <c r="G321">
        <v>85948</v>
      </c>
      <c r="H321">
        <v>27000</v>
      </c>
      <c r="I321" t="str">
        <f>HYPERLINK("https://store.steampowered.com/app/1888930/The_Last_of_Us_Parte_I/","Abrir Steam")</f>
        <v>Abrir Steam</v>
      </c>
      <c r="J321" t="str">
        <f>HYPERLINK("https://www.kinguin.net/es/category/150724/the-last-of-us-part-1-steam-account","Kinguin")</f>
        <v>Kinguin</v>
      </c>
      <c r="K321" t="s">
        <v>16</v>
      </c>
      <c r="L321" t="s">
        <v>16</v>
      </c>
      <c r="M321" t="s">
        <v>16</v>
      </c>
    </row>
    <row r="322">
      <c r="A322" t="s">
        <v>16</v>
      </c>
      <c r="B322" t="s">
        <v>44</v>
      </c>
      <c r="C322" t="s">
        <v>15</v>
      </c>
      <c r="D322">
        <v>0</v>
      </c>
      <c r="E322">
        <v>112511</v>
      </c>
      <c r="F322">
        <v>0</v>
      </c>
      <c r="G322">
        <v>0</v>
      </c>
      <c r="H322">
        <v>0</v>
      </c>
      <c r="I322" t="str">
        <f>HYPERLINK("https://store.steampowered.com/app/1888930/The_Last_of_Us_Parte_I/","Abrir Steam")</f>
        <v>Abrir Steam</v>
      </c>
      <c r="J322" t="str">
        <f>HYPERLINK("https://www.kinguin.net/es/category/325061/the-last-of-us-part-1-digital-deluxe-edition-latam-pc-steam-cd-key","Kinguin")</f>
        <v>Kinguin</v>
      </c>
      <c r="K322" t="s">
        <v>16</v>
      </c>
      <c r="L322" t="str">
        <f>HYPERLINK("https://www.loaded.com/es_es/the-last-of-us-part-i-deluxe-edition-pc-steam","Loaded")</f>
        <v>Loaded</v>
      </c>
      <c r="M322" t="str">
        <f>HYPERLINK("https://www.eneba.com/latam/steam-the-last-of-us-part-i-digital-deluxe-edition-pc-steam-key-global","Eneba")</f>
        <v>Eneba</v>
      </c>
    </row>
    <row r="323">
      <c r="A323" t="s">
        <v>16</v>
      </c>
      <c r="B323" t="s">
        <v>16</v>
      </c>
      <c r="C323" t="s">
        <v>17</v>
      </c>
      <c r="D323">
        <v>0</v>
      </c>
      <c r="E323">
        <v>112511</v>
      </c>
      <c r="F323">
        <v>0</v>
      </c>
      <c r="G323">
        <v>0</v>
      </c>
      <c r="H323">
        <v>0</v>
      </c>
      <c r="I323" t="str">
        <f>HYPERLINK("https://store.steampowered.com/app/1888930/The_Last_of_Us_Parte_I/","Abrir Steam")</f>
        <v>Abrir Steam</v>
      </c>
      <c r="J323" t="s">
        <v>16</v>
      </c>
      <c r="K323" t="s">
        <v>16</v>
      </c>
      <c r="L323" t="s">
        <v>16</v>
      </c>
      <c r="M323" t="s">
        <v>16</v>
      </c>
    </row>
    <row r="324">
      <c r="A324" t="s">
        <v>136</v>
      </c>
      <c r="B324" t="s">
        <v>14</v>
      </c>
      <c r="C324" t="s">
        <v>15</v>
      </c>
      <c r="D324">
        <v>38674</v>
      </c>
      <c r="E324">
        <v>75001</v>
      </c>
      <c r="F324">
        <v>56251</v>
      </c>
      <c r="G324">
        <v>81001</v>
      </c>
      <c r="H324">
        <v>17577</v>
      </c>
      <c r="I324" t="str">
        <f>HYPERLINK("https://store.steampowered.com/app/2531310/The_Last_of_Us_Parte_II_Remastered/","Abrir Steam")</f>
        <v>Abrir Steam</v>
      </c>
      <c r="J324" t="str">
        <f>HYPERLINK("https://www.kinguin.net/es/category/326607/the-last-of-us-part-2-remastered-latam-pc-steam-cd-key","Kinguin")</f>
        <v>Kinguin</v>
      </c>
      <c r="K324" t="str">
        <f>HYPERLINK("https://driffle.com/es/the-last-of-us-part-ii-remastered-latam-pc-steam-digital-key-p9934842","Driffle")</f>
        <v>Driffle</v>
      </c>
      <c r="L324" t="str">
        <f>HYPERLINK("https://www.loaded.com/es_es/the-last-of-us-part-ii-remastered-pc-steam","Loaded")</f>
        <v>Loaded</v>
      </c>
      <c r="M324" t="str">
        <f>HYPERLINK("https://www.eneba.com/latam/steam-the-last-of-ustm-part-ii-remastered-pc-steam-key-latam","Eneba")</f>
        <v>Eneba</v>
      </c>
    </row>
    <row r="325">
      <c r="A325" t="s">
        <v>16</v>
      </c>
      <c r="B325" t="s">
        <v>16</v>
      </c>
      <c r="C325" t="s">
        <v>17</v>
      </c>
      <c r="D325">
        <v>47771</v>
      </c>
      <c r="E325">
        <v>75001</v>
      </c>
      <c r="F325">
        <v>62771</v>
      </c>
      <c r="G325">
        <v>90390</v>
      </c>
      <c r="H325">
        <v>15000</v>
      </c>
      <c r="I325" t="str">
        <f>HYPERLINK("https://store.steampowered.com/app/2531310/The_Last_of_Us_Parte_II_Remastered/","Abrir Steam")</f>
        <v>Abrir Steam</v>
      </c>
      <c r="J325" t="str">
        <f>HYPERLINK("https://www.kinguin.net/es/category/321634/the-last-of-us-part-2-remastered-pc-steam-account","Kinguin")</f>
        <v>Kinguin</v>
      </c>
      <c r="K325" t="s">
        <v>16</v>
      </c>
      <c r="L325" t="s">
        <v>16</v>
      </c>
      <c r="M325" t="s">
        <v>16</v>
      </c>
    </row>
    <row r="326">
      <c r="A326" t="s">
        <v>137</v>
      </c>
      <c r="B326" t="s">
        <v>14</v>
      </c>
      <c r="C326" t="s">
        <v>15</v>
      </c>
      <c r="D326">
        <v>0</v>
      </c>
      <c r="E326">
        <v>65624</v>
      </c>
      <c r="F326">
        <v>0</v>
      </c>
      <c r="G326">
        <v>0</v>
      </c>
      <c r="H326">
        <v>0</v>
      </c>
      <c r="I326" t="str">
        <f>HYPERLINK("https://store.steampowered.com/app/292030/The_Witcher_3_Wild_Hunt/","Abrir Steam")</f>
        <v>Abrir Steam</v>
      </c>
      <c r="J326" t="s">
        <v>16</v>
      </c>
      <c r="K326" t="s">
        <v>16</v>
      </c>
      <c r="L326" t="s">
        <v>16</v>
      </c>
      <c r="M326" t="s">
        <v>16</v>
      </c>
    </row>
    <row r="327">
      <c r="A327" t="s">
        <v>16</v>
      </c>
      <c r="B327" t="s">
        <v>16</v>
      </c>
      <c r="C327" t="s">
        <v>17</v>
      </c>
      <c r="D327">
        <v>0</v>
      </c>
      <c r="E327">
        <v>65624</v>
      </c>
      <c r="F327">
        <v>0</v>
      </c>
      <c r="G327">
        <v>0</v>
      </c>
      <c r="H327">
        <v>0</v>
      </c>
      <c r="I327" t="str">
        <f>HYPERLINK("https://store.steampowered.com/app/292030/The_Witcher_3_Wild_Hunt/","Abrir Steam")</f>
        <v>Abrir Steam</v>
      </c>
      <c r="J327" t="str">
        <f>HYPERLINK("https://www.kinguin.net/es/category/150064/the-witcher-3-wild-hunt-steam-account","Kinguin")</f>
        <v>Kinguin</v>
      </c>
      <c r="K327" t="s">
        <v>16</v>
      </c>
      <c r="L327" t="s">
        <v>16</v>
      </c>
      <c r="M327" t="s">
        <v>16</v>
      </c>
    </row>
    <row r="328">
      <c r="A328" t="s">
        <v>16</v>
      </c>
      <c r="B328" t="s">
        <v>129</v>
      </c>
      <c r="C328" t="s">
        <v>15</v>
      </c>
      <c r="D328">
        <v>0</v>
      </c>
      <c r="E328">
        <v>65624</v>
      </c>
      <c r="F328">
        <v>0</v>
      </c>
      <c r="G328">
        <v>0</v>
      </c>
      <c r="H328">
        <v>0</v>
      </c>
      <c r="I328" t="str">
        <f>HYPERLINK("https://store.steampowered.com/app/292030/The_Witcher_3_Wild_Hunt/","Abrir Steam")</f>
        <v>Abrir Steam</v>
      </c>
      <c r="J328" t="s">
        <v>16</v>
      </c>
      <c r="K328" t="s">
        <v>16</v>
      </c>
      <c r="L328" t="s">
        <v>16</v>
      </c>
      <c r="M328" t="s">
        <v>16</v>
      </c>
    </row>
    <row r="329">
      <c r="A329" t="s">
        <v>16</v>
      </c>
      <c r="B329" t="s">
        <v>16</v>
      </c>
      <c r="C329" t="s">
        <v>17</v>
      </c>
      <c r="D329">
        <v>0</v>
      </c>
      <c r="E329">
        <v>65624</v>
      </c>
      <c r="F329">
        <v>0</v>
      </c>
      <c r="G329">
        <v>0</v>
      </c>
      <c r="H329">
        <v>0</v>
      </c>
      <c r="I329" t="str">
        <f>HYPERLINK("https://store.steampowered.com/app/292030/The_Witcher_3_Wild_Hunt/","Abrir Steam")</f>
        <v>Abrir Steam</v>
      </c>
      <c r="J329" t="str">
        <f>HYPERLINK("https://www.kinguin.net/es/category/246280/the-witcher-3-wild-hunt-complete-edition-pc-steam-account","Kinguin")</f>
        <v>Kinguin</v>
      </c>
      <c r="K329" t="s">
        <v>16</v>
      </c>
      <c r="L329" t="s">
        <v>16</v>
      </c>
      <c r="M329" t="s">
        <v>16</v>
      </c>
    </row>
    <row r="330">
      <c r="A330" t="s">
        <v>138</v>
      </c>
      <c r="B330" t="s">
        <v>14</v>
      </c>
      <c r="C330" t="s">
        <v>15</v>
      </c>
      <c r="D330">
        <v>17338</v>
      </c>
      <c r="E330">
        <v>93756</v>
      </c>
      <c r="F330">
        <v>44338</v>
      </c>
      <c r="G330">
        <v>63847</v>
      </c>
      <c r="H330">
        <v>27000</v>
      </c>
      <c r="I330" t="str">
        <f>HYPERLINK("https://store.steampowered.com/app/1659420/UNCHARTED_Coleccin_Legado_de_los_Ladrones/?curator_clanid=4777282","Abrir Steam")</f>
        <v>Abrir Steam</v>
      </c>
      <c r="J330" t="str">
        <f>HYPERLINK("https://www.kinguin.net/es/category/119860/uncharted-legacy-of-thieves-collection-steam-cd-key","Kinguin")</f>
        <v>Kinguin</v>
      </c>
      <c r="K330" t="str">
        <f>HYPERLINK("https://driffle.com/es/uncharted-legacy-of-thieves-collection-latam-pc-steam-digital-key-p9975841","Driffle")</f>
        <v>Driffle</v>
      </c>
      <c r="L330" t="str">
        <f>HYPERLINK("https://www.loaded.com/es_es/uncharted-legacy-of-thieves-collection-pc-steam","Loaded")</f>
        <v>Loaded</v>
      </c>
      <c r="M330" t="str">
        <f>HYPERLINK("https://www.eneba.com/latam/steam-uncharted-legacy-of-thieves-collection-pc-steam-key-latam","Eneba")</f>
        <v>Eneba</v>
      </c>
    </row>
    <row r="331">
      <c r="A331" t="s">
        <v>16</v>
      </c>
      <c r="B331" t="s">
        <v>16</v>
      </c>
      <c r="C331" t="s">
        <v>17</v>
      </c>
      <c r="D331">
        <v>0</v>
      </c>
      <c r="E331">
        <v>93756</v>
      </c>
      <c r="F331">
        <v>0</v>
      </c>
      <c r="G331">
        <v>0</v>
      </c>
      <c r="H331">
        <v>0</v>
      </c>
      <c r="I331" t="str">
        <f>HYPERLINK("https://store.steampowered.com/app/1659420/UNCHARTED_Coleccin_Legado_de_los_Ladrones/?curator_clanid=4777282","Abrir Steam")</f>
        <v>Abrir Steam</v>
      </c>
      <c r="J331" t="s">
        <v>16</v>
      </c>
      <c r="K331" t="s">
        <v>16</v>
      </c>
      <c r="L331" t="s">
        <v>16</v>
      </c>
      <c r="M331" t="s">
        <v>16</v>
      </c>
    </row>
    <row r="332">
      <c r="A332" t="s">
        <v>139</v>
      </c>
      <c r="B332" t="s">
        <v>14</v>
      </c>
      <c r="C332" t="s">
        <v>15</v>
      </c>
      <c r="D332">
        <v>34923</v>
      </c>
      <c r="E332">
        <v>112511</v>
      </c>
      <c r="F332">
        <v>69923</v>
      </c>
      <c r="G332">
        <v>100689</v>
      </c>
      <c r="H332">
        <v>35000</v>
      </c>
      <c r="I332" t="str">
        <f>HYPERLINK("https://store.steampowered.com/app/2172010/Until_Dawn/?curator_clanid=4777282","Abrir Steam")</f>
        <v>Abrir Steam</v>
      </c>
      <c r="J332" t="str">
        <f>HYPERLINK("https://www.kinguin.net/es/category/375444/until-dawn-latam-pc-steam-cd-key","Kinguin")</f>
        <v>Kinguin</v>
      </c>
      <c r="K332" t="str">
        <f>HYPERLINK("https://driffle.com/es/until-dawn-global-pc-steam-digital-key-p9918074","Driffle")</f>
        <v>Driffle</v>
      </c>
      <c r="L332" t="s">
        <v>16</v>
      </c>
      <c r="M332" t="str">
        <f>HYPERLINK("https://www.eneba.com/latam/steam-until-dawn-pc-steam-key-latam","Eneba")</f>
        <v>Eneba</v>
      </c>
    </row>
    <row r="333">
      <c r="A333" t="s">
        <v>16</v>
      </c>
      <c r="B333" t="s">
        <v>16</v>
      </c>
      <c r="C333" t="s">
        <v>17</v>
      </c>
      <c r="D333">
        <v>82431</v>
      </c>
      <c r="E333">
        <v>112511</v>
      </c>
      <c r="F333">
        <v>97431</v>
      </c>
      <c r="G333">
        <v>140301</v>
      </c>
      <c r="H333">
        <v>15000</v>
      </c>
      <c r="I333" t="str">
        <f>HYPERLINK("https://store.steampowered.com/app/2172010/Until_Dawn/?curator_clanid=4777282","Abrir Steam")</f>
        <v>Abrir Steam</v>
      </c>
      <c r="J333" t="str">
        <f>HYPERLINK("https://www.kinguin.net/es/category/272529/until-dawn-pc-steam-account","Kinguin")</f>
        <v>Kinguin</v>
      </c>
      <c r="K333" t="s">
        <v>16</v>
      </c>
      <c r="L333" t="s">
        <v>16</v>
      </c>
      <c r="M333" t="s">
        <v>16</v>
      </c>
    </row>
    <row r="334">
      <c r="A334" t="s">
        <v>140</v>
      </c>
      <c r="B334" t="s">
        <v>14</v>
      </c>
      <c r="C334" t="s">
        <v>15</v>
      </c>
      <c r="D334">
        <v>31814</v>
      </c>
      <c r="E334">
        <v>112511</v>
      </c>
      <c r="F334">
        <v>66814</v>
      </c>
      <c r="G334">
        <v>96212</v>
      </c>
      <c r="H334">
        <v>35000</v>
      </c>
      <c r="I334" t="str">
        <f>HYPERLINK("https://store.steampowered.com/app/2878960/WWE_2K25/","Abrir Steam")</f>
        <v>Abrir Steam</v>
      </c>
      <c r="J334" t="str">
        <f>HYPERLINK("https://www.kinguin.net/es/category/315139/wwe-2k25-pc-steam-cd-key","Kinguin")</f>
        <v>Kinguin</v>
      </c>
      <c r="K334" t="str">
        <f>HYPERLINK("https://driffle.com/es/wwe-2k25-global-pc-steam-digital-key-p9930153","Driffle")</f>
        <v>Driffle</v>
      </c>
      <c r="L334" t="s">
        <v>16</v>
      </c>
      <c r="M334" t="str">
        <f>HYPERLINK("https://www.eneba.com/latam/steam-wwe-2k25-steam-key-pc-global","Eneba")</f>
        <v>Eneba</v>
      </c>
    </row>
    <row r="335">
      <c r="A335" t="s">
        <v>16</v>
      </c>
      <c r="B335" t="s">
        <v>16</v>
      </c>
      <c r="C335" t="s">
        <v>17</v>
      </c>
      <c r="D335">
        <v>71113</v>
      </c>
      <c r="E335">
        <v>112511</v>
      </c>
      <c r="F335">
        <v>86113</v>
      </c>
      <c r="G335">
        <v>124003</v>
      </c>
      <c r="H335">
        <v>15000</v>
      </c>
      <c r="I335" t="str">
        <f>HYPERLINK("https://store.steampowered.com/app/2878960/WWE_2K25/","Abrir Steam")</f>
        <v>Abrir Steam</v>
      </c>
      <c r="J335" t="str">
        <f>HYPERLINK("https://www.kinguin.net/es/category/314612/wwe-2k25-pc-steam-account","Kinguin")</f>
        <v>Kinguin</v>
      </c>
      <c r="K335" t="s">
        <v>16</v>
      </c>
      <c r="L335" t="s">
        <v>16</v>
      </c>
      <c r="M335" t="s">
        <v>16</v>
      </c>
    </row>
    <row r="336">
      <c r="A336" t="s">
        <v>16</v>
      </c>
      <c r="B336" t="s">
        <v>141</v>
      </c>
      <c r="C336" t="s">
        <v>15</v>
      </c>
      <c r="D336">
        <v>195426</v>
      </c>
      <c r="E336">
        <v>243796</v>
      </c>
      <c r="F336">
        <v>210453</v>
      </c>
      <c r="G336">
        <v>303052</v>
      </c>
      <c r="H336">
        <v>15027</v>
      </c>
      <c r="I336" t="str">
        <f>HYPERLINK("https://store.steampowered.com/app/2878960/WWE_2K25/","Abrir Steam")</f>
        <v>Abrir Steam</v>
      </c>
      <c r="J336" t="str">
        <f>HYPERLINK("https://www.kinguin.net/es/category/315148/wwe-2k25-bloodline-edition-pc-steam-cd-key","Kinguin")</f>
        <v>Kinguin</v>
      </c>
      <c r="K336" t="str">
        <f>HYPERLINK("https://driffle.com/es/wwe-2k25-the-bloodline-edition-global-pc-steam-digital-key-p9930284","Driffle")</f>
        <v>Driffle</v>
      </c>
      <c r="L336" t="s">
        <v>16</v>
      </c>
      <c r="M336" t="s">
        <v>16</v>
      </c>
    </row>
    <row r="337">
      <c r="A337" t="s">
        <v>16</v>
      </c>
      <c r="B337" t="s">
        <v>16</v>
      </c>
      <c r="C337" t="s">
        <v>17</v>
      </c>
      <c r="D337">
        <v>151636</v>
      </c>
      <c r="E337">
        <v>243796</v>
      </c>
      <c r="F337">
        <v>166636</v>
      </c>
      <c r="G337">
        <v>239956</v>
      </c>
      <c r="H337">
        <v>15000</v>
      </c>
      <c r="I337" t="str">
        <f>HYPERLINK("https://store.steampowered.com/app/2878960/WWE_2K25/","Abrir Steam")</f>
        <v>Abrir Steam</v>
      </c>
      <c r="J337" t="str">
        <f>HYPERLINK("https://www.kinguin.net/es/category/319995/wwe-2k25-bloodline-edition-pc-steam-account","Kinguin")</f>
        <v>Kinguin</v>
      </c>
      <c r="K337" t="s">
        <v>16</v>
      </c>
      <c r="L337" t="s">
        <v>16</v>
      </c>
      <c r="M337" t="str">
        <f>HYPERLINK("https://www.eneba.com/latam/steam-wwe-2k25-the-bloodline-edition-steam-key-pc-global","Eneba")</f>
        <v>Eneba</v>
      </c>
    </row>
    <row r="338">
      <c r="A338" t="s">
        <v>142</v>
      </c>
      <c r="B338" t="s">
        <v>14</v>
      </c>
      <c r="C338" t="s">
        <v>15</v>
      </c>
      <c r="D338">
        <v>41799</v>
      </c>
      <c r="E338">
        <v>131266</v>
      </c>
      <c r="F338">
        <v>76742</v>
      </c>
      <c r="G338">
        <v>110508</v>
      </c>
      <c r="H338">
        <v>34943</v>
      </c>
      <c r="I338" t="str">
        <f>HYPERLINK("https://store.steampowered.com/app/3717070/WWE_2K26/","Abrir Steam")</f>
        <v>Abrir Steam</v>
      </c>
      <c r="J338" t="str">
        <f>HYPERLINK("https://www.kinguin.net/es/category/549111/wwe-2k26-pc-steam-cd-key","Kinguin")</f>
        <v>Kinguin</v>
      </c>
      <c r="K338" t="s">
        <v>16</v>
      </c>
      <c r="L338" t="s">
        <v>16</v>
      </c>
      <c r="M338" t="str">
        <f>HYPERLINK("https://www.eneba.com/latam/steam-wwe-2k26-steam-key-pc-global","Eneba")</f>
        <v>Eneba</v>
      </c>
    </row>
    <row r="339">
      <c r="A339" t="s">
        <v>16</v>
      </c>
      <c r="B339" t="s">
        <v>16</v>
      </c>
      <c r="C339" t="s">
        <v>17</v>
      </c>
      <c r="D339">
        <v>34989</v>
      </c>
      <c r="E339">
        <v>131266</v>
      </c>
      <c r="F339">
        <v>61989</v>
      </c>
      <c r="G339">
        <v>89264</v>
      </c>
      <c r="H339">
        <v>27000</v>
      </c>
      <c r="I339" t="str">
        <f>HYPERLINK("https://store.steampowered.com/app/3717070/WWE_2K26/","Abrir Steam")</f>
        <v>Abrir Steam</v>
      </c>
      <c r="J339" t="str">
        <f>HYPERLINK("https://www.kinguin.net/es/category/464749/wwe-2k26-pc-steam-account","Kinguin")</f>
        <v>Kinguin</v>
      </c>
      <c r="K339" t="s">
        <v>16</v>
      </c>
      <c r="L339" t="s">
        <v>16</v>
      </c>
      <c r="M339" t="s">
        <v>16</v>
      </c>
    </row>
    <row r="340">
      <c r="A340" t="s">
        <v>16</v>
      </c>
      <c r="B340" t="s">
        <v>143</v>
      </c>
      <c r="C340" t="s">
        <v>15</v>
      </c>
      <c r="D340">
        <v>0</v>
      </c>
      <c r="E340">
        <v>187531</v>
      </c>
      <c r="F340">
        <v>0</v>
      </c>
      <c r="G340">
        <v>0</v>
      </c>
      <c r="H340">
        <v>0</v>
      </c>
      <c r="I340" t="str">
        <f>HYPERLINK("https://store.steampowered.com/app/3717070/WWE_2K26/","Abrir Steam")</f>
        <v>Abrir Steam</v>
      </c>
      <c r="J340" t="s">
        <v>16</v>
      </c>
      <c r="K340" t="s">
        <v>16</v>
      </c>
      <c r="L340" t="s">
        <v>16</v>
      </c>
      <c r="M340" t="s">
        <v>16</v>
      </c>
    </row>
    <row r="341">
      <c r="A341" t="s">
        <v>16</v>
      </c>
      <c r="B341" t="s">
        <v>16</v>
      </c>
      <c r="C341" t="s">
        <v>17</v>
      </c>
      <c r="D341">
        <v>104852</v>
      </c>
      <c r="E341">
        <v>187531</v>
      </c>
      <c r="F341">
        <v>121078</v>
      </c>
      <c r="G341">
        <v>174352</v>
      </c>
      <c r="H341">
        <v>16226</v>
      </c>
      <c r="I341" t="str">
        <f>HYPERLINK("https://store.steampowered.com/app/3717070/WWE_2K26/","Abrir Steam")</f>
        <v>Abrir Steam</v>
      </c>
      <c r="J341" t="str">
        <f>HYPERLINK("https://www.kinguin.net/es/category/476574/wwe-2k26-king-of-kings-edition-pc-steam-account","Kinguin")</f>
        <v>Kinguin</v>
      </c>
      <c r="K341" t="s">
        <v>16</v>
      </c>
      <c r="L341" t="s">
        <v>16</v>
      </c>
      <c r="M341" t="s">
        <v>16</v>
      </c>
    </row>
    <row r="342">
      <c r="A342" t="s">
        <v>16</v>
      </c>
      <c r="B342" t="s">
        <v>144</v>
      </c>
      <c r="C342" t="s">
        <v>15</v>
      </c>
      <c r="D342">
        <v>109228</v>
      </c>
      <c r="E342">
        <v>243796</v>
      </c>
      <c r="F342">
        <v>144228</v>
      </c>
      <c r="G342">
        <v>207688</v>
      </c>
      <c r="H342">
        <v>35000</v>
      </c>
      <c r="I342" t="str">
        <f>HYPERLINK("https://store.steampowered.com/app/3717070/WWE_2K26/","Abrir Steam")</f>
        <v>Abrir Steam</v>
      </c>
      <c r="J342" t="str">
        <f>HYPERLINK("https://www.kinguin.net/es/category/476565/wwe-2k26-attitude-era-edition-pc-steam-cd-key","Kinguin")</f>
        <v>Kinguin</v>
      </c>
      <c r="K342" t="s">
        <v>16</v>
      </c>
      <c r="L342" t="s">
        <v>16</v>
      </c>
      <c r="M342" t="s">
        <v>16</v>
      </c>
    </row>
    <row r="343">
      <c r="A343" t="s">
        <v>16</v>
      </c>
      <c r="B343" t="s">
        <v>16</v>
      </c>
      <c r="C343" t="s">
        <v>17</v>
      </c>
      <c r="D343">
        <v>137785</v>
      </c>
      <c r="E343">
        <v>243796</v>
      </c>
      <c r="F343">
        <v>156194</v>
      </c>
      <c r="G343">
        <v>224919</v>
      </c>
      <c r="H343">
        <v>18409</v>
      </c>
      <c r="I343" t="str">
        <f>HYPERLINK("https://store.steampowered.com/app/3717070/WWE_2K26/","Abrir Steam")</f>
        <v>Abrir Steam</v>
      </c>
      <c r="J343" t="str">
        <f>HYPERLINK("https://www.kinguin.net/es/category/476568/wwe-2k26-attitude-era-edition-pc-steam-account","Kinguin")</f>
        <v>Kinguin</v>
      </c>
      <c r="K343" t="s">
        <v>16</v>
      </c>
      <c r="L343" t="s">
        <v>16</v>
      </c>
      <c r="M343" t="s">
        <v>16</v>
      </c>
    </row>
  </sheetData>
</worksheet>
</file>