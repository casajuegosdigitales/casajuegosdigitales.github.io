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<sst xmlns="http://schemas.openxmlformats.org/spreadsheetml/2006/main" count="138" uniqueCount="138">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</sst>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71120</v>
      </c>
      <c r="E2">
        <v>72340</v>
      </c>
      <c r="F2">
        <v>86359</v>
      </c>
      <c r="G2">
        <v>124357</v>
      </c>
      <c r="H2">
        <v>15239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46098</v>
      </c>
      <c r="E3">
        <v>72340</v>
      </c>
      <c r="F3">
        <v>61098</v>
      </c>
      <c r="G3">
        <v>87981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0</v>
      </c>
      <c r="E4">
        <v>83194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46098</v>
      </c>
      <c r="E5">
        <v>83194</v>
      </c>
      <c r="F5">
        <v>61098</v>
      </c>
      <c r="G5">
        <v>87981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54250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4243</v>
      </c>
      <c r="E7">
        <v>54250</v>
      </c>
      <c r="F7">
        <v>28855</v>
      </c>
      <c r="G7">
        <v>41551</v>
      </c>
      <c r="H7">
        <v>24612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33805</v>
      </c>
      <c r="E8">
        <v>72340</v>
      </c>
      <c r="F8">
        <v>53919</v>
      </c>
      <c r="G8">
        <v>77643</v>
      </c>
      <c r="H8">
        <v>20114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29266</v>
      </c>
      <c r="E9">
        <v>72340</v>
      </c>
      <c r="F9">
        <v>45919</v>
      </c>
      <c r="G9">
        <v>66123</v>
      </c>
      <c r="H9">
        <v>16653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0</v>
      </c>
      <c r="E10">
        <v>108519</v>
      </c>
      <c r="F10">
        <v>0</v>
      </c>
      <c r="G10">
        <v>0</v>
      </c>
      <c r="H10">
        <v>0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40950</v>
      </c>
      <c r="E11">
        <v>108519</v>
      </c>
      <c r="F11">
        <v>64702</v>
      </c>
      <c r="G11">
        <v>93171</v>
      </c>
      <c r="H11">
        <v>23752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75020</v>
      </c>
      <c r="E12">
        <v>81385</v>
      </c>
      <c r="F12">
        <v>91987</v>
      </c>
      <c r="G12">
        <v>132461</v>
      </c>
      <c r="H12">
        <v>16967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11638</v>
      </c>
      <c r="E13">
        <v>81385</v>
      </c>
      <c r="F13">
        <v>38638</v>
      </c>
      <c r="G13">
        <v>55639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72340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20233</v>
      </c>
      <c r="E15">
        <v>72340</v>
      </c>
      <c r="F15">
        <v>42306</v>
      </c>
      <c r="G15">
        <v>60921</v>
      </c>
      <c r="H15">
        <v>22073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86812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86812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130226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130226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101283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32869</v>
      </c>
      <c r="E21">
        <v>101283</v>
      </c>
      <c r="F21">
        <v>58648</v>
      </c>
      <c r="G21">
        <v>84453</v>
      </c>
      <c r="H21">
        <v>25779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130226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52556</v>
      </c>
      <c r="E23">
        <v>130226</v>
      </c>
      <c r="F23">
        <v>77811</v>
      </c>
      <c r="G23">
        <v>112048</v>
      </c>
      <c r="H23">
        <v>25255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159170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159170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63295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18065</v>
      </c>
      <c r="E27">
        <v>63295</v>
      </c>
      <c r="F27">
        <v>37911</v>
      </c>
      <c r="G27">
        <v>54592</v>
      </c>
      <c r="H27">
        <v>19846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74849</v>
      </c>
      <c r="E28">
        <v>126608</v>
      </c>
      <c r="F28">
        <v>93162</v>
      </c>
      <c r="G28">
        <v>134153</v>
      </c>
      <c r="H28">
        <v>18313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25007</v>
      </c>
      <c r="E29">
        <v>126608</v>
      </c>
      <c r="F29">
        <v>52007</v>
      </c>
      <c r="G29">
        <v>74890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129995</v>
      </c>
      <c r="E30">
        <v>180877</v>
      </c>
      <c r="F30">
        <v>146183</v>
      </c>
      <c r="G30">
        <v>210504</v>
      </c>
      <c r="H30">
        <v>16188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57205</v>
      </c>
      <c r="E31">
        <v>180877</v>
      </c>
      <c r="F31">
        <v>84205</v>
      </c>
      <c r="G31">
        <v>121255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71120</v>
      </c>
      <c r="E32">
        <v>108519</v>
      </c>
      <c r="F32">
        <v>86120</v>
      </c>
      <c r="G32">
        <v>124013</v>
      </c>
      <c r="H32">
        <v>15000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41028</v>
      </c>
      <c r="E33">
        <v>108519</v>
      </c>
      <c r="F33">
        <v>64733</v>
      </c>
      <c r="G33">
        <v>93216</v>
      </c>
      <c r="H33">
        <v>23705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126608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63118</v>
      </c>
      <c r="E35">
        <v>126608</v>
      </c>
      <c r="F35">
        <v>80624</v>
      </c>
      <c r="G35">
        <v>116099</v>
      </c>
      <c r="H35">
        <v>17506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44444</v>
      </c>
      <c r="E36">
        <v>126608</v>
      </c>
      <c r="F36">
        <v>72491</v>
      </c>
      <c r="G36">
        <v>104387</v>
      </c>
      <c r="H36">
        <v>28047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35412</v>
      </c>
      <c r="E37">
        <v>126608</v>
      </c>
      <c r="F37">
        <v>62412</v>
      </c>
      <c r="G37">
        <v>89873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0</v>
      </c>
      <c r="E38">
        <v>235145</v>
      </c>
      <c r="F38">
        <v>0</v>
      </c>
      <c r="G38">
        <v>0</v>
      </c>
      <c r="H38">
        <v>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83054</v>
      </c>
      <c r="E39">
        <v>235145</v>
      </c>
      <c r="F39">
        <v>110054</v>
      </c>
      <c r="G39">
        <v>158478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0</v>
      </c>
      <c r="E40">
        <v>235145</v>
      </c>
      <c r="F40">
        <v>0</v>
      </c>
      <c r="G40">
        <v>0</v>
      </c>
      <c r="H40">
        <v>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83054</v>
      </c>
      <c r="E41">
        <v>235145</v>
      </c>
      <c r="F41">
        <v>110054</v>
      </c>
      <c r="G41">
        <v>158478</v>
      </c>
      <c r="H41">
        <v>27000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126608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38875</v>
      </c>
      <c r="E43">
        <v>126608</v>
      </c>
      <c r="F43">
        <v>65875</v>
      </c>
      <c r="G43">
        <v>94860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180877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180877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108519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25771</v>
      </c>
      <c r="E47">
        <v>108519</v>
      </c>
      <c r="F47">
        <v>52771</v>
      </c>
      <c r="G47">
        <v>75990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180877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180877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35552</v>
      </c>
      <c r="E50">
        <v>63295</v>
      </c>
      <c r="F50">
        <v>56103</v>
      </c>
      <c r="G50">
        <v>80788</v>
      </c>
      <c r="H50">
        <v>20551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33103</v>
      </c>
      <c r="E51">
        <v>63295</v>
      </c>
      <c r="F51">
        <v>48103</v>
      </c>
      <c r="G51">
        <v>69268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0</v>
      </c>
      <c r="E52">
        <v>75958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35443</v>
      </c>
      <c r="E53">
        <v>75958</v>
      </c>
      <c r="F53">
        <v>50443</v>
      </c>
      <c r="G53">
        <v>72638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48032</v>
      </c>
      <c r="E54">
        <v>126608</v>
      </c>
      <c r="F54">
        <v>83032</v>
      </c>
      <c r="G54">
        <v>119566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51761</v>
      </c>
      <c r="E55">
        <v>126608</v>
      </c>
      <c r="F55">
        <v>76081</v>
      </c>
      <c r="G55">
        <v>109557</v>
      </c>
      <c r="H55">
        <v>24320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0</v>
      </c>
      <c r="E56">
        <v>144698</v>
      </c>
      <c r="F56">
        <v>0</v>
      </c>
      <c r="G56">
        <v>0</v>
      </c>
      <c r="H56">
        <v>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62244</v>
      </c>
      <c r="E57">
        <v>144698</v>
      </c>
      <c r="F57">
        <v>87330</v>
      </c>
      <c r="G57">
        <v>125755</v>
      </c>
      <c r="H57">
        <v>25086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0</v>
      </c>
      <c r="E58">
        <v>36161</v>
      </c>
      <c r="F58">
        <v>0</v>
      </c>
      <c r="G58">
        <v>0</v>
      </c>
      <c r="H58">
        <v>0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6178</v>
      </c>
      <c r="E59">
        <v>36161</v>
      </c>
      <c r="F59">
        <v>22574</v>
      </c>
      <c r="G59">
        <v>32507</v>
      </c>
      <c r="H59">
        <v>16396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26021</v>
      </c>
      <c r="E60">
        <v>48824</v>
      </c>
      <c r="F60">
        <v>47804</v>
      </c>
      <c r="G60">
        <v>68838</v>
      </c>
      <c r="H60">
        <v>21783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24804</v>
      </c>
      <c r="E61">
        <v>48824</v>
      </c>
      <c r="F61">
        <v>39804</v>
      </c>
      <c r="G61">
        <v>57318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81385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12776</v>
      </c>
      <c r="E63">
        <v>81385</v>
      </c>
      <c r="F63">
        <v>39776</v>
      </c>
      <c r="G63">
        <v>57277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122068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28657</v>
      </c>
      <c r="E65">
        <v>122068</v>
      </c>
      <c r="F65">
        <v>55657</v>
      </c>
      <c r="G65">
        <v>80146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24554</v>
      </c>
      <c r="E66">
        <v>90429</v>
      </c>
      <c r="F66">
        <v>53486</v>
      </c>
      <c r="G66">
        <v>77020</v>
      </c>
      <c r="H66">
        <v>28932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18486</v>
      </c>
      <c r="E67">
        <v>90429</v>
      </c>
      <c r="F67">
        <v>45486</v>
      </c>
      <c r="G67">
        <v>65500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34226</v>
      </c>
      <c r="E68">
        <v>108519</v>
      </c>
      <c r="F68">
        <v>62582</v>
      </c>
      <c r="G68">
        <v>90118</v>
      </c>
      <c r="H68">
        <v>28356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27394</v>
      </c>
      <c r="E69">
        <v>108519</v>
      </c>
      <c r="F69">
        <v>54394</v>
      </c>
      <c r="G69">
        <v>78327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44912</v>
      </c>
      <c r="E70">
        <v>126608</v>
      </c>
      <c r="F70">
        <v>79912</v>
      </c>
      <c r="G70">
        <v>115073</v>
      </c>
      <c r="H70">
        <v>35000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50450</v>
      </c>
      <c r="E71">
        <v>126608</v>
      </c>
      <c r="F71">
        <v>75557</v>
      </c>
      <c r="G71">
        <v>108802</v>
      </c>
      <c r="H71">
        <v>25107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27116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5491</v>
      </c>
      <c r="E73">
        <v>27116</v>
      </c>
      <c r="F73">
        <v>20491</v>
      </c>
      <c r="G73">
        <v>29507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94952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70044</v>
      </c>
      <c r="E75">
        <v>94952</v>
      </c>
      <c r="F75">
        <v>85044</v>
      </c>
      <c r="G75">
        <v>122463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80153</v>
      </c>
      <c r="E76">
        <v>126608</v>
      </c>
      <c r="F76">
        <v>95153</v>
      </c>
      <c r="G76">
        <v>137020</v>
      </c>
      <c r="H76">
        <v>15000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47284</v>
      </c>
      <c r="E77">
        <v>126608</v>
      </c>
      <c r="F77">
        <v>74284</v>
      </c>
      <c r="G77">
        <v>106969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144698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144698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90429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36785</v>
      </c>
      <c r="E81">
        <v>90429</v>
      </c>
      <c r="F81">
        <v>55981</v>
      </c>
      <c r="G81">
        <v>80613</v>
      </c>
      <c r="H81">
        <v>19196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126608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83928</v>
      </c>
      <c r="E83">
        <v>126608</v>
      </c>
      <c r="F83">
        <v>98928</v>
      </c>
      <c r="G83">
        <v>142456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47596</v>
      </c>
      <c r="E84">
        <v>101283</v>
      </c>
      <c r="F84">
        <v>70699</v>
      </c>
      <c r="G84">
        <v>101807</v>
      </c>
      <c r="H84">
        <v>23103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31918</v>
      </c>
      <c r="E85">
        <v>101283</v>
      </c>
      <c r="F85">
        <v>58268</v>
      </c>
      <c r="G85">
        <v>83906</v>
      </c>
      <c r="H85">
        <v>26350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149887</v>
      </c>
      <c r="E86">
        <v>144698</v>
      </c>
      <c r="F86">
        <v>164887</v>
      </c>
      <c r="G86">
        <v>237437</v>
      </c>
      <c r="H86">
        <v>15000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113178</v>
      </c>
      <c r="E87">
        <v>144698</v>
      </c>
      <c r="F87">
        <v>128178</v>
      </c>
      <c r="G87">
        <v>184576</v>
      </c>
      <c r="H87">
        <v>15000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158714</v>
      </c>
      <c r="E88">
        <v>159170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125814</v>
      </c>
      <c r="E89">
        <v>159170</v>
      </c>
      <c r="F89">
        <v>140814</v>
      </c>
      <c r="G89">
        <v>202772</v>
      </c>
      <c r="H89">
        <v>15000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7680</v>
      </c>
      <c r="E90">
        <v>57868</v>
      </c>
      <c r="F90">
        <v>38260</v>
      </c>
      <c r="G90">
        <v>55094</v>
      </c>
      <c r="H90">
        <v>30580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4228</v>
      </c>
      <c r="E91">
        <v>57868</v>
      </c>
      <c r="F91">
        <v>30260</v>
      </c>
      <c r="G91">
        <v>43574</v>
      </c>
      <c r="H91">
        <v>26032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27116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12074</v>
      </c>
      <c r="E93">
        <v>27116</v>
      </c>
      <c r="F93">
        <v>27074</v>
      </c>
      <c r="G93">
        <v>38987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34352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34352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61168</v>
      </c>
      <c r="E96">
        <v>81385</v>
      </c>
      <c r="F96">
        <v>76298</v>
      </c>
      <c r="G96">
        <v>109869</v>
      </c>
      <c r="H96">
        <v>15130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33275</v>
      </c>
      <c r="E97">
        <v>81385</v>
      </c>
      <c r="F97">
        <v>51050</v>
      </c>
      <c r="G97">
        <v>73512</v>
      </c>
      <c r="H97">
        <v>17775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74240</v>
      </c>
      <c r="E98">
        <v>94047</v>
      </c>
      <c r="F98">
        <v>89256</v>
      </c>
      <c r="G98">
        <v>128529</v>
      </c>
      <c r="H98">
        <v>15016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33322</v>
      </c>
      <c r="E99">
        <v>94047</v>
      </c>
      <c r="F99">
        <v>56007</v>
      </c>
      <c r="G99">
        <v>80650</v>
      </c>
      <c r="H99">
        <v>22685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60902</v>
      </c>
      <c r="E100">
        <v>105444</v>
      </c>
      <c r="F100">
        <v>79083</v>
      </c>
      <c r="G100">
        <v>113880</v>
      </c>
      <c r="H100">
        <v>18181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61043</v>
      </c>
      <c r="E101">
        <v>105444</v>
      </c>
      <c r="F101">
        <v>76043</v>
      </c>
      <c r="G101">
        <v>109502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135653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135653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126608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68437</v>
      </c>
      <c r="E105">
        <v>126608</v>
      </c>
      <c r="F105">
        <v>83437</v>
      </c>
      <c r="G105">
        <v>120149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180877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99965</v>
      </c>
      <c r="E107">
        <v>180877</v>
      </c>
      <c r="F107">
        <v>116528</v>
      </c>
      <c r="G107">
        <v>167800</v>
      </c>
      <c r="H107">
        <v>16563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126608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4087</v>
      </c>
      <c r="E109">
        <v>126608</v>
      </c>
      <c r="F109">
        <v>31087</v>
      </c>
      <c r="G109">
        <v>44765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162787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13276</v>
      </c>
      <c r="E111">
        <v>162787</v>
      </c>
      <c r="F111">
        <v>40276</v>
      </c>
      <c r="G111">
        <v>57997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81703</v>
      </c>
      <c r="E112">
        <v>86812</v>
      </c>
      <c r="F112">
        <v>96703</v>
      </c>
      <c r="G112">
        <v>139252</v>
      </c>
      <c r="H112">
        <v>15000</v>
      </c>
      <c r="I112" t="str">
        <f>HYPERLINK("https://store.steampowered.com/app/1245620/ELDEN_RING/","Abrir Steam")</f>
        <v>Abrir Steam</v>
      </c>
      <c r="J112" t="str">
        <f>HYPERLINK("https://www.kinguin.net/es/category/111450/elden-ring-na-latam-steam-cd-key","Kinguin")</f>
        <v>Kinguin</v>
      </c>
      <c r="K112" t="str">
        <f>HYPERLINK("https://driffle.com/es/elden-ring-latam-pc-steam-digital-key-p9972146","Driffle")</f>
        <v>Driffle</v>
      </c>
      <c r="L112" t="s">
        <v>16</v>
      </c>
      <c r="M112" t="str">
        <f>HYPERLINK("https://www.eneba.com/latam/steam-elden-ring-pc-steam-key-latam","Eneba")</f>
        <v>Eneba</v>
      </c>
    </row>
    <row r="113">
      <c r="A113" t="s">
        <v>16</v>
      </c>
      <c r="B113" t="s">
        <v>16</v>
      </c>
      <c r="C113" t="s">
        <v>17</v>
      </c>
      <c r="D113">
        <v>48313</v>
      </c>
      <c r="E113">
        <v>86812</v>
      </c>
      <c r="F113">
        <v>63313</v>
      </c>
      <c r="G113">
        <v>91171</v>
      </c>
      <c r="H113">
        <v>15000</v>
      </c>
      <c r="I113" t="str">
        <f>HYPERLINK("https://store.steampowered.com/app/1245620/ELDEN_RING/","Abrir Steam")</f>
        <v>Abrir Steam</v>
      </c>
      <c r="J113" t="str">
        <f>HYPERLINK("https://www.kinguin.net/es/category/133264/elden-ring-steam-account","Kinguin")</f>
        <v>Kinguin</v>
      </c>
      <c r="K113" t="str">
        <f>HYPERLINK("https://driffle.com/es/elden-ring-global-pc-steam-account-p9943442","Driffle")</f>
        <v>Driffle</v>
      </c>
      <c r="L113" t="s">
        <v>16</v>
      </c>
      <c r="M113" t="s">
        <v>16</v>
      </c>
    </row>
    <row r="114">
      <c r="A114" t="s">
        <v>16</v>
      </c>
      <c r="B114" t="s">
        <v>60</v>
      </c>
      <c r="C114" t="s">
        <v>15</v>
      </c>
      <c r="D114">
        <v>0</v>
      </c>
      <c r="E114">
        <v>115755</v>
      </c>
      <c r="F114">
        <v>0</v>
      </c>
      <c r="G114">
        <v>0</v>
      </c>
      <c r="H114">
        <v>0</v>
      </c>
      <c r="I114" t="str">
        <f>HYPERLINK("https://store.steampowered.com/app/1245620/ELDEN_RING/","Abrir Steam")</f>
        <v>Abrir Steam</v>
      </c>
      <c r="J114" t="s">
        <v>16</v>
      </c>
      <c r="K114" t="s">
        <v>16</v>
      </c>
      <c r="L114" t="s">
        <v>16</v>
      </c>
      <c r="M114" t="str">
        <f>HYPERLINK("https://www.eneba.com/latam/steam-elden-ring-shadow-of-the-erdtree-edition-pc-steam-key-latam","Eneba")</f>
        <v>Eneba</v>
      </c>
    </row>
    <row r="115">
      <c r="A115" t="s">
        <v>16</v>
      </c>
      <c r="B115" t="s">
        <v>16</v>
      </c>
      <c r="C115" t="s">
        <v>17</v>
      </c>
      <c r="D115">
        <v>84583</v>
      </c>
      <c r="E115">
        <v>115755</v>
      </c>
      <c r="F115">
        <v>99583</v>
      </c>
      <c r="G115">
        <v>143400</v>
      </c>
      <c r="H115">
        <v>15000</v>
      </c>
      <c r="I115" t="str">
        <f>HYPERLINK("https://store.steampowered.com/app/1245620/ELDEN_RING/","Abrir Steam")</f>
        <v>Abrir Steam</v>
      </c>
      <c r="J115" t="str">
        <f>HYPERLINK("https://www.kinguin.net/es/category/217207/elden-ring-shadow-of-the-erdtree-edition-steam-account","Kinguin")</f>
        <v>Kinguin</v>
      </c>
      <c r="K115" t="str">
        <f>HYPERLINK("https://driffle.com/es/elden-ring-shadow-of-the-erdtree-edition-global-pc-steam-account-p9979504","Driffle")</f>
        <v>Driffle</v>
      </c>
      <c r="L115" t="s">
        <v>16</v>
      </c>
      <c r="M115" t="s">
        <v>16</v>
      </c>
    </row>
    <row r="116">
      <c r="A116" t="s">
        <v>16</v>
      </c>
      <c r="B116" t="s">
        <v>61</v>
      </c>
      <c r="C116" t="s">
        <v>15</v>
      </c>
      <c r="D116">
        <v>0</v>
      </c>
      <c r="E116">
        <v>144698</v>
      </c>
      <c r="F116">
        <v>0</v>
      </c>
      <c r="G116">
        <v>0</v>
      </c>
      <c r="H116">
        <v>0</v>
      </c>
      <c r="I116" t="str">
        <f>HYPERLINK("https://store.steampowered.com/app/1245620/ELDEN_RING/","Abrir Steam")</f>
        <v>Abrir Steam</v>
      </c>
      <c r="J116" t="s">
        <v>16</v>
      </c>
      <c r="K116" t="s">
        <v>16</v>
      </c>
      <c r="L116" t="s">
        <v>16</v>
      </c>
      <c r="M116" t="str">
        <f>HYPERLINK("https://www.eneba.com/latam/steam-elden-ring-shadow-of-the-erdtree-deluxe-edition-pc-steam-key-latam","Eneba")</f>
        <v>Eneba</v>
      </c>
    </row>
    <row r="117">
      <c r="A117" t="s">
        <v>16</v>
      </c>
      <c r="B117" t="s">
        <v>16</v>
      </c>
      <c r="C117" t="s">
        <v>17</v>
      </c>
      <c r="D117">
        <v>111758</v>
      </c>
      <c r="E117">
        <v>144698</v>
      </c>
      <c r="F117">
        <v>126758</v>
      </c>
      <c r="G117">
        <v>182532</v>
      </c>
      <c r="H117">
        <v>15000</v>
      </c>
      <c r="I117" t="str">
        <f>HYPERLINK("https://store.steampowered.com/app/1245620/ELDEN_RING/","Abrir Steam")</f>
        <v>Abrir Steam</v>
      </c>
      <c r="J117" t="str">
        <f>HYPERLINK("https://www.kinguin.net/es/category/217210/elden-ring-shadow-of-the-erdtree-deluxe-edition-steam-account","Kinguin")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62</v>
      </c>
      <c r="B118" t="s">
        <v>14</v>
      </c>
      <c r="C118" t="s">
        <v>15</v>
      </c>
      <c r="D118">
        <v>43321</v>
      </c>
      <c r="E118">
        <v>57868</v>
      </c>
      <c r="F118">
        <v>58349</v>
      </c>
      <c r="G118">
        <v>84023</v>
      </c>
      <c r="H118">
        <v>15028</v>
      </c>
      <c r="I118" t="str">
        <f>HYPERLINK("https://store.steampowered.com/app/2622380/ELDEN_RING_NIGHTREIGN/","Abrir Steam")</f>
        <v>Abrir Steam</v>
      </c>
      <c r="J118" t="str">
        <f>HYPERLINK("https://www.kinguin.net/es/category/335894/elden-ring-nightreign-pc-steam-cd-key","Kinguin")</f>
        <v>Kinguin</v>
      </c>
      <c r="K118" t="str">
        <f>HYPERLINK("https://driffle.com/es/elden-ring-nightreign-latam-pc-steam-digital-key-p9933644","Driffle")</f>
        <v>Driffle</v>
      </c>
      <c r="L118" t="s">
        <v>16</v>
      </c>
      <c r="M118" t="str">
        <f>HYPERLINK("https://www.eneba.com/latam/steam-elden-ring-nightreign-steam-key-pc-latam","Eneba")</f>
        <v>Eneba</v>
      </c>
    </row>
    <row r="119">
      <c r="A119" t="s">
        <v>16</v>
      </c>
      <c r="B119" t="s">
        <v>16</v>
      </c>
      <c r="C119" t="s">
        <v>17</v>
      </c>
      <c r="D119">
        <v>31689</v>
      </c>
      <c r="E119">
        <v>57868</v>
      </c>
      <c r="F119">
        <v>46689</v>
      </c>
      <c r="G119">
        <v>67232</v>
      </c>
      <c r="H119">
        <v>15000</v>
      </c>
      <c r="I119" t="str">
        <f>HYPERLINK("https://store.steampowered.com/app/2622380/ELDEN_RING_NIGHTREIGN/","Abrir Steam")</f>
        <v>Abrir Steam</v>
      </c>
      <c r="J119" t="str">
        <f>HYPERLINK("https://www.kinguin.net/es/category/312067/elden-ring-nightreign-pc-steam-account","Kinguin")</f>
        <v>Kinguin</v>
      </c>
      <c r="K119" t="str">
        <f>HYPERLINK("https://driffle.com/es/elden-ring-nightreign-global-pc-steam-account-p9945661","Driffle")</f>
        <v>Driffle</v>
      </c>
      <c r="L119" t="s">
        <v>16</v>
      </c>
      <c r="M119" t="s">
        <v>16</v>
      </c>
    </row>
    <row r="120">
      <c r="A120" t="s">
        <v>16</v>
      </c>
      <c r="B120" t="s">
        <v>44</v>
      </c>
      <c r="C120" t="s">
        <v>15</v>
      </c>
      <c r="D120">
        <v>60528</v>
      </c>
      <c r="E120">
        <v>79576</v>
      </c>
      <c r="F120">
        <v>78805</v>
      </c>
      <c r="G120">
        <v>113479</v>
      </c>
      <c r="H120">
        <v>18277</v>
      </c>
      <c r="I120" t="str">
        <f>HYPERLINK("https://store.steampowered.com/app/2622380/ELDEN_RING_NIGHTREIGN/","Abrir Steam")</f>
        <v>Abrir Steam</v>
      </c>
      <c r="J120" t="str">
        <f>HYPERLINK("https://www.kinguin.net/es/category/325556/elden-ring-nightreign-deluxe-edition-eu-pc-steam-cd-key","Kinguin")</f>
        <v>Kinguin</v>
      </c>
      <c r="K120" t="str">
        <f>HYPERLINK("https://driffle.com/es/elden-ring-nightreign-deluxe-edition-latam-pc-steam-digital-key-p9933646","Driffle")</f>
        <v>Driffle</v>
      </c>
      <c r="L120" t="s">
        <v>16</v>
      </c>
      <c r="M120" t="str">
        <f>HYPERLINK("https://www.eneba.com/latam/steam-elden-ring-nightreign-deluxe-edition-steam-key-pc-latam","Eneba")</f>
        <v>Eneba</v>
      </c>
    </row>
    <row r="121">
      <c r="A121" t="s">
        <v>16</v>
      </c>
      <c r="B121" t="s">
        <v>16</v>
      </c>
      <c r="C121" t="s">
        <v>17</v>
      </c>
      <c r="D121">
        <v>53477</v>
      </c>
      <c r="E121">
        <v>79576</v>
      </c>
      <c r="F121">
        <v>68477</v>
      </c>
      <c r="G121">
        <v>98607</v>
      </c>
      <c r="H121">
        <v>15000</v>
      </c>
      <c r="I121" t="str">
        <f>HYPERLINK("https://store.steampowered.com/app/2622380/ELDEN_RING_NIGHTREIGN/","Abrir Steam")</f>
        <v>Abrir Steam</v>
      </c>
      <c r="J121" t="str">
        <f>HYPERLINK("https://www.kinguin.net/es/category/311954/elden-ring-nightreign-deluxe-edition-pc-steam-account","Kinguin")</f>
        <v>Kinguin</v>
      </c>
      <c r="K121" t="s">
        <v>16</v>
      </c>
      <c r="L121" t="s">
        <v>16</v>
      </c>
      <c r="M121" t="s">
        <v>16</v>
      </c>
    </row>
    <row r="122">
      <c r="A122" t="s">
        <v>63</v>
      </c>
      <c r="B122" t="s">
        <v>64</v>
      </c>
      <c r="C122" t="s">
        <v>15</v>
      </c>
      <c r="D122">
        <v>53056</v>
      </c>
      <c r="E122">
        <v>90429</v>
      </c>
      <c r="F122">
        <v>69713</v>
      </c>
      <c r="G122">
        <v>100387</v>
      </c>
      <c r="H122">
        <v>16657</v>
      </c>
      <c r="I122" t="str">
        <f>HYPERLINK("https://store.steampowered.com/app/3059520/F1_25/","Abrir Steam")</f>
        <v>Abrir Steam</v>
      </c>
      <c r="J122" t="str">
        <f>HYPERLINK("https://www.kinguin.net/es/category/549472/f1-25-2026-season-edition-pc-steam-cd-key","Kinguin")</f>
        <v>Kinguin</v>
      </c>
      <c r="K122" t="s">
        <v>16</v>
      </c>
      <c r="L122" t="s">
        <v>16</v>
      </c>
      <c r="M122" t="s">
        <v>16</v>
      </c>
    </row>
    <row r="123">
      <c r="A123" t="s">
        <v>16</v>
      </c>
      <c r="B123" t="s">
        <v>16</v>
      </c>
      <c r="C123" t="s">
        <v>17</v>
      </c>
      <c r="D123">
        <v>32027</v>
      </c>
      <c r="E123">
        <v>90429</v>
      </c>
      <c r="F123">
        <v>54078</v>
      </c>
      <c r="G123">
        <v>77872</v>
      </c>
      <c r="H123">
        <v>22051</v>
      </c>
      <c r="I123" t="str">
        <f>HYPERLINK("https://store.steampowered.com/app/3059520/F1_25/","Abrir Steam")</f>
        <v>Abrir Steam</v>
      </c>
      <c r="J123" t="str">
        <f>HYPERLINK("https://www.kinguin.net/es/category/541795/f1-25-2026-season-edition-pc-steam-account","Kinguin")</f>
        <v>Kinguin</v>
      </c>
      <c r="K123" t="str">
        <f>HYPERLINK("https://driffle.com/es/f1-25-2026-season-edition-global-pc-steam-account-p9996177","Driffle")</f>
        <v>Driffle</v>
      </c>
      <c r="L123" t="s">
        <v>16</v>
      </c>
      <c r="M123" t="s">
        <v>16</v>
      </c>
    </row>
    <row r="124">
      <c r="A124" t="s">
        <v>65</v>
      </c>
      <c r="B124" t="s">
        <v>14</v>
      </c>
      <c r="C124" t="s">
        <v>15</v>
      </c>
      <c r="D124">
        <v>13846</v>
      </c>
      <c r="E124">
        <v>43397</v>
      </c>
      <c r="F124">
        <v>32548</v>
      </c>
      <c r="G124">
        <v>46869</v>
      </c>
      <c r="H124">
        <v>18702</v>
      </c>
      <c r="I124" t="str">
        <f>HYPERLINK("https://store.steampowered.com/app/1151340/Fallout_76/?curator_clanid=4777282","Abrir Steam")</f>
        <v>Abrir Steam</v>
      </c>
      <c r="J124" t="str">
        <f>HYPERLINK("https://www.kinguin.net/es/category/278799/fallout-76-latam-pc-steam-cd-key","Kinguin")</f>
        <v>Kinguin</v>
      </c>
      <c r="K124" t="str">
        <f>HYPERLINK("https://driffle.com/es/fallout-76-p9882414","Driffle")</f>
        <v>Driffle</v>
      </c>
      <c r="L124" t="str">
        <f>HYPERLINK("https://www.loaded.com/es_es/fallout-76-pc-ww-steam","Loaded")</f>
        <v>Loaded</v>
      </c>
      <c r="M124" t="str">
        <f>HYPERLINK("https://www.eneba.com/latam/steam-fallout-76-steam-key-pc-latam","Eneba")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7301</v>
      </c>
      <c r="E125">
        <v>43397</v>
      </c>
      <c r="F125">
        <v>25845</v>
      </c>
      <c r="G125">
        <v>37217</v>
      </c>
      <c r="H125">
        <v>18544</v>
      </c>
      <c r="I125" t="str">
        <f>HYPERLINK("https://store.steampowered.com/app/1151340/Fallout_76/?curator_clanid=4777282","Abrir Steam")</f>
        <v>Abrir Steam</v>
      </c>
      <c r="J125" t="str">
        <f>HYPERLINK("https://www.kinguin.net/es/category/138395/fallout-76-steam-account","Kinguin")</f>
        <v>Kinguin</v>
      </c>
      <c r="K125" t="str">
        <f>HYPERLINK("https://driffle.com/es/fallout-76-global-pc-steam-account-p9979508","Driffle")</f>
        <v>Driffle</v>
      </c>
      <c r="L125" t="s">
        <v>16</v>
      </c>
      <c r="M125" t="s">
        <v>16</v>
      </c>
    </row>
    <row r="126">
      <c r="A126" t="s">
        <v>66</v>
      </c>
      <c r="B126" t="s">
        <v>14</v>
      </c>
      <c r="C126" t="s">
        <v>15</v>
      </c>
      <c r="D126">
        <v>29642</v>
      </c>
      <c r="E126">
        <v>57868</v>
      </c>
      <c r="F126">
        <v>44642</v>
      </c>
      <c r="G126">
        <v>64284</v>
      </c>
      <c r="H126">
        <v>15000</v>
      </c>
      <c r="I126" t="str">
        <f>HYPERLINK("https://store.steampowered.com/app/1462040/FINAL_FANTASY_VII_REMAKE_INTERGRADE/?curator_clanid=4777282","Abrir Steam")</f>
        <v>Abrir Steam</v>
      </c>
      <c r="J126" t="str">
        <f>HYPERLINK("https://www.kinguin.net/es/category/121803/final-fantasy-vii-remake-intergrade-steam-cd-key","Kinguin")</f>
        <v>Kinguin</v>
      </c>
      <c r="K126" t="str">
        <f>HYPERLINK("https://driffle.com/es/final-fantasy-vii-remake-intergrade-pc-steam-digital-code-p9907421","Driffle")</f>
        <v>Driffle</v>
      </c>
      <c r="L126" t="str">
        <f>HYPERLINK("https://www.loaded.com/es_es/final-fantasy-vii-remake-intergrade-pc-steam-ww","Loaded")</f>
        <v>Loaded</v>
      </c>
      <c r="M126" t="str">
        <f>HYPERLINK("https://www.eneba.com/latam/steam-final-fantasy-vii-remake-intergrade-pc-steam-key-global","Eneba")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57868</v>
      </c>
      <c r="F127">
        <v>0</v>
      </c>
      <c r="G127">
        <v>0</v>
      </c>
      <c r="H127">
        <v>0</v>
      </c>
      <c r="I127" t="str">
        <f>HYPERLINK("https://store.steampowered.com/app/1462040/FINAL_FANTASY_VII_REMAKE_INTERGRADE/?curator_clanid=4777282","Abrir Steam")</f>
        <v>Abrir Steam</v>
      </c>
      <c r="J127" t="str">
        <f>HYPERLINK("https://www.kinguin.net/es/category/156198/final-fantasy-vii-remake-intergrade-epic-games-account","Kinguin")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67</v>
      </c>
      <c r="B128" t="s">
        <v>14</v>
      </c>
      <c r="C128" t="s">
        <v>15</v>
      </c>
      <c r="D128">
        <v>0</v>
      </c>
      <c r="E128">
        <v>59297</v>
      </c>
      <c r="F128">
        <v>0</v>
      </c>
      <c r="G128">
        <v>0</v>
      </c>
      <c r="H128">
        <v>0</v>
      </c>
      <c r="I128" t="str">
        <f>HYPERLINK("https://store.steampowered.com/app/1551360/Forza_Horizon_5/?curator_clanid=4777282","Abrir Steam")</f>
        <v>Abrir Steam</v>
      </c>
      <c r="J128" t="s">
        <v>16</v>
      </c>
      <c r="K128" t="s">
        <v>16</v>
      </c>
      <c r="L128" t="s">
        <v>16</v>
      </c>
      <c r="M128" t="str">
        <f>HYPERLINK("https://www.eneba.com/latam/steam-forza-horizon-5-pc-steam-key-global","Eneba")</f>
        <v>Eneba</v>
      </c>
    </row>
    <row r="129">
      <c r="A129" t="s">
        <v>16</v>
      </c>
      <c r="B129" t="s">
        <v>16</v>
      </c>
      <c r="C129" t="s">
        <v>17</v>
      </c>
      <c r="D129">
        <v>20046</v>
      </c>
      <c r="E129">
        <v>59297</v>
      </c>
      <c r="F129">
        <v>37144</v>
      </c>
      <c r="G129">
        <v>53487</v>
      </c>
      <c r="H129">
        <v>17098</v>
      </c>
      <c r="I129" t="str">
        <f>HYPERLINK("https://store.steampowered.com/app/1551360/Forza_Horizon_5/?curator_clanid=4777282","Abrir Steam")</f>
        <v>Abrir Steam</v>
      </c>
      <c r="J129" t="str">
        <f>HYPERLINK("https://www.kinguin.net/es/category/151135/forza-horizon-5-steam-account","Kinguin")</f>
        <v>Kinguin</v>
      </c>
      <c r="K129" t="str">
        <f>HYPERLINK("https://driffle.com/es/forza-horizon-5-global-pc-steam-account-p9943443","Driffle")</f>
        <v>Driffle</v>
      </c>
      <c r="L129" t="s">
        <v>16</v>
      </c>
      <c r="M129" t="s">
        <v>16</v>
      </c>
    </row>
    <row r="130">
      <c r="A130" t="s">
        <v>16</v>
      </c>
      <c r="B130" t="s">
        <v>44</v>
      </c>
      <c r="C130" t="s">
        <v>15</v>
      </c>
      <c r="D130">
        <v>0</v>
      </c>
      <c r="E130">
        <v>73878</v>
      </c>
      <c r="F130">
        <v>0</v>
      </c>
      <c r="G130">
        <v>0</v>
      </c>
      <c r="H130">
        <v>0</v>
      </c>
      <c r="I130" t="str">
        <f>HYPERLINK("https://store.steampowered.com/app/1551360/Forza_Horizon_5/?curator_clanid=4777282","Abrir Steam")</f>
        <v>Abrir Steam</v>
      </c>
      <c r="J130" t="s">
        <v>16</v>
      </c>
      <c r="K130" t="s">
        <v>16</v>
      </c>
      <c r="L130" t="s">
        <v>16</v>
      </c>
      <c r="M130" t="s">
        <v>16</v>
      </c>
    </row>
    <row r="131">
      <c r="A131" t="s">
        <v>16</v>
      </c>
      <c r="B131" t="s">
        <v>16</v>
      </c>
      <c r="C131" t="s">
        <v>17</v>
      </c>
      <c r="D131">
        <v>20046</v>
      </c>
      <c r="E131">
        <v>73878</v>
      </c>
      <c r="F131">
        <v>42831</v>
      </c>
      <c r="G131">
        <v>61677</v>
      </c>
      <c r="H131">
        <v>22785</v>
      </c>
      <c r="I131" t="str">
        <f>HYPERLINK("https://store.steampowered.com/app/1551360/Forza_Horizon_5/?curator_clanid=4777282","Abrir Steam")</f>
        <v>Abrir Steam</v>
      </c>
      <c r="J131" t="str">
        <f>HYPERLINK("https://www.kinguin.net/es/category/153247/forza-horizon-5-deluxe-edition-steam-account","Kinguin")</f>
        <v>Kinguin</v>
      </c>
      <c r="K131" t="str">
        <f>HYPERLINK("https://driffle.com/es/forza-horizon-5-deluxe-edition-global-pc-steam-account-p9962282","Driffle")</f>
        <v>Driffle</v>
      </c>
      <c r="L131" t="s">
        <v>16</v>
      </c>
      <c r="M131" t="s">
        <v>16</v>
      </c>
    </row>
    <row r="132">
      <c r="A132" t="s">
        <v>16</v>
      </c>
      <c r="B132" t="s">
        <v>25</v>
      </c>
      <c r="C132" t="s">
        <v>15</v>
      </c>
      <c r="D132">
        <v>0</v>
      </c>
      <c r="E132">
        <v>92998</v>
      </c>
      <c r="F132">
        <v>0</v>
      </c>
      <c r="G132">
        <v>0</v>
      </c>
      <c r="H132">
        <v>0</v>
      </c>
      <c r="I132" t="str">
        <f>HYPERLINK("https://store.steampowered.com/app/1551360/Forza_Horizon_5/?curator_clanid=4777282","Abrir Steam")</f>
        <v>Abrir Steam</v>
      </c>
      <c r="J132" t="s">
        <v>16</v>
      </c>
      <c r="K132" t="s">
        <v>16</v>
      </c>
      <c r="L132" t="s">
        <v>16</v>
      </c>
      <c r="M132" t="str">
        <f>HYPERLINK("https://www.eneba.com/latam/steam-forza-horizon-5-premium-edition-pc-steam-key-global","Eneba")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33041</v>
      </c>
      <c r="E133">
        <v>92998</v>
      </c>
      <c r="F133">
        <v>55486</v>
      </c>
      <c r="G133">
        <v>79900</v>
      </c>
      <c r="H133">
        <v>22445</v>
      </c>
      <c r="I133" t="str">
        <f>HYPERLINK("https://store.steampowered.com/app/1551360/Forza_Horizon_5/?curator_clanid=4777282","Abrir Steam")</f>
        <v>Abrir Steam</v>
      </c>
      <c r="J133" t="str">
        <f>HYPERLINK("https://www.kinguin.net/es/category/153246/forza-horizon-5-premium-edition-steam-account","Kinguin")</f>
        <v>Kinguin</v>
      </c>
      <c r="K133" t="str">
        <f>HYPERLINK("https://driffle.com/es/forza-horizon-5-premium-edition-global-pc-steam-account-p9945649","Driffle")</f>
        <v>Driffle</v>
      </c>
      <c r="L133" t="s">
        <v>16</v>
      </c>
      <c r="M133" t="s">
        <v>16</v>
      </c>
    </row>
    <row r="134">
      <c r="A134" t="s">
        <v>68</v>
      </c>
      <c r="B134" t="s">
        <v>14</v>
      </c>
      <c r="C134" t="s">
        <v>15</v>
      </c>
      <c r="D134">
        <v>0</v>
      </c>
      <c r="E134">
        <v>88620</v>
      </c>
      <c r="F134">
        <v>0</v>
      </c>
      <c r="G134">
        <v>0</v>
      </c>
      <c r="H134">
        <v>0</v>
      </c>
      <c r="I134" t="str">
        <f>HYPERLINK("https://store.steampowered.com/app/2483190/Forza_Horizon_6/","Abrir Steam")</f>
        <v>Abrir Steam</v>
      </c>
      <c r="J134" t="s">
        <v>16</v>
      </c>
      <c r="K134" t="s">
        <v>16</v>
      </c>
      <c r="L134" t="s">
        <v>16</v>
      </c>
      <c r="M134" t="s">
        <v>16</v>
      </c>
    </row>
    <row r="135">
      <c r="A135" t="s">
        <v>16</v>
      </c>
      <c r="B135" t="s">
        <v>16</v>
      </c>
      <c r="C135" t="s">
        <v>17</v>
      </c>
      <c r="D135">
        <v>52915</v>
      </c>
      <c r="E135">
        <v>88620</v>
      </c>
      <c r="F135">
        <v>67915</v>
      </c>
      <c r="G135">
        <v>97798</v>
      </c>
      <c r="H135">
        <v>15000</v>
      </c>
      <c r="I135" t="str">
        <f>HYPERLINK("https://store.steampowered.com/app/2483190/Forza_Horizon_6/","Abrir Steam")</f>
        <v>Abrir Steam</v>
      </c>
      <c r="J135" t="str">
        <f>HYPERLINK("https://www.kinguin.net/es/category/440716/forza-horizon-6-pc-steam-account","Kinguin")</f>
        <v>Kinguin</v>
      </c>
      <c r="K135" t="str">
        <f>HYPERLINK("https://driffle.com/es/forza-horizon-6-global-pc-steam-account-p9980945","Driffle")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126608</v>
      </c>
      <c r="F136">
        <v>0</v>
      </c>
      <c r="G136">
        <v>0</v>
      </c>
      <c r="H136">
        <v>0</v>
      </c>
      <c r="I136" t="str">
        <f>HYPERLINK("https://store.steampowered.com/app/2483190/Forza_Horizon_6/","Abrir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72680</v>
      </c>
      <c r="E137">
        <v>126608</v>
      </c>
      <c r="F137">
        <v>87680</v>
      </c>
      <c r="G137">
        <v>126259</v>
      </c>
      <c r="H137">
        <v>15000</v>
      </c>
      <c r="I137" t="str">
        <f>HYPERLINK("https://store.steampowered.com/app/2483190/Forza_Horizon_6/","Abrir Steam")</f>
        <v>Abrir Steam</v>
      </c>
      <c r="J137" t="str">
        <f>HYPERLINK("https://www.kinguin.net/es/category/440711/forza-horizon-6-deluxe-edition-pc-steam-account","Kinguin")</f>
        <v>Kinguin</v>
      </c>
      <c r="K137" t="str">
        <f>HYPERLINK("https://driffle.com/es/forza-horizon-6-deluxe-edition-global-pc-steam-account-p9980950","Driffle")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151934</v>
      </c>
      <c r="F138">
        <v>0</v>
      </c>
      <c r="G138">
        <v>0</v>
      </c>
      <c r="H138">
        <v>0</v>
      </c>
      <c r="I138" t="str">
        <f>HYPERLINK("https://store.steampowered.com/app/2483190/Forza_Horizon_6/","Abrir Steam")</f>
        <v>Abrir Steam</v>
      </c>
      <c r="J138" t="s">
        <v>16</v>
      </c>
      <c r="K138" t="s">
        <v>16</v>
      </c>
      <c r="L138" t="s">
        <v>16</v>
      </c>
      <c r="M138" t="s">
        <v>16</v>
      </c>
    </row>
    <row r="139">
      <c r="A139" t="s">
        <v>16</v>
      </c>
      <c r="B139" t="s">
        <v>16</v>
      </c>
      <c r="C139" t="s">
        <v>17</v>
      </c>
      <c r="D139">
        <v>90698</v>
      </c>
      <c r="E139">
        <v>151934</v>
      </c>
      <c r="F139">
        <v>105698</v>
      </c>
      <c r="G139">
        <v>152205</v>
      </c>
      <c r="H139">
        <v>15000</v>
      </c>
      <c r="I139" t="str">
        <f>HYPERLINK("https://store.steampowered.com/app/2483190/Forza_Horizon_6/","Abrir Steam")</f>
        <v>Abrir Steam</v>
      </c>
      <c r="J139" t="str">
        <f>HYPERLINK("https://www.kinguin.net/es/category/440707/forza-horizon-6-premium-edition-pc-steam-account","Kinguin")</f>
        <v>Kinguin</v>
      </c>
      <c r="K139" t="str">
        <f>HYPERLINK("https://driffle.com/es/forza-horizon-6-premium-edition-global-pc-steam-account-p9980955","Driffle")</f>
        <v>Driffle</v>
      </c>
      <c r="L139" t="s">
        <v>16</v>
      </c>
      <c r="M139" t="s">
        <v>16</v>
      </c>
    </row>
    <row r="140">
      <c r="A140" t="s">
        <v>69</v>
      </c>
      <c r="B140" t="s">
        <v>70</v>
      </c>
      <c r="C140" t="s">
        <v>15</v>
      </c>
      <c r="D140">
        <v>37144</v>
      </c>
      <c r="E140">
        <v>90429</v>
      </c>
      <c r="F140">
        <v>61551</v>
      </c>
      <c r="G140">
        <v>88633</v>
      </c>
      <c r="H140">
        <v>24407</v>
      </c>
      <c r="I140" t="str">
        <f>HYPERLINK("https://store.steampowered.com/app/2215430/Ghost_of_Tsushima_VERSIN_DEL_DIRECTOR/?l=spanish","Abrir Steam")</f>
        <v>Abrir Steam</v>
      </c>
      <c r="J140" t="str">
        <f>HYPERLINK("https://www.kinguin.net/es/category/305975/ghost-of-tsushima-director-s-cut-latam-pc-steam-cd-key","Kinguin")</f>
        <v>Kinguin</v>
      </c>
      <c r="K140" t="str">
        <f>HYPERLINK("https://driffle.com/es/ghost-of-tsushima-directors-cut-latam-pc-steam-digital-key-p9944724","Driffle")</f>
        <v>Driffle</v>
      </c>
      <c r="L140" t="str">
        <f>HYPERLINK("https://www.loaded.com/es_es/ghost-of-tsushima-director-s-cut-pc-steam","Loaded")</f>
        <v>Loaded</v>
      </c>
      <c r="M140" t="str">
        <f>HYPERLINK("https://www.eneba.com/latam/steam-ghost-of-tsushima-directors-cut-pc-steam-key-latam","Eneba")</f>
        <v>Eneba</v>
      </c>
    </row>
    <row r="141">
      <c r="A141" t="s">
        <v>16</v>
      </c>
      <c r="B141" t="s">
        <v>16</v>
      </c>
      <c r="C141" t="s">
        <v>17</v>
      </c>
      <c r="D141">
        <v>0</v>
      </c>
      <c r="E141">
        <v>90429</v>
      </c>
      <c r="F141">
        <v>0</v>
      </c>
      <c r="G141">
        <v>0</v>
      </c>
      <c r="H141">
        <v>0</v>
      </c>
      <c r="I141" t="str">
        <f>HYPERLINK("https://store.steampowered.com/app/2215430/Ghost_of_Tsushima_VERSIN_DEL_DIRECTOR/?l=spanish","Abrir Steam")</f>
        <v>Abrir Steam</v>
      </c>
      <c r="J141" t="s">
        <v>16</v>
      </c>
      <c r="K141" t="s">
        <v>16</v>
      </c>
      <c r="L141" t="s">
        <v>16</v>
      </c>
      <c r="M141" t="s">
        <v>16</v>
      </c>
    </row>
    <row r="142">
      <c r="A142" t="s">
        <v>71</v>
      </c>
      <c r="B142" t="s">
        <v>14</v>
      </c>
      <c r="C142" t="s">
        <v>15</v>
      </c>
      <c r="D142">
        <v>26551</v>
      </c>
      <c r="E142">
        <v>90429</v>
      </c>
      <c r="F142">
        <v>60131</v>
      </c>
      <c r="G142">
        <v>86589</v>
      </c>
      <c r="H142">
        <v>33580</v>
      </c>
      <c r="I142" t="str">
        <f>HYPERLINK("https://store.steampowered.com/app/1593500/God_of_War/","Abrir Steam")</f>
        <v>Abrir Steam</v>
      </c>
      <c r="J142" t="s">
        <v>16</v>
      </c>
      <c r="K142" t="str">
        <f>HYPERLINK("https://driffle.com/es/god-of-war-pc-steam-digital-code-p9878708","Driffle")</f>
        <v>Driffle</v>
      </c>
      <c r="L142" t="s">
        <v>16</v>
      </c>
      <c r="M142" t="str">
        <f>HYPERLINK("https://www.eneba.com/latam/steam-god-of-war-pc-steam-key-latam","Eneba")</f>
        <v>Eneba</v>
      </c>
    </row>
    <row r="143">
      <c r="A143" t="s">
        <v>16</v>
      </c>
      <c r="B143" t="s">
        <v>16</v>
      </c>
      <c r="C143" t="s">
        <v>17</v>
      </c>
      <c r="D143">
        <v>27160</v>
      </c>
      <c r="E143">
        <v>90429</v>
      </c>
      <c r="F143">
        <v>52131</v>
      </c>
      <c r="G143">
        <v>75069</v>
      </c>
      <c r="H143">
        <v>24971</v>
      </c>
      <c r="I143" t="str">
        <f>HYPERLINK("https://store.steampowered.com/app/1593500/God_of_War/","Abrir Steam")</f>
        <v>Abrir Steam</v>
      </c>
      <c r="J143" t="str">
        <f>HYPERLINK("https://www.kinguin.net/es/category/152417/god-of-war-steam-account","Kinguin")</f>
        <v>Kinguin</v>
      </c>
      <c r="K143" t="str">
        <f>HYPERLINK("https://driffle.com/es/god-of-war-global-pc-steam-account-p9971517","Driffle")</f>
        <v>Driffle</v>
      </c>
      <c r="L143" t="s">
        <v>16</v>
      </c>
      <c r="M143" t="s">
        <v>16</v>
      </c>
    </row>
    <row r="144">
      <c r="A144" t="s">
        <v>72</v>
      </c>
      <c r="B144" t="s">
        <v>14</v>
      </c>
      <c r="C144" t="s">
        <v>15</v>
      </c>
      <c r="D144">
        <v>45817</v>
      </c>
      <c r="E144">
        <v>90429</v>
      </c>
      <c r="F144">
        <v>67822</v>
      </c>
      <c r="G144">
        <v>97664</v>
      </c>
      <c r="H144">
        <v>22005</v>
      </c>
      <c r="I144" t="str">
        <f>HYPERLINK("https://store.steampowered.com/app/2322010/God_of_War_Ragnark/?curator_clanid=4777282","Abrir Steam")</f>
        <v>Abrir Steam</v>
      </c>
      <c r="J144" t="str">
        <f>HYPERLINK("https://www.kinguin.net/es/category/273654/god-of-war-ragnaroek-latam-pc-steam-cd-key","Kinguin")</f>
        <v>Kinguin</v>
      </c>
      <c r="K144" t="str">
        <f>HYPERLINK("https://driffle.com/es/god-of-war-ragnarok-latam-pc-steam-digital-key-p9978346","Driffle")</f>
        <v>Driffle</v>
      </c>
      <c r="L144" t="s">
        <v>16</v>
      </c>
      <c r="M144" t="str">
        <f>HYPERLINK("https://www.eneba.com/latam/steam-god-of-war-ragnarok-pc-steam-key-latam","Eneba")</f>
        <v>Eneba</v>
      </c>
    </row>
    <row r="145">
      <c r="A145" t="s">
        <v>16</v>
      </c>
      <c r="B145" t="s">
        <v>16</v>
      </c>
      <c r="C145" t="s">
        <v>17</v>
      </c>
      <c r="D145">
        <v>79108</v>
      </c>
      <c r="E145">
        <v>90429</v>
      </c>
      <c r="F145">
        <v>94108</v>
      </c>
      <c r="G145">
        <v>135516</v>
      </c>
      <c r="H145">
        <v>15000</v>
      </c>
      <c r="I145" t="str">
        <f>HYPERLINK("https://store.steampowered.com/app/2322010/God_of_War_Ragnark/?curator_clanid=4777282","Abrir Steam")</f>
        <v>Abrir Steam</v>
      </c>
      <c r="J145" t="str">
        <f>HYPERLINK("https://www.kinguin.net/es/category/261894/god-of-war-ragnaroek-steam-account","Kinguin")</f>
        <v>Kinguin</v>
      </c>
      <c r="K145" t="str">
        <f>HYPERLINK("https://driffle.com/es/god-of-war-ragnarok-global-pc-steam-account-p9962284","Driffle")</f>
        <v>Driffle</v>
      </c>
      <c r="L145" t="s">
        <v>16</v>
      </c>
      <c r="M145" t="s">
        <v>16</v>
      </c>
    </row>
    <row r="146">
      <c r="A146" t="s">
        <v>16</v>
      </c>
      <c r="B146" t="s">
        <v>44</v>
      </c>
      <c r="C146" t="s">
        <v>15</v>
      </c>
      <c r="D146">
        <v>57954</v>
      </c>
      <c r="E146">
        <v>90429</v>
      </c>
      <c r="F146">
        <v>92954</v>
      </c>
      <c r="G146">
        <v>133854</v>
      </c>
      <c r="H146">
        <v>35000</v>
      </c>
      <c r="I146" t="str">
        <f>HYPERLINK("https://store.steampowered.com/app/2322010/God_of_War_Ragnark/?curator_clanid=4777282","Abrir Steam")</f>
        <v>Abrir Steam</v>
      </c>
      <c r="J146" t="str">
        <f>HYPERLINK("https://www.kinguin.net/es/category/322697/god-of-war-ragnaroek-deluxe-edition-latam-pc-steam-cd-key","Kinguin")</f>
        <v>Kinguin</v>
      </c>
      <c r="K146" t="str">
        <f>HYPERLINK("https://driffle.com/es/god-of-war-ragnarok-deluxe-edition-pc-steam-digital-code-p9910056","Driffle")</f>
        <v>Driffle</v>
      </c>
      <c r="L146" t="s">
        <v>16</v>
      </c>
      <c r="M146" t="str">
        <f>HYPERLINK("https://www.eneba.com/latam/steam-god-of-war-ragnarok-digital-deluxe-edition-pc-steam-key-latam","Eneba")</f>
        <v>Eneba</v>
      </c>
    </row>
    <row r="147">
      <c r="A147" t="s">
        <v>16</v>
      </c>
      <c r="B147" t="s">
        <v>16</v>
      </c>
      <c r="C147" t="s">
        <v>17</v>
      </c>
      <c r="D147">
        <v>93616</v>
      </c>
      <c r="E147">
        <v>90429</v>
      </c>
      <c r="F147">
        <v>108616</v>
      </c>
      <c r="G147">
        <v>156407</v>
      </c>
      <c r="H147">
        <v>15000</v>
      </c>
      <c r="I147" t="str">
        <f>HYPERLINK("https://store.steampowered.com/app/2322010/God_of_War_Ragnark/?curator_clanid=4777282","Abrir Steam")</f>
        <v>Abrir Steam</v>
      </c>
      <c r="J147" t="str">
        <f>HYPERLINK("https://www.kinguin.net/es/category/271231/god-of-war-ragnaroek-deluxe-edition-pc-steam-account","Kinguin")</f>
        <v>Kinguin</v>
      </c>
      <c r="K147" t="s">
        <v>16</v>
      </c>
      <c r="L147" t="s">
        <v>16</v>
      </c>
      <c r="M147" t="s">
        <v>16</v>
      </c>
    </row>
    <row r="148">
      <c r="A148" t="s">
        <v>73</v>
      </c>
      <c r="B148" t="s">
        <v>14</v>
      </c>
      <c r="C148" t="s">
        <v>15</v>
      </c>
      <c r="D148">
        <v>36504</v>
      </c>
      <c r="E148">
        <v>61486</v>
      </c>
      <c r="F148">
        <v>63911</v>
      </c>
      <c r="G148">
        <v>92032</v>
      </c>
      <c r="H148">
        <v>27407</v>
      </c>
      <c r="I148" t="str">
        <f>HYPERLINK("https://store.steampowered.com/app/1297900/Gothic_1_Remake/?curator_clanid=4777282","Abrir Steam")</f>
        <v>Abrir Steam</v>
      </c>
      <c r="J148" t="str">
        <f>HYPERLINK("https://www.kinguin.net/es/category/541778/gothic-1-remake-latam-pc-steam-cd-key","Kinguin")</f>
        <v>Kinguin</v>
      </c>
      <c r="K148" t="str">
        <f>HYPERLINK("https://driffle.com/es/gothic-1-remake-global-pc-steam-digital-key-p9932448","Driffle")</f>
        <v>Driffle</v>
      </c>
      <c r="L148" t="str">
        <f>HYPERLINK("https://www.loaded.com/es_es/gothic-1-remake-pc-steam-latam","Loaded")</f>
        <v>Loaded</v>
      </c>
      <c r="M148" t="str">
        <f>HYPERLINK("https://www.eneba.com/latam/steam-gothic-1-remake-steam-key-pc-latam","Eneba")</f>
        <v>Eneba</v>
      </c>
    </row>
    <row r="149">
      <c r="A149" t="s">
        <v>16</v>
      </c>
      <c r="B149" t="s">
        <v>16</v>
      </c>
      <c r="C149" t="s">
        <v>17</v>
      </c>
      <c r="D149">
        <v>40529</v>
      </c>
      <c r="E149">
        <v>61486</v>
      </c>
      <c r="F149">
        <v>55529</v>
      </c>
      <c r="G149">
        <v>79962</v>
      </c>
      <c r="H149">
        <v>15000</v>
      </c>
      <c r="I149" t="str">
        <f>HYPERLINK("https://store.steampowered.com/app/1297900/Gothic_1_Remake/?curator_clanid=4777282","Abrir Steam")</f>
        <v>Abrir Steam</v>
      </c>
      <c r="J149" t="s">
        <v>16</v>
      </c>
      <c r="K149" t="str">
        <f>HYPERLINK("https://driffle.com/es/gothic-1-remake-global-pc-steam-account-p9995855","Driffle")</f>
        <v>Driffle</v>
      </c>
      <c r="L149" t="s">
        <v>16</v>
      </c>
      <c r="M149" t="s">
        <v>16</v>
      </c>
    </row>
    <row r="150">
      <c r="A150" t="s">
        <v>74</v>
      </c>
      <c r="B150" t="s">
        <v>75</v>
      </c>
      <c r="C150" t="s">
        <v>15</v>
      </c>
      <c r="D150">
        <v>0</v>
      </c>
      <c r="E150">
        <v>54250</v>
      </c>
      <c r="F150">
        <v>0</v>
      </c>
      <c r="G150">
        <v>0</v>
      </c>
      <c r="H150">
        <v>0</v>
      </c>
      <c r="I150" t="str">
        <f>HYPERLINK("https://store.steampowered.com/app/3240220/Grand_Theft_Auto_V_Enhanced/","Abrir Steam")</f>
        <v>Abrir Steam</v>
      </c>
      <c r="J150" t="s">
        <v>16</v>
      </c>
      <c r="K150" t="s">
        <v>16</v>
      </c>
      <c r="L150" t="s">
        <v>16</v>
      </c>
      <c r="M150" t="s">
        <v>16</v>
      </c>
    </row>
    <row r="151">
      <c r="A151" t="s">
        <v>16</v>
      </c>
      <c r="B151" t="s">
        <v>16</v>
      </c>
      <c r="C151" t="s">
        <v>17</v>
      </c>
      <c r="D151">
        <v>15522</v>
      </c>
      <c r="E151">
        <v>54250</v>
      </c>
      <c r="F151">
        <v>33367</v>
      </c>
      <c r="G151">
        <v>48048</v>
      </c>
      <c r="H151">
        <v>17845</v>
      </c>
      <c r="I151" t="str">
        <f>HYPERLINK("https://store.steampowered.com/app/3240220/Grand_Theft_Auto_V_Enhanced/","Abrir Steam")</f>
        <v>Abrir Steam</v>
      </c>
      <c r="J151" t="str">
        <f>HYPERLINK("https://www.kinguin.net/es/category/320974/grand-theft-auto-v-enhanced-pc-steam-account","Kinguin")</f>
        <v>Kinguin</v>
      </c>
      <c r="K151" t="str">
        <f>HYPERLINK("https://driffle.com/es/grand-theft-auto-v-enhanced-global-pc-steam-account-p9962285","Driffle")</f>
        <v>Driffle</v>
      </c>
      <c r="L151" t="s">
        <v>16</v>
      </c>
      <c r="M151" t="s">
        <v>16</v>
      </c>
    </row>
    <row r="152">
      <c r="A152" t="s">
        <v>76</v>
      </c>
      <c r="B152" t="s">
        <v>14</v>
      </c>
      <c r="C152" t="s">
        <v>15</v>
      </c>
      <c r="D152">
        <v>37362</v>
      </c>
      <c r="E152">
        <v>72340</v>
      </c>
      <c r="F152">
        <v>54255</v>
      </c>
      <c r="G152">
        <v>78127</v>
      </c>
      <c r="H152">
        <v>16893</v>
      </c>
      <c r="I152" t="str">
        <f>HYPERLINK("https://store.steampowered.com/app/553850/HELLDIVERS_2/","Abrir Steam")</f>
        <v>Abrir Steam</v>
      </c>
      <c r="J152" t="str">
        <f>HYPERLINK("https://www.kinguin.net/es/category/323104/helldivers-2-latam-pc-steam-cd-key","Kinguin")</f>
        <v>Kinguin</v>
      </c>
      <c r="K152" t="str">
        <f>HYPERLINK("https://driffle.com/es/helldivers-2-latam-pc-steam-digital-key-p9967079","Driffle")</f>
        <v>Driffle</v>
      </c>
      <c r="L152" t="str">
        <f>HYPERLINK("https://www.loaded.com/es_es/helldivers-2-pc-steam","Loaded")</f>
        <v>Loaded</v>
      </c>
      <c r="M152" t="str">
        <f>HYPERLINK("https://www.eneba.com/latam/steam-helldivers-2-pc-steam-key-latam-10","Eneba")</f>
        <v>Eneba</v>
      </c>
    </row>
    <row r="153">
      <c r="A153" t="s">
        <v>16</v>
      </c>
      <c r="B153" t="s">
        <v>16</v>
      </c>
      <c r="C153" t="s">
        <v>17</v>
      </c>
      <c r="D153">
        <v>33275</v>
      </c>
      <c r="E153">
        <v>72340</v>
      </c>
      <c r="F153">
        <v>48275</v>
      </c>
      <c r="G153">
        <v>69516</v>
      </c>
      <c r="H153">
        <v>15000</v>
      </c>
      <c r="I153" t="str">
        <f>HYPERLINK("https://store.steampowered.com/app/553850/HELLDIVERS_2/","Abrir Steam")</f>
        <v>Abrir Steam</v>
      </c>
      <c r="J153" t="str">
        <f>HYPERLINK("https://www.kinguin.net/es/category/208502/helldivers-2-steam-account","Kinguin")</f>
        <v>Kinguin</v>
      </c>
      <c r="K153" t="str">
        <f>HYPERLINK("https://driffle.com/es/helldivers-2-global-pc-steam-account-p9952240","Driffle")</f>
        <v>Driffle</v>
      </c>
      <c r="L153" t="s">
        <v>16</v>
      </c>
      <c r="M153" t="s">
        <v>16</v>
      </c>
    </row>
    <row r="154">
      <c r="A154" t="s">
        <v>16</v>
      </c>
      <c r="B154" t="s">
        <v>77</v>
      </c>
      <c r="C154" t="s">
        <v>15</v>
      </c>
      <c r="D154">
        <v>56472</v>
      </c>
      <c r="E154">
        <v>72340</v>
      </c>
      <c r="F154">
        <v>83819</v>
      </c>
      <c r="G154">
        <v>120699</v>
      </c>
      <c r="H154">
        <v>27347</v>
      </c>
      <c r="I154" t="str">
        <f>HYPERLINK("https://store.steampowered.com/app/553850/HELLDIVERS_2/","Abrir Steam")</f>
        <v>Abrir Steam</v>
      </c>
      <c r="J154" t="str">
        <f>HYPERLINK("https://www.kinguin.net/es/category/322569/helldivers-2-super-citizen-edition-latam-pc-steam-cd-key","Kinguin")</f>
        <v>Kinguin</v>
      </c>
      <c r="K154" t="str">
        <f>HYPERLINK("https://driffle.com/es/helldivers-2-super-citizen-edition-latam-pc-steam-digital-key-p9981990","Driffle")</f>
        <v>Driffle</v>
      </c>
      <c r="L154" t="str">
        <f>HYPERLINK("https://www.loaded.com/es_es/helldivers-2-super-citizen-edition-pc-steam","Loaded")</f>
        <v>Loaded</v>
      </c>
      <c r="M154" t="str">
        <f>HYPERLINK("https://www.eneba.com/latam/steam-helldivers-2-super-citizen-edition-pc-steam-key-latam","Eneba")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57845</v>
      </c>
      <c r="E155">
        <v>72340</v>
      </c>
      <c r="F155">
        <v>72845</v>
      </c>
      <c r="G155">
        <v>104897</v>
      </c>
      <c r="H155">
        <v>15000</v>
      </c>
      <c r="I155" t="str">
        <f>HYPERLINK("https://store.steampowered.com/app/553850/HELLDIVERS_2/","Abrir Steam")</f>
        <v>Abrir Steam</v>
      </c>
      <c r="J155" t="str">
        <f>HYPERLINK("https://www.kinguin.net/es/category/208514/helldivers-2-super-citizen-edition-pc-steam-account","Kinguin")</f>
        <v>Kinguin</v>
      </c>
      <c r="K155" t="s">
        <v>16</v>
      </c>
      <c r="L155" t="s">
        <v>16</v>
      </c>
      <c r="M155" t="s">
        <v>16</v>
      </c>
    </row>
    <row r="156">
      <c r="A156" t="s">
        <v>78</v>
      </c>
      <c r="B156" t="s">
        <v>14</v>
      </c>
      <c r="C156" t="s">
        <v>15</v>
      </c>
      <c r="D156">
        <v>0</v>
      </c>
      <c r="E156">
        <v>27116</v>
      </c>
      <c r="F156">
        <v>0</v>
      </c>
      <c r="G156">
        <v>0</v>
      </c>
      <c r="H156">
        <v>0</v>
      </c>
      <c r="I156" t="str">
        <f>HYPERLINK("https://store.steampowered.com/app/1659040/HITMAN_World_of_Assassination/?curator_clanid=4777282","Abrir Steam")</f>
        <v>Abrir Steam</v>
      </c>
      <c r="J156" t="s">
        <v>16</v>
      </c>
      <c r="K156" t="str">
        <f>HYPERLINK("https://driffle.com/es/hitman-world-of-assassination-global-pc-steam-digital-key-p9947612","Driffle")</f>
        <v>Driffle</v>
      </c>
      <c r="L156" t="str">
        <f>HYPERLINK("https://www.loaded.com/es_es/hitman-3-pc-steam","Loaded")</f>
        <v>Loaded</v>
      </c>
      <c r="M156" t="s">
        <v>16</v>
      </c>
    </row>
    <row r="157">
      <c r="A157" t="s">
        <v>16</v>
      </c>
      <c r="B157" t="s">
        <v>16</v>
      </c>
      <c r="C157" t="s">
        <v>17</v>
      </c>
      <c r="D157">
        <v>11903</v>
      </c>
      <c r="E157">
        <v>27116</v>
      </c>
      <c r="F157">
        <v>26903</v>
      </c>
      <c r="G157">
        <v>38740</v>
      </c>
      <c r="H157">
        <v>15000</v>
      </c>
      <c r="I157" t="str">
        <f>HYPERLINK("https://store.steampowered.com/app/1659040/HITMAN_World_of_Assassination/?curator_clanid=4777282","Abrir Steam")</f>
        <v>Abrir Steam</v>
      </c>
      <c r="J157" t="s">
        <v>16</v>
      </c>
      <c r="K157" t="str">
        <f>HYPERLINK("https://driffle.com/es/hitman-world-of-assassination-global-pc-steam-account-p9945630","Driffle")</f>
        <v>Driffle</v>
      </c>
      <c r="L157" t="s">
        <v>16</v>
      </c>
      <c r="M157" t="s">
        <v>16</v>
      </c>
    </row>
    <row r="158">
      <c r="A158" t="s">
        <v>16</v>
      </c>
      <c r="B158" t="s">
        <v>44</v>
      </c>
      <c r="C158" t="s">
        <v>15</v>
      </c>
      <c r="D158">
        <v>84646</v>
      </c>
      <c r="E158">
        <v>83194</v>
      </c>
      <c r="F158">
        <v>99646</v>
      </c>
      <c r="G158">
        <v>143490</v>
      </c>
      <c r="H158">
        <v>15000</v>
      </c>
      <c r="I158" t="str">
        <f>HYPERLINK("https://store.steampowered.com/app/1659040/HITMAN_World_of_Assassination/?curator_clanid=4777282","Abrir Steam")</f>
        <v>Abrir Steam</v>
      </c>
      <c r="J158" t="str">
        <f>HYPERLINK("https://www.kinguin.net/es/category/418805/hitman-world-of-assassination-deluxe-edition-pc-steam-cd-key","Kinguin")</f>
        <v>Kinguin</v>
      </c>
      <c r="K158" t="s">
        <v>16</v>
      </c>
      <c r="L158" t="s">
        <v>16</v>
      </c>
      <c r="M158" t="s">
        <v>16</v>
      </c>
    </row>
    <row r="159">
      <c r="A159" t="s">
        <v>16</v>
      </c>
      <c r="B159" t="s">
        <v>16</v>
      </c>
      <c r="C159" t="s">
        <v>17</v>
      </c>
      <c r="D159">
        <v>5600</v>
      </c>
      <c r="E159">
        <v>83194</v>
      </c>
      <c r="F159">
        <v>32600</v>
      </c>
      <c r="G159">
        <v>46944</v>
      </c>
      <c r="H159">
        <v>27000</v>
      </c>
      <c r="I159" t="str">
        <f>HYPERLINK("https://store.steampowered.com/app/1659040/HITMAN_World_of_Assassination/?curator_clanid=4777282","Abrir Steam")</f>
        <v>Abrir Steam</v>
      </c>
      <c r="J159" t="str">
        <f>HYPERLINK("https://www.kinguin.net/es/category/374248/hitman-world-of-assassination-deluxe-edition-pc-steam-account","Kinguin")</f>
        <v>Kinguin</v>
      </c>
      <c r="K159" t="str">
        <f>HYPERLINK("https://driffle.com/es/hitman-world-of-assassination-deluxe-edition-global-pc-steam-account-p9979540","Driffle")</f>
        <v>Driffle</v>
      </c>
      <c r="L159" t="s">
        <v>16</v>
      </c>
      <c r="M159" t="s">
        <v>16</v>
      </c>
    </row>
    <row r="160">
      <c r="A160" t="s">
        <v>79</v>
      </c>
      <c r="B160" t="s">
        <v>14</v>
      </c>
      <c r="C160" t="s">
        <v>15</v>
      </c>
      <c r="D160">
        <v>7680</v>
      </c>
      <c r="E160">
        <v>54269</v>
      </c>
      <c r="F160">
        <v>38572</v>
      </c>
      <c r="G160">
        <v>55544</v>
      </c>
      <c r="H160">
        <v>30892</v>
      </c>
      <c r="I160" t="str">
        <f>HYPERLINK("https://store.steampowered.com/app/990080/Hogwarts_Legacy/?curator_clanid=4777282","Abrir Steam")</f>
        <v>Abrir Steam</v>
      </c>
      <c r="J160" t="str">
        <f>HYPERLINK("https://www.kinguin.net/es/category/149507/hogwarts-legacy-latam-pc-steam-cd-key","Kinguin")</f>
        <v>Kinguin</v>
      </c>
      <c r="K160" t="str">
        <f>HYPERLINK("https://driffle.com/es/hogwarts-legacy-latam-pc-steam-digital-key-p9994172","Driffle")</f>
        <v>Driffle</v>
      </c>
      <c r="L160" t="str">
        <f>HYPERLINK("https://www.loaded.com/es_es/hogwarts-legacy-pc-steam","Loaded")</f>
        <v>Loaded</v>
      </c>
      <c r="M160" t="str">
        <f>HYPERLINK("https://www.eneba.com/latam/steam-hogwarts-legacy-pc-steam-key-latam","Eneba")</f>
        <v>Eneba</v>
      </c>
    </row>
    <row r="161">
      <c r="A161" t="s">
        <v>16</v>
      </c>
      <c r="B161" t="s">
        <v>16</v>
      </c>
      <c r="C161" t="s">
        <v>17</v>
      </c>
      <c r="D161">
        <v>8518</v>
      </c>
      <c r="E161">
        <v>54269</v>
      </c>
      <c r="F161">
        <v>30572</v>
      </c>
      <c r="G161">
        <v>44024</v>
      </c>
      <c r="H161">
        <v>22054</v>
      </c>
      <c r="I161" t="str">
        <f>HYPERLINK("https://store.steampowered.com/app/990080/Hogwarts_Legacy/?curator_clanid=4777282","Abrir Steam")</f>
        <v>Abrir Steam</v>
      </c>
      <c r="J161" t="str">
        <f>HYPERLINK("https://www.kinguin.net/es/category/148232/hogwarts-legacy-pc-steam-account","Kinguin")</f>
        <v>Kinguin</v>
      </c>
      <c r="K161" t="str">
        <f>HYPERLINK("https://driffle.com/es/hogwarts-legacy-global-pc-steam-account-p9971523","Driffle")</f>
        <v>Driffle</v>
      </c>
      <c r="L161" t="s">
        <v>16</v>
      </c>
      <c r="M161" t="s">
        <v>16</v>
      </c>
    </row>
    <row r="162">
      <c r="A162" t="s">
        <v>16</v>
      </c>
      <c r="B162" t="s">
        <v>44</v>
      </c>
      <c r="C162" t="s">
        <v>15</v>
      </c>
      <c r="D162">
        <v>10147</v>
      </c>
      <c r="E162">
        <v>72340</v>
      </c>
      <c r="F162">
        <v>44048</v>
      </c>
      <c r="G162">
        <v>63429</v>
      </c>
      <c r="H162">
        <v>33901</v>
      </c>
      <c r="I162" t="str">
        <f>HYPERLINK("https://store.steampowered.com/app/990080/Hogwarts_Legacy/?curator_clanid=4777282","Abrir Steam")</f>
        <v>Abrir Steam</v>
      </c>
      <c r="J162" t="str">
        <f>HYPERLINK("https://www.kinguin.net/es/category/149506/hogwarts-legacy-deluxe-edition-latam-steam-cd-key","Kinguin")</f>
        <v>Kinguin</v>
      </c>
      <c r="K162" t="str">
        <f>HYPERLINK("https://driffle.com/es/hogwarts-legacy-deluxe-edition-pc-steam-digital-code-p9883456","Driffle")</f>
        <v>Driffle</v>
      </c>
      <c r="L162" t="str">
        <f>HYPERLINK("https://www.loaded.com/es_es/hogwarts-legacy-deluxe-edition-pc-steam-ww","Loaded")</f>
        <v>Loaded</v>
      </c>
      <c r="M162" t="str">
        <f>HYPERLINK("https://www.eneba.com/latam/steam-hogwarts-legacy-deluxe-edition-pc-steam-key-latam","Eneba")</f>
        <v>Eneba</v>
      </c>
    </row>
    <row r="163">
      <c r="A163" t="s">
        <v>16</v>
      </c>
      <c r="B163" t="s">
        <v>16</v>
      </c>
      <c r="C163" t="s">
        <v>17</v>
      </c>
      <c r="D163">
        <v>9048</v>
      </c>
      <c r="E163">
        <v>72340</v>
      </c>
      <c r="F163">
        <v>36048</v>
      </c>
      <c r="G163">
        <v>51909</v>
      </c>
      <c r="H163">
        <v>27000</v>
      </c>
      <c r="I163" t="str">
        <f>HYPERLINK("https://store.steampowered.com/app/990080/Hogwarts_Legacy/?curator_clanid=4777282","Abrir Steam")</f>
        <v>Abrir Steam</v>
      </c>
      <c r="J163" t="str">
        <f>HYPERLINK("https://www.kinguin.net/es/category/148234/hogwarts-legacy-deluxe-edition-steam-account","Kinguin")</f>
        <v>Kinguin</v>
      </c>
      <c r="K163" t="str">
        <f>HYPERLINK("https://driffle.com/es/hogwarts-legacy-deluxe-edition-pc-steam-digital-code-p9962290","Driffle")</f>
        <v>Driffle</v>
      </c>
      <c r="L163" t="s">
        <v>16</v>
      </c>
      <c r="M163" t="s">
        <v>16</v>
      </c>
    </row>
    <row r="164">
      <c r="A164" t="s">
        <v>80</v>
      </c>
      <c r="B164" t="s">
        <v>14</v>
      </c>
      <c r="C164" t="s">
        <v>15</v>
      </c>
      <c r="D164">
        <v>66908</v>
      </c>
      <c r="E164">
        <v>67836</v>
      </c>
      <c r="F164">
        <v>82013</v>
      </c>
      <c r="G164">
        <v>118099</v>
      </c>
      <c r="H164">
        <v>15105</v>
      </c>
      <c r="I164" t="str">
        <f>HYPERLINK("https://store.steampowered.com/app/2353060/Invincible_VS/","Abrir Steam")</f>
        <v>Abrir Steam</v>
      </c>
      <c r="J164" t="s">
        <v>16</v>
      </c>
      <c r="K164" t="s">
        <v>16</v>
      </c>
      <c r="L164" t="str">
        <f>HYPERLINK("https://www.loaded.com/es_es/invincible-vs-pc-steam","Loaded")</f>
        <v>Loaded</v>
      </c>
      <c r="M164" t="str">
        <f>HYPERLINK("https://www.eneba.com/latam/steam-invincible-vs-steam-key-pc-global","Eneba")</f>
        <v>Eneba</v>
      </c>
    </row>
    <row r="165">
      <c r="A165" t="s">
        <v>16</v>
      </c>
      <c r="B165" t="s">
        <v>16</v>
      </c>
      <c r="C165" t="s">
        <v>17</v>
      </c>
      <c r="D165">
        <v>20670</v>
      </c>
      <c r="E165">
        <v>67836</v>
      </c>
      <c r="F165">
        <v>40724</v>
      </c>
      <c r="G165">
        <v>58643</v>
      </c>
      <c r="H165">
        <v>20054</v>
      </c>
      <c r="I165" t="str">
        <f>HYPERLINK("https://store.steampowered.com/app/2353060/Invincible_VS/","Abrir Steam")</f>
        <v>Abrir Steam</v>
      </c>
      <c r="J165" t="str">
        <f>HYPERLINK("https://www.kinguin.net/es/category/440606/invincible-vs-pc-steam-account","Kinguin")</f>
        <v>Kinguin</v>
      </c>
      <c r="K165" t="str">
        <f>HYPERLINK("https://driffle.com/es/invincible-vs-global-pc-steam-account-p9994202","Driffle")</f>
        <v>Driffle</v>
      </c>
      <c r="L165" t="s">
        <v>16</v>
      </c>
      <c r="M165" t="s">
        <v>16</v>
      </c>
    </row>
    <row r="166">
      <c r="A166" t="s">
        <v>16</v>
      </c>
      <c r="B166" t="s">
        <v>44</v>
      </c>
      <c r="C166" t="s">
        <v>15</v>
      </c>
      <c r="D166">
        <v>89840</v>
      </c>
      <c r="E166">
        <v>102206</v>
      </c>
      <c r="F166">
        <v>105245</v>
      </c>
      <c r="G166">
        <v>151553</v>
      </c>
      <c r="H166">
        <v>15405</v>
      </c>
      <c r="I166" t="str">
        <f>HYPERLINK("https://store.steampowered.com/app/2353060/Invincible_VS/","Abrir Steam")</f>
        <v>Abrir Steam</v>
      </c>
      <c r="J166" t="s">
        <v>16</v>
      </c>
      <c r="K166" t="s">
        <v>16</v>
      </c>
      <c r="L166" t="str">
        <f>HYPERLINK("https://www.loaded.com/es_es/invincible-vs-deluxe-edition-pc-steam","Loaded")</f>
        <v>Loaded</v>
      </c>
      <c r="M166" t="s">
        <v>16</v>
      </c>
    </row>
    <row r="167">
      <c r="A167" t="s">
        <v>16</v>
      </c>
      <c r="B167" t="s">
        <v>16</v>
      </c>
      <c r="C167" t="s">
        <v>17</v>
      </c>
      <c r="D167">
        <v>21731</v>
      </c>
      <c r="E167">
        <v>102206</v>
      </c>
      <c r="F167">
        <v>48731</v>
      </c>
      <c r="G167">
        <v>70173</v>
      </c>
      <c r="H167">
        <v>27000</v>
      </c>
      <c r="I167" t="str">
        <f>HYPERLINK("https://store.steampowered.com/app/2353060/Invincible_VS/","Abrir Steam")</f>
        <v>Abrir Steam</v>
      </c>
      <c r="J167" t="str">
        <f>HYPERLINK("https://www.kinguin.net/es/category/440609/invincible-vs-deluxe-edition-pc-steam-account","Kinguin")</f>
        <v>Kinguin</v>
      </c>
      <c r="K167" t="str">
        <f>HYPERLINK("https://driffle.com/es/invincible-vs-deluxe-edition-global-pc-steam-account-p9994203","Driffle")</f>
        <v>Driffle</v>
      </c>
      <c r="L167" t="s">
        <v>16</v>
      </c>
      <c r="M167" t="s">
        <v>16</v>
      </c>
    </row>
    <row r="168">
      <c r="A168" t="s">
        <v>81</v>
      </c>
      <c r="B168" t="s">
        <v>14</v>
      </c>
      <c r="C168" t="s">
        <v>15</v>
      </c>
      <c r="D168">
        <v>88821</v>
      </c>
      <c r="E168">
        <v>72340</v>
      </c>
      <c r="F168">
        <v>103821</v>
      </c>
      <c r="G168">
        <v>149502</v>
      </c>
      <c r="H168">
        <v>15000</v>
      </c>
      <c r="I168" t="str">
        <f>HYPERLINK("https://store.steampowered.com/app/1426210/It_Takes_Two/?curator_clanid=4777282","Abrir Steam")</f>
        <v>Abrir Steam</v>
      </c>
      <c r="J168" t="str">
        <f>HYPERLINK("https://www.kinguin.net/es/category/106598/it-takes-two-steam-cd-key","Kinguin")</f>
        <v>Kinguin</v>
      </c>
      <c r="K168" t="str">
        <f>HYPERLINK("https://driffle.com/es/it-takes-two-steam-altergift-p53426","Driffle")</f>
        <v>Driffle</v>
      </c>
      <c r="L168" t="s">
        <v>16</v>
      </c>
      <c r="M168" t="str">
        <f>HYPERLINK("https://www.eneba.com/latam/steam-it-takes-two-steam-key-global","Eneba")</f>
        <v>Eneba</v>
      </c>
    </row>
    <row r="169">
      <c r="A169" t="s">
        <v>16</v>
      </c>
      <c r="B169" t="s">
        <v>16</v>
      </c>
      <c r="C169" t="s">
        <v>17</v>
      </c>
      <c r="D169">
        <v>8814</v>
      </c>
      <c r="E169">
        <v>72340</v>
      </c>
      <c r="F169">
        <v>35814</v>
      </c>
      <c r="G169">
        <v>51572</v>
      </c>
      <c r="H169">
        <v>27000</v>
      </c>
      <c r="I169" t="str">
        <f>HYPERLINK("https://store.steampowered.com/app/1426210/It_Takes_Two/?curator_clanid=4777282","Abrir Steam")</f>
        <v>Abrir Steam</v>
      </c>
      <c r="J169" t="str">
        <f>HYPERLINK("https://www.kinguin.net/es/category/152047/it-takes-two-steam-account","Kinguin")</f>
        <v>Kinguin</v>
      </c>
      <c r="K169" t="str">
        <f>HYPERLINK("https://driffle.com/es/it-takes-two-global-pc-steam-account-p9945671","Driffle")</f>
        <v>Driffle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58484</v>
      </c>
      <c r="E170">
        <v>108519</v>
      </c>
      <c r="F170">
        <v>80724</v>
      </c>
      <c r="G170">
        <v>116243</v>
      </c>
      <c r="H170">
        <v>22240</v>
      </c>
      <c r="I170" t="str">
        <f>HYPERLINK("https://store.steampowered.com/app/2215200/LEGO_Batman_El_Legado_del_Caballero_Oscuro/","Abrir Steam")</f>
        <v>Abrir Steam</v>
      </c>
      <c r="J170" t="str">
        <f>HYPERLINK("https://www.kinguin.net/es/category/471797/lego-batman-legacy-of-the-dark-knight-pc-steam-cd-key","Kinguin")</f>
        <v>Kinguin</v>
      </c>
      <c r="K170" t="str">
        <f>HYPERLINK("https://driffle.com/es/lego-batman-legacy-of-the-dark-knight-global-pc-steam-digital-key-p9980732","Driffle")</f>
        <v>Driffle</v>
      </c>
      <c r="L170" t="str">
        <f>HYPERLINK("https://www.loaded.com/es_es/lego-batman-legacy-of-the-dark-knight-pc-latam-steam","Loaded")</f>
        <v>Loaded</v>
      </c>
      <c r="M170" t="str">
        <f>HYPERLINK("https://www.eneba.com/latam/steam-lego-r-batmantm-legacy-of-the-dark-knight-steam-key-pc-latam","Eneba")</f>
        <v>Eneba</v>
      </c>
    </row>
    <row r="171">
      <c r="A171" t="s">
        <v>16</v>
      </c>
      <c r="B171" t="s">
        <v>16</v>
      </c>
      <c r="C171" t="s">
        <v>17</v>
      </c>
      <c r="D171">
        <v>54506</v>
      </c>
      <c r="E171">
        <v>108519</v>
      </c>
      <c r="F171">
        <v>70125</v>
      </c>
      <c r="G171">
        <v>100980</v>
      </c>
      <c r="H171">
        <v>15619</v>
      </c>
      <c r="I171" t="str">
        <f>HYPERLINK("https://store.steampowered.com/app/2215200/LEGO_Batman_El_Legado_del_Caballero_Oscuro/","Abrir Steam")</f>
        <v>Abrir Steam</v>
      </c>
      <c r="J171" t="str">
        <f>HYPERLINK("https://www.kinguin.net/es/category/439222/lego-batman-legacy-of-the-dark-knight-pc-steam-account","Kinguin")</f>
        <v>Kinguin</v>
      </c>
      <c r="K171" t="s">
        <v>16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77360</v>
      </c>
      <c r="E172">
        <v>144698</v>
      </c>
      <c r="F172">
        <v>107831</v>
      </c>
      <c r="G172">
        <v>155277</v>
      </c>
      <c r="H172">
        <v>30471</v>
      </c>
      <c r="I172" t="str">
        <f>HYPERLINK("https://store.steampowered.com/app/2215200/LEGO_Batman_El_Legado_del_Caballero_Oscuro/","Abrir Steam")</f>
        <v>Abrir Steam</v>
      </c>
      <c r="J172" t="str">
        <f>HYPERLINK("https://www.kinguin.net/es/category/464787/lego-batman-legacy-of-the-dark-knight-deluxe-edition-pc-steam-cd-key","Kinguin")</f>
        <v>Kinguin</v>
      </c>
      <c r="K172" t="str">
        <f>HYPERLINK("https://driffle.com/es/lego-batman-legacy-of-the-dark-knight-deluxe-edition-global-pc-steam-digital-key-p9980733","Driffle")</f>
        <v>Driffle</v>
      </c>
      <c r="L172" t="str">
        <f>HYPERLINK("https://www.loaded.com/es_es/lego-batman-legacy-of-the-dark-knight-deluxe-edition-pc-latam-steam","Loaded")</f>
        <v>Loaded</v>
      </c>
      <c r="M172" t="str">
        <f>HYPERLINK("https://www.eneba.com/latam/steam-lego-r-batmantm-legacy-of-the-dark-knight-deluxe-edition-steam-key-pc-latam","Eneba")</f>
        <v>Eneba</v>
      </c>
    </row>
    <row r="173">
      <c r="A173" t="s">
        <v>16</v>
      </c>
      <c r="B173" t="s">
        <v>16</v>
      </c>
      <c r="C173" t="s">
        <v>17</v>
      </c>
      <c r="D173">
        <v>78078</v>
      </c>
      <c r="E173">
        <v>144698</v>
      </c>
      <c r="F173">
        <v>93664</v>
      </c>
      <c r="G173">
        <v>134876</v>
      </c>
      <c r="H173">
        <v>15586</v>
      </c>
      <c r="I173" t="str">
        <f>HYPERLINK("https://store.steampowered.com/app/2215200/LEGO_Batman_El_Legado_del_Caballero_Oscuro/","Abrir Steam")</f>
        <v>Abrir Steam</v>
      </c>
      <c r="J173" t="str">
        <f>HYPERLINK("https://www.kinguin.net/es/category/439223/lego-batman-legacy-of-the-dark-knight-deluxe-edition-pc-steam-account","Kinguin")</f>
        <v>Kinguin</v>
      </c>
      <c r="K173" t="s">
        <v>16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48655</v>
      </c>
      <c r="E174">
        <v>90429</v>
      </c>
      <c r="F174">
        <v>67822</v>
      </c>
      <c r="G174">
        <v>97664</v>
      </c>
      <c r="H174">
        <v>19167</v>
      </c>
      <c r="I174" t="str">
        <f>HYPERLINK("https://store.steampowered.com/app/2651280/Marvels_SpiderMan_2/","Abrir Steam")</f>
        <v>Abrir Steam</v>
      </c>
      <c r="J174" t="str">
        <f>HYPERLINK("https://www.kinguin.net/es/category/307369/marvel-s-spider-man-2-latam-pc-steam-cd-key","Kinguin")</f>
        <v>Kinguin</v>
      </c>
      <c r="K174" t="str">
        <f>HYPERLINK("https://driffle.com/es/marvels-spider-man-2-latam-pc-steam-digital-key-p9930167","Driffle")</f>
        <v>Driffle</v>
      </c>
      <c r="L174" t="s">
        <v>16</v>
      </c>
      <c r="M174" t="str">
        <f>HYPERLINK("https://www.eneba.com/latam/steam-marvels-spider-man-2-pc-steam-key-latam","Eneba")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63710</v>
      </c>
      <c r="E175">
        <v>90429</v>
      </c>
      <c r="F175">
        <v>78710</v>
      </c>
      <c r="G175">
        <v>113342</v>
      </c>
      <c r="H175">
        <v>15000</v>
      </c>
      <c r="I175" t="str">
        <f>HYPERLINK("https://store.steampowered.com/app/2651280/Marvels_SpiderMan_2/","Abrir Steam")</f>
        <v>Abrir Steam</v>
      </c>
      <c r="J175" t="str">
        <f>HYPERLINK("https://www.kinguin.net/es/category/296645/marvel-s-spider-man-2-pc-steam-account","Kinguin")</f>
        <v>Kinguin</v>
      </c>
      <c r="K175" t="str">
        <f>HYPERLINK("https://driffle.com/es/marvels-spider-man-2-global-pc-steam-account-p9979525","Driffle")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64896</v>
      </c>
      <c r="E176">
        <v>90429</v>
      </c>
      <c r="F176">
        <v>79896</v>
      </c>
      <c r="G176">
        <v>115050</v>
      </c>
      <c r="H176">
        <v>15000</v>
      </c>
      <c r="I176" t="str">
        <f>HYPERLINK("https://store.steampowered.com/app/2651280/Marvels_SpiderMan_2/","Abrir Steam")</f>
        <v>Abrir Steam</v>
      </c>
      <c r="J176" t="str">
        <f>HYPERLINK("https://www.kinguin.net/es/category/307365/marvel-s-spider-man-2-deluxe-edition-latam-pc-steam-cd-key","Kinguin")</f>
        <v>Kinguin</v>
      </c>
      <c r="K176" t="str">
        <f>HYPERLINK("https://driffle.com/es/marvels-spider-man-2-deluxe-edition-latam-pc-steam-digital-key-p9930164","Driffle")</f>
        <v>Driffle</v>
      </c>
      <c r="L176" t="s">
        <v>16</v>
      </c>
      <c r="M176" t="str">
        <f>HYPERLINK("https://www.eneba.com/latam/steam-marvels-spider-man-2-digital-deluxe-edition-pc-steam-key-latam","Eneba")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0</v>
      </c>
      <c r="E177">
        <v>90429</v>
      </c>
      <c r="F177">
        <v>0</v>
      </c>
      <c r="G177">
        <v>0</v>
      </c>
      <c r="H177">
        <v>0</v>
      </c>
      <c r="I177" t="str">
        <f>HYPERLINK("https://store.steampowered.com/app/2651280/Marvels_SpiderMan_2/","Abrir Steam")</f>
        <v>Abrir Steam</v>
      </c>
      <c r="J177" t="s">
        <v>16</v>
      </c>
      <c r="K177" t="s">
        <v>16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26177</v>
      </c>
      <c r="E178">
        <v>108519</v>
      </c>
      <c r="F178">
        <v>53177</v>
      </c>
      <c r="G178">
        <v>76575</v>
      </c>
      <c r="H178">
        <v>27000</v>
      </c>
      <c r="I178" t="str">
        <f>HYPERLINK("https://store.steampowered.com/app/1817070/Marvels_SpiderMan_Remastered/","Abrir Steam")</f>
        <v>Abrir Steam</v>
      </c>
      <c r="J178" t="str">
        <f>HYPERLINK("https://www.kinguin.net/es/category/322545/marvel-s-spider-man-remastered-latam-pc-steam-cd-key","Kinguin")</f>
        <v>Kinguin</v>
      </c>
      <c r="K178" t="str">
        <f>HYPERLINK("https://driffle.com/es/marvels-spider-man-remastered-latam-pc-steam-digital-key-p9973449","Driffle")</f>
        <v>Driffle</v>
      </c>
      <c r="L178" t="str">
        <f>HYPERLINK("https://www.loaded.com/es_es/marvel-s-spider-man-remastered-pc-steam","Loaded")</f>
        <v>Loaded</v>
      </c>
      <c r="M178" t="str">
        <f>HYPERLINK("https://www.eneba.com/latam/steam-marvels-spider-man-remastered-pc-steam-key-latam","Eneba")</f>
        <v>Eneba</v>
      </c>
    </row>
    <row r="179">
      <c r="A179" t="s">
        <v>16</v>
      </c>
      <c r="B179" t="s">
        <v>16</v>
      </c>
      <c r="C179" t="s">
        <v>17</v>
      </c>
      <c r="D179">
        <v>0</v>
      </c>
      <c r="E179">
        <v>108519</v>
      </c>
      <c r="F179">
        <v>0</v>
      </c>
      <c r="G179">
        <v>0</v>
      </c>
      <c r="H179">
        <v>0</v>
      </c>
      <c r="I179" t="str">
        <f>HYPERLINK("https://store.steampowered.com/app/1817070/Marvels_SpiderMan_Remastered/","Abrir Steam")</f>
        <v>Abrir Steam</v>
      </c>
      <c r="J179" t="str">
        <f>HYPERLINK("https://www.kinguin.net/es/category/155017/marvel-s-spider-man-remastered-steam-account","Kinguin")</f>
        <v>Kinguin</v>
      </c>
      <c r="K179" t="s">
        <v>16</v>
      </c>
      <c r="L179" t="s">
        <v>16</v>
      </c>
      <c r="M179" t="s">
        <v>16</v>
      </c>
    </row>
    <row r="180">
      <c r="A180" t="s">
        <v>85</v>
      </c>
      <c r="B180" t="s">
        <v>14</v>
      </c>
      <c r="C180" t="s">
        <v>15</v>
      </c>
      <c r="D180">
        <v>25038</v>
      </c>
      <c r="E180">
        <v>90429</v>
      </c>
      <c r="F180">
        <v>52038</v>
      </c>
      <c r="G180">
        <v>74935</v>
      </c>
      <c r="H180">
        <v>27000</v>
      </c>
      <c r="I180" t="str">
        <f>HYPERLINK("https://store.steampowered.com/app/1817190/Marvels_SpiderMan_Miles_Morales/","Abrir Steam")</f>
        <v>Abrir Steam</v>
      </c>
      <c r="J180" t="str">
        <f>HYPERLINK("https://www.kinguin.net/es/category/136099/marvel-s-spider-man-miles-morales-pc-steam-cd-key","Kinguin")</f>
        <v>Kinguin</v>
      </c>
      <c r="K180" t="str">
        <f>HYPERLINK("https://driffle.com/es/marvels-spider-man-miles-morales-pc-steam-digital-code-p9882675","Driffle")</f>
        <v>Driffle</v>
      </c>
      <c r="L180" t="str">
        <f>HYPERLINK("https://www.loaded.com/es_es/marvel-s-spider-man-miles-morales-pc-steam","Loaded")</f>
        <v>Loaded</v>
      </c>
      <c r="M180" t="str">
        <f>HYPERLINK("https://www.eneba.com/latam/steam-marvels-spider-man-miles-morales-pc-steam-key-latam","Eneba")</f>
        <v>Eneba</v>
      </c>
    </row>
    <row r="181">
      <c r="A181" t="s">
        <v>16</v>
      </c>
      <c r="B181" t="s">
        <v>16</v>
      </c>
      <c r="C181" t="s">
        <v>17</v>
      </c>
      <c r="D181">
        <v>0</v>
      </c>
      <c r="E181">
        <v>90429</v>
      </c>
      <c r="F181">
        <v>0</v>
      </c>
      <c r="G181">
        <v>0</v>
      </c>
      <c r="H181">
        <v>0</v>
      </c>
      <c r="I181" t="str">
        <f>HYPERLINK("https://store.steampowered.com/app/1817190/Marvels_SpiderMan_Miles_Morales/","Abrir Steam")</f>
        <v>Abrir Steam</v>
      </c>
      <c r="J181" t="str">
        <f>HYPERLINK("https://www.kinguin.net/es/category/184113/marvel-s-spider-man-miles-morales-steam-account","Kinguin")</f>
        <v>Kinguin</v>
      </c>
      <c r="K181" t="s">
        <v>16</v>
      </c>
      <c r="L181" t="s">
        <v>16</v>
      </c>
      <c r="M181" t="s">
        <v>16</v>
      </c>
    </row>
    <row r="182">
      <c r="A182" t="s">
        <v>86</v>
      </c>
      <c r="B182" t="s">
        <v>14</v>
      </c>
      <c r="C182" t="s">
        <v>15</v>
      </c>
      <c r="D182">
        <v>99824</v>
      </c>
      <c r="E182">
        <v>126608</v>
      </c>
      <c r="F182">
        <v>114824</v>
      </c>
      <c r="G182">
        <v>165347</v>
      </c>
      <c r="H182">
        <v>15000</v>
      </c>
      <c r="I182" t="str">
        <f>HYPERLINK("https://store.steampowered.com/app/2537590/Microsoft_Flight_Simulator_2024/","Abrir Steam")</f>
        <v>Abrir Steam</v>
      </c>
      <c r="J182" t="s">
        <v>16</v>
      </c>
      <c r="K182" t="s">
        <v>16</v>
      </c>
      <c r="L182" t="str">
        <f>HYPERLINK("https://www.loaded.com/es_es/microsoft-flight-simulator-2024-pc-steam","Loaded")</f>
        <v>Loaded</v>
      </c>
      <c r="M182" t="s">
        <v>16</v>
      </c>
    </row>
    <row r="183">
      <c r="A183" t="s">
        <v>16</v>
      </c>
      <c r="B183" t="s">
        <v>16</v>
      </c>
      <c r="C183" t="s">
        <v>17</v>
      </c>
      <c r="D183">
        <v>63804</v>
      </c>
      <c r="E183">
        <v>126608</v>
      </c>
      <c r="F183">
        <v>80899</v>
      </c>
      <c r="G183">
        <v>116495</v>
      </c>
      <c r="H183">
        <v>17095</v>
      </c>
      <c r="I183" t="str">
        <f>HYPERLINK("https://store.steampowered.com/app/2537590/Microsoft_Flight_Simulator_2024/","Abrir Steam")</f>
        <v>Abrir Steam</v>
      </c>
      <c r="J183" t="str">
        <f>HYPERLINK("https://www.kinguin.net/es/category/274084/microsoft-flight-simulator-2024-pc-steam-account","Kinguin")</f>
        <v>Kinguin</v>
      </c>
      <c r="K183" t="str">
        <f>HYPERLINK("https://driffle.com/es/microsoft-flight-simulator-2024-global-pc-steam-account-p9971540","Driffle")</f>
        <v>Driffle</v>
      </c>
      <c r="L183" t="s">
        <v>16</v>
      </c>
      <c r="M183" t="s">
        <v>16</v>
      </c>
    </row>
    <row r="184">
      <c r="A184" t="s">
        <v>16</v>
      </c>
      <c r="B184" t="s">
        <v>44</v>
      </c>
      <c r="C184" t="s">
        <v>15</v>
      </c>
      <c r="D184">
        <v>143504</v>
      </c>
      <c r="E184">
        <v>180877</v>
      </c>
      <c r="F184">
        <v>159007</v>
      </c>
      <c r="G184">
        <v>228970</v>
      </c>
      <c r="H184">
        <v>15503</v>
      </c>
      <c r="I184" t="str">
        <f>HYPERLINK("https://store.steampowered.com/app/2537590/Microsoft_Flight_Simulator_2024/","Abrir Steam")</f>
        <v>Abrir Steam</v>
      </c>
      <c r="J184" t="s">
        <v>16</v>
      </c>
      <c r="K184" t="s">
        <v>16</v>
      </c>
      <c r="L184" t="str">
        <f>HYPERLINK("https://www.loaded.com/es_es/microsoft-flight-simulator-2024-deluxe-edition-pc-steam","Loaded")</f>
        <v>Loaded</v>
      </c>
      <c r="M184" t="s">
        <v>16</v>
      </c>
    </row>
    <row r="185">
      <c r="A185" t="s">
        <v>16</v>
      </c>
      <c r="B185" t="s">
        <v>16</v>
      </c>
      <c r="C185" t="s">
        <v>17</v>
      </c>
      <c r="D185">
        <v>63898</v>
      </c>
      <c r="E185">
        <v>180877</v>
      </c>
      <c r="F185">
        <v>90898</v>
      </c>
      <c r="G185">
        <v>130893</v>
      </c>
      <c r="H185">
        <v>27000</v>
      </c>
      <c r="I185" t="str">
        <f>HYPERLINK("https://store.steampowered.com/app/2537590/Microsoft_Flight_Simulator_2024/","Abrir Steam")</f>
        <v>Abrir Steam</v>
      </c>
      <c r="J185" t="str">
        <f>HYPERLINK("https://www.kinguin.net/es/category/274086/microsoft-flight-simulator-2024-deluxe-edition-pc-steam-account","Kinguin")</f>
        <v>Kinguin</v>
      </c>
      <c r="K185" t="str">
        <f>HYPERLINK("https://driffle.com/es/microsoft-flight-simulator-2024-deluxe-edition-global-pc-steam-account-p9971541","Driffle")</f>
        <v>Driffle</v>
      </c>
      <c r="L185" t="s">
        <v>16</v>
      </c>
      <c r="M185" t="s">
        <v>16</v>
      </c>
    </row>
    <row r="186">
      <c r="A186" t="s">
        <v>16</v>
      </c>
      <c r="B186" t="s">
        <v>87</v>
      </c>
      <c r="C186" t="s">
        <v>15</v>
      </c>
      <c r="D186">
        <v>187184</v>
      </c>
      <c r="E186">
        <v>235145</v>
      </c>
      <c r="F186">
        <v>202184</v>
      </c>
      <c r="G186">
        <v>291145</v>
      </c>
      <c r="H186">
        <v>15000</v>
      </c>
      <c r="I186" t="str">
        <f>HYPERLINK("https://store.steampowered.com/app/2537590/Microsoft_Flight_Simulator_2024/","Abrir Steam")</f>
        <v>Abrir Steam</v>
      </c>
      <c r="J186" t="s">
        <v>16</v>
      </c>
      <c r="K186" t="s">
        <v>16</v>
      </c>
      <c r="L186" t="str">
        <f>HYPERLINK("https://www.loaded.com/es_es/microsoft-flight-simulator-2024-premium-deluxe-edition-pc-steam","Loaded")</f>
        <v>Loaded</v>
      </c>
      <c r="M186" t="s">
        <v>16</v>
      </c>
    </row>
    <row r="187">
      <c r="A187" t="s">
        <v>16</v>
      </c>
      <c r="B187" t="s">
        <v>16</v>
      </c>
      <c r="C187" t="s">
        <v>17</v>
      </c>
      <c r="D187">
        <v>63898</v>
      </c>
      <c r="E187">
        <v>180877</v>
      </c>
      <c r="F187">
        <v>90898</v>
      </c>
      <c r="G187">
        <v>130893</v>
      </c>
      <c r="H187">
        <v>27000</v>
      </c>
      <c r="I187" t="str">
        <f>HYPERLINK("https://store.steampowered.com/app/2537590/Microsoft_Flight_Simulator_2024/","Abrir Steam")</f>
        <v>Abrir Steam</v>
      </c>
      <c r="J187" t="str">
        <f>HYPERLINK("https://www.kinguin.net/es/category/274118/microsoft-flight-simulator-2024-premium-deluxe-edition-pc-steam-account","Kinguin")</f>
        <v>Kinguin</v>
      </c>
      <c r="K187" t="str">
        <f>HYPERLINK("https://driffle.com/es/microsoft-flight-simulator-2024-premium-deluxe-edition-global-pc-steam-account-p9971543","Driffle")</f>
        <v>Driffle</v>
      </c>
      <c r="L187" t="s">
        <v>16</v>
      </c>
      <c r="M187" t="s">
        <v>16</v>
      </c>
    </row>
    <row r="188">
      <c r="A188" t="s">
        <v>16</v>
      </c>
      <c r="B188" t="s">
        <v>88</v>
      </c>
      <c r="C188" t="s">
        <v>15</v>
      </c>
      <c r="D188">
        <v>288584</v>
      </c>
      <c r="E188">
        <v>361772</v>
      </c>
      <c r="F188">
        <v>323584</v>
      </c>
      <c r="G188">
        <v>465961</v>
      </c>
      <c r="H188">
        <v>35000</v>
      </c>
      <c r="I188" t="str">
        <f>HYPERLINK("https://store.steampowered.com/app/2537590/Microsoft_Flight_Simulator_2024/","Abrir Steam")</f>
        <v>Abrir Steam</v>
      </c>
      <c r="J188" t="s">
        <v>16</v>
      </c>
      <c r="K188" t="s">
        <v>16</v>
      </c>
      <c r="L188" t="str">
        <f>HYPERLINK("https://www.loaded.com/es_es/microsoft-flight-simulator-2024-aviator-edition-pc-steam","Loaded")</f>
        <v>Loaded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304325</v>
      </c>
      <c r="E189">
        <v>361772</v>
      </c>
      <c r="F189">
        <v>319325</v>
      </c>
      <c r="G189">
        <v>459828</v>
      </c>
      <c r="H189">
        <v>15000</v>
      </c>
      <c r="I189" t="str">
        <f>HYPERLINK("https://store.steampowered.com/app/2537590/Microsoft_Flight_Simulator_2024/","Abrir Steam")</f>
        <v>Abrir Steam</v>
      </c>
      <c r="J189" t="str">
        <f>HYPERLINK("https://www.kinguin.net/es/category/274088/microsoft-flight-simulator-2024-aviator-edition-pc-steam-account","Kinguin")</f>
        <v>Kinguin</v>
      </c>
      <c r="K189" t="s">
        <v>16</v>
      </c>
      <c r="L189" t="s">
        <v>16</v>
      </c>
      <c r="M189" t="s">
        <v>16</v>
      </c>
    </row>
    <row r="190">
      <c r="A190" t="s">
        <v>89</v>
      </c>
      <c r="B190" t="s">
        <v>14</v>
      </c>
      <c r="C190" t="s">
        <v>15</v>
      </c>
      <c r="D190">
        <v>30623</v>
      </c>
      <c r="E190">
        <v>94952</v>
      </c>
      <c r="F190">
        <v>65623</v>
      </c>
      <c r="G190">
        <v>94497</v>
      </c>
      <c r="H190">
        <v>35000</v>
      </c>
      <c r="I190" t="str">
        <f>HYPERLINK("https://store.steampowered.com/app/2246340/Monster_Hunter_Wilds/?curator_clanid=4777282","Abrir Steam")</f>
        <v>Abrir Steam</v>
      </c>
      <c r="J190" t="str">
        <f>HYPERLINK("https://www.kinguin.net/es/category/320762/monster-hunter-wilds-latam-pc-steam-cd-key","Kinguin")</f>
        <v>Kinguin</v>
      </c>
      <c r="K190" t="str">
        <f>HYPERLINK("https://driffle.com/es/monster-hunter-wilds-global-pc-steam-digital-key-p9925652","Driffle")</f>
        <v>Driffle</v>
      </c>
      <c r="L190" t="s">
        <v>16</v>
      </c>
      <c r="M190" t="str">
        <f>HYPERLINK("https://www.eneba.com/latam/steam-monster-hunter-wilds-pc-steam-key-latam","Eneba")</f>
        <v>Eneba</v>
      </c>
    </row>
    <row r="191">
      <c r="A191" t="s">
        <v>16</v>
      </c>
      <c r="B191" t="s">
        <v>16</v>
      </c>
      <c r="C191" t="s">
        <v>17</v>
      </c>
      <c r="D191">
        <v>44164</v>
      </c>
      <c r="E191">
        <v>94952</v>
      </c>
      <c r="F191">
        <v>60697</v>
      </c>
      <c r="G191">
        <v>87404</v>
      </c>
      <c r="H191">
        <v>16533</v>
      </c>
      <c r="I191" t="str">
        <f>HYPERLINK("https://store.steampowered.com/app/2246340/Monster_Hunter_Wilds/?curator_clanid=4777282","Abrir Steam")</f>
        <v>Abrir Steam</v>
      </c>
      <c r="J191" t="str">
        <f>HYPERLINK("https://www.kinguin.net/es/category/273198/monster-hunter-wilds-pc-steam-account","Kinguin")</f>
        <v>Kinguin</v>
      </c>
      <c r="K191" t="str">
        <f>HYPERLINK("https://driffle.com/es/monster-hunter-wilds-global-pc-steam-account-p9979523","Driffle")</f>
        <v>Driffle</v>
      </c>
      <c r="L191" t="s">
        <v>16</v>
      </c>
      <c r="M191" t="s">
        <v>16</v>
      </c>
    </row>
    <row r="192">
      <c r="A192" t="s">
        <v>16</v>
      </c>
      <c r="B192" t="s">
        <v>44</v>
      </c>
      <c r="C192" t="s">
        <v>15</v>
      </c>
      <c r="D192">
        <v>80777</v>
      </c>
      <c r="E192">
        <v>122086</v>
      </c>
      <c r="F192">
        <v>0</v>
      </c>
      <c r="G192">
        <v>0</v>
      </c>
      <c r="H192">
        <v>0</v>
      </c>
      <c r="I192" t="str">
        <f>HYPERLINK("https://store.steampowered.com/app/2246340/Monster_Hunter_Wilds/?curator_clanid=4777282","Abrir Steam")</f>
        <v>Abrir Steam</v>
      </c>
      <c r="J192" t="str">
        <f>HYPERLINK("https://www.kinguin.net/es/category/320759/monster-hunter-wilds-deluxe-edition-latam-pc-steam-cd-key","Kinguin")</f>
        <v>Kinguin</v>
      </c>
      <c r="K192" t="str">
        <f>HYPERLINK("https://driffle.com/es/monster-hunter-wilds-deluxe-edition-global-pc-steam-digital-key-p9925657","Driffle")</f>
        <v>Driffle</v>
      </c>
      <c r="L192" t="s">
        <v>16</v>
      </c>
      <c r="M192" t="str">
        <f>HYPERLINK("https://www.eneba.com/latam/steam-monster-hunter-wilds-deluxe-edition-pc-steam-key-latam","Eneba")</f>
        <v>Eneba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122086</v>
      </c>
      <c r="F193">
        <v>0</v>
      </c>
      <c r="G193">
        <v>0</v>
      </c>
      <c r="H193">
        <v>0</v>
      </c>
      <c r="I193" t="str">
        <f>HYPERLINK("https://store.steampowered.com/app/2246340/Monster_Hunter_Wilds/?curator_clanid=4777282","Abrir Steam")</f>
        <v>Abrir Steam</v>
      </c>
      <c r="J193" t="str">
        <f>HYPERLINK("https://www.kinguin.net/es/category/273383/monster-hunter-wilds-deluxe-edition-pc-steam-account","Kinguin")</f>
        <v>Kinguin</v>
      </c>
      <c r="K193" t="s">
        <v>16</v>
      </c>
      <c r="L193" t="s">
        <v>16</v>
      </c>
      <c r="M193" t="s">
        <v>16</v>
      </c>
    </row>
    <row r="194">
      <c r="A194" t="s">
        <v>16</v>
      </c>
      <c r="B194" t="s">
        <v>87</v>
      </c>
      <c r="C194" t="s">
        <v>15</v>
      </c>
      <c r="D194">
        <v>50060</v>
      </c>
      <c r="E194">
        <v>149401</v>
      </c>
      <c r="F194">
        <v>77060</v>
      </c>
      <c r="G194">
        <v>110966</v>
      </c>
      <c r="H194">
        <v>27000</v>
      </c>
      <c r="I194" t="str">
        <f>HYPERLINK("https://store.steampowered.com/app/2246340/Monster_Hunter_Wilds/?curator_clanid=4777282","Abrir Steam")</f>
        <v>Abrir Steam</v>
      </c>
      <c r="J194" t="str">
        <f>HYPERLINK("https://www.kinguin.net/es/category/330068/monster-hunter-wilds-premium-deluxe-edition-latam-pc-steam-cd-key","Kinguin")</f>
        <v>Kinguin</v>
      </c>
      <c r="K194" t="s">
        <v>16</v>
      </c>
      <c r="L194" t="s">
        <v>16</v>
      </c>
      <c r="M194" t="str">
        <f>HYPERLINK("https://www.eneba.com/latam/steam-monster-hunter-wilds-premium-deluxe-edition-pc-steam-key-latam","Eneba")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122086</v>
      </c>
      <c r="F195">
        <v>0</v>
      </c>
      <c r="G195">
        <v>0</v>
      </c>
      <c r="H195">
        <v>0</v>
      </c>
      <c r="I195" t="str">
        <f>HYPERLINK("https://store.steampowered.com/app/2246340/Monster_Hunter_Wilds/?curator_clanid=4777282","Abrir Steam")</f>
        <v>Abrir Steam</v>
      </c>
      <c r="J195" t="str">
        <f>HYPERLINK("https://www.kinguin.net/es/category/273379/monster-hunter-wilds-premium-deluxe-edition-pc-steam-account","Kinguin")</f>
        <v>Kinguin</v>
      </c>
      <c r="K195" t="s">
        <v>16</v>
      </c>
      <c r="L195" t="s">
        <v>16</v>
      </c>
      <c r="M195" t="s">
        <v>16</v>
      </c>
    </row>
    <row r="196">
      <c r="A196" t="s">
        <v>90</v>
      </c>
      <c r="B196" t="s">
        <v>14</v>
      </c>
      <c r="C196" t="s">
        <v>15</v>
      </c>
      <c r="D196">
        <v>23618</v>
      </c>
      <c r="E196">
        <v>72340</v>
      </c>
      <c r="F196">
        <v>54255</v>
      </c>
      <c r="G196">
        <v>78127</v>
      </c>
      <c r="H196">
        <v>30637</v>
      </c>
      <c r="I196" t="str">
        <f>HYPERLINK("https://store.steampowered.com/app/1971870/Mortal_Kombat_1/?curator_clanid=4777282","Abrir Steam")</f>
        <v>Abrir Steam</v>
      </c>
      <c r="J196" t="str">
        <f>HYPERLINK("https://www.kinguin.net/es/category/275778/mortal-kombat-1-latam-pc-steam-cd-key","Kinguin")</f>
        <v>Kinguin</v>
      </c>
      <c r="K196" t="str">
        <f>HYPERLINK("https://driffle.com/es/mortal-kombat-1-latam-pc-steam-digital-key-p9919803","Driffle")</f>
        <v>Driffle</v>
      </c>
      <c r="L196" t="str">
        <f>HYPERLINK("https://www.loaded.com/es_es/mortal-kombat-11-pc-steam-cd-key","Loaded")</f>
        <v>Loaded</v>
      </c>
      <c r="M196" t="str">
        <f>HYPERLINK("https://www.eneba.com/latam/steam-mortal-kombat-1-pc-steam-key-latam","Eneba")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32183</v>
      </c>
      <c r="E197">
        <v>72340</v>
      </c>
      <c r="F197">
        <v>47183</v>
      </c>
      <c r="G197">
        <v>67944</v>
      </c>
      <c r="H197">
        <v>15000</v>
      </c>
      <c r="I197" t="str">
        <f>HYPERLINK("https://store.steampowered.com/app/1971870/Mortal_Kombat_1/?curator_clanid=4777282","Abrir Steam")</f>
        <v>Abrir Steam</v>
      </c>
      <c r="J197" t="str">
        <f>HYPERLINK("https://www.kinguin.net/es/category/185707/mortal-kombat-1-steam-account","Kinguin")</f>
        <v>Kinguin</v>
      </c>
      <c r="K197" t="s">
        <v>16</v>
      </c>
      <c r="L197" t="s">
        <v>16</v>
      </c>
      <c r="M197" t="s">
        <v>16</v>
      </c>
    </row>
    <row r="198">
      <c r="A198" t="s">
        <v>16</v>
      </c>
      <c r="B198" t="s">
        <v>91</v>
      </c>
      <c r="C198" t="s">
        <v>15</v>
      </c>
      <c r="D198">
        <v>26036</v>
      </c>
      <c r="E198">
        <v>108519</v>
      </c>
      <c r="F198">
        <v>61036</v>
      </c>
      <c r="G198">
        <v>87892</v>
      </c>
      <c r="H198">
        <v>35000</v>
      </c>
      <c r="I198" t="str">
        <f>HYPERLINK("https://store.steampowered.com/app/1971870/Mortal_Kombat_1/?curator_clanid=4777282","Abrir Steam")</f>
        <v>Abrir Steam</v>
      </c>
      <c r="J198" t="str">
        <f>HYPERLINK("https://www.kinguin.net/es/category/451660/mortal-kombat-1-definitive-edition-latam-pc-steam-cd-key","Kinguin")</f>
        <v>Kinguin</v>
      </c>
      <c r="K198" t="str">
        <f>HYPERLINK("https://driffle.com/es/mortal-kombat-1-definitive-edition-global-pc-steam-digital-key-p9948991","Driffle")</f>
        <v>Driffle</v>
      </c>
      <c r="L198" t="str">
        <f>HYPERLINK("https://www.loaded.com/es_es/mortal-kombat-1-definitive-edition-pc-steam","Loaded")</f>
        <v>Loaded</v>
      </c>
      <c r="M198" t="str">
        <f>HYPERLINK("https://www.eneba.com/latam/steam-mortal-kombat-1-definitive-edition-steam-key-pc-latam","Eneba")</f>
        <v>Eneba</v>
      </c>
    </row>
    <row r="199">
      <c r="A199" t="s">
        <v>16</v>
      </c>
      <c r="B199" t="s">
        <v>16</v>
      </c>
      <c r="C199" t="s">
        <v>17</v>
      </c>
      <c r="D199">
        <v>37128</v>
      </c>
      <c r="E199">
        <v>108519</v>
      </c>
      <c r="F199">
        <v>63173</v>
      </c>
      <c r="G199">
        <v>90969</v>
      </c>
      <c r="H199">
        <v>26045</v>
      </c>
      <c r="I199" t="str">
        <f>HYPERLINK("https://store.steampowered.com/app/1971870/Mortal_Kombat_1/?curator_clanid=4777282","Abrir Steam")</f>
        <v>Abrir Steam</v>
      </c>
      <c r="J199" t="str">
        <f>HYPERLINK("https://www.kinguin.net/es/category/405683/mortal-kombat-1-definitive-edition-pc-steam-account","Kinguin")</f>
        <v>Kinguin</v>
      </c>
      <c r="K199" t="s">
        <v>16</v>
      </c>
      <c r="L199" t="s">
        <v>16</v>
      </c>
      <c r="M199" t="s">
        <v>16</v>
      </c>
    </row>
    <row r="200">
      <c r="A200" t="s">
        <v>92</v>
      </c>
      <c r="B200" t="s">
        <v>14</v>
      </c>
      <c r="C200" t="s">
        <v>15</v>
      </c>
      <c r="D200">
        <v>14065</v>
      </c>
      <c r="E200">
        <v>126608</v>
      </c>
      <c r="F200">
        <v>46825</v>
      </c>
      <c r="G200">
        <v>67428</v>
      </c>
      <c r="H200">
        <v>32760</v>
      </c>
      <c r="I200" t="str">
        <f>HYPERLINK("https://store.steampowered.com/app/3472040/NBA_2K26/","Abrir Steam")</f>
        <v>Abrir Steam</v>
      </c>
      <c r="J200" t="str">
        <f>HYPERLINK("https://www.kinguin.net/es/category/369993/nba-2k26-standard-edition-pc-steam-cd-key","Kinguin")</f>
        <v>Kinguin</v>
      </c>
      <c r="K200" t="str">
        <f>HYPERLINK("https://driffle.com/es/nba-2k26-global-pc-steam-digital-key-p9949948","Driffle")</f>
        <v>Driffle</v>
      </c>
      <c r="L200" t="str">
        <f>HYPERLINK("https://www.loaded.com/es_es/nba-2k26-standard-edition-pc-steam","Loaded")</f>
        <v>Loaded</v>
      </c>
      <c r="M200" t="str">
        <f>HYPERLINK("https://www.eneba.com/latam/steam-nba-2k26-steam-key-pc-global","Eneba")</f>
        <v>Eneba</v>
      </c>
    </row>
    <row r="201">
      <c r="A201" t="s">
        <v>16</v>
      </c>
      <c r="B201" t="s">
        <v>16</v>
      </c>
      <c r="C201" t="s">
        <v>17</v>
      </c>
      <c r="D201">
        <v>11825</v>
      </c>
      <c r="E201">
        <v>126608</v>
      </c>
      <c r="F201">
        <v>38825</v>
      </c>
      <c r="G201">
        <v>55908</v>
      </c>
      <c r="H201">
        <v>27000</v>
      </c>
      <c r="I201" t="str">
        <f>HYPERLINK("https://store.steampowered.com/app/3472040/NBA_2K26/","Abrir Steam")</f>
        <v>Abrir Steam</v>
      </c>
      <c r="J201" t="str">
        <f>HYPERLINK("https://www.kinguin.net/es/category/371701/nba-2k26-standard-edition-pc-steam-account","Kinguin")</f>
        <v>Kinguin</v>
      </c>
      <c r="K201" t="str">
        <f>HYPERLINK("https://driffle.com/es/nba-2k26-global-pc-steam-account-p9979521","Driffle")</f>
        <v>Driffle</v>
      </c>
      <c r="L201" t="s">
        <v>16</v>
      </c>
      <c r="M201" t="s">
        <v>16</v>
      </c>
    </row>
    <row r="202">
      <c r="A202" t="s">
        <v>16</v>
      </c>
      <c r="B202" t="s">
        <v>93</v>
      </c>
      <c r="C202" t="s">
        <v>15</v>
      </c>
      <c r="D202">
        <v>22432</v>
      </c>
      <c r="E202">
        <v>144698</v>
      </c>
      <c r="F202">
        <v>57432</v>
      </c>
      <c r="G202">
        <v>82702</v>
      </c>
      <c r="H202">
        <v>35000</v>
      </c>
      <c r="I202" t="str">
        <f>HYPERLINK("https://store.steampowered.com/app/3472040/NBA_2K26/","Abrir Steam")</f>
        <v>Abrir Steam</v>
      </c>
      <c r="J202" t="str">
        <f>HYPERLINK("https://www.kinguin.net/es/category/410112/nba-2k26-slam-edition-pc-steam-cd-key","Kinguin")</f>
        <v>Kinguin</v>
      </c>
      <c r="K202" t="str">
        <f>HYPERLINK("https://driffle.com/es/nba-2k26-slam-edition-global-pc-steam-digital-key-p9970529","Driffle")</f>
        <v>Driffle</v>
      </c>
      <c r="L202" t="str">
        <f>HYPERLINK("https://www.loaded.com/es_es/nba-2k26-slam-edition-pc-steam","Loaded")</f>
        <v>Loaded</v>
      </c>
      <c r="M202" t="str">
        <f>HYPERLINK("https://www.eneba.com/latam/steam-nba-2k26-slam-edition-steam-key-pc-global","Eneba")</f>
        <v>Eneba</v>
      </c>
    </row>
    <row r="203">
      <c r="A203" t="s">
        <v>16</v>
      </c>
      <c r="B203" t="s">
        <v>16</v>
      </c>
      <c r="C203" t="s">
        <v>17</v>
      </c>
      <c r="D203">
        <v>22480</v>
      </c>
      <c r="E203">
        <v>144698</v>
      </c>
      <c r="F203">
        <v>49480</v>
      </c>
      <c r="G203">
        <v>71251</v>
      </c>
      <c r="H203">
        <v>27000</v>
      </c>
      <c r="I203" t="str">
        <f>HYPERLINK("https://store.steampowered.com/app/3472040/NBA_2K26/","Abrir Steam")</f>
        <v>Abrir Steam</v>
      </c>
      <c r="J203" t="str">
        <f>HYPERLINK("https://www.kinguin.net/es/category/426616/nba-2k26-slam-edition-pc-steam-account","Kinguin")</f>
        <v>Kinguin</v>
      </c>
      <c r="K203" t="str">
        <f>HYPERLINK("https://driffle.com/es/nba-2k26-slam-edition-global-pc-steam-account-p9977089","Driffle")</f>
        <v>Driffle</v>
      </c>
      <c r="L203" t="s">
        <v>16</v>
      </c>
      <c r="M203" t="s">
        <v>16</v>
      </c>
    </row>
    <row r="204">
      <c r="A204" t="s">
        <v>16</v>
      </c>
      <c r="B204" t="s">
        <v>94</v>
      </c>
      <c r="C204" t="s">
        <v>15</v>
      </c>
      <c r="D204">
        <v>28738</v>
      </c>
      <c r="E204">
        <v>180877</v>
      </c>
      <c r="F204">
        <v>61005</v>
      </c>
      <c r="G204">
        <v>87847</v>
      </c>
      <c r="H204">
        <v>32267</v>
      </c>
      <c r="I204" t="str">
        <f>HYPERLINK("https://store.steampowered.com/app/3472040/NBA_2K26/","Abrir Steam")</f>
        <v>Abrir Steam</v>
      </c>
      <c r="J204" t="str">
        <f>HYPERLINK("https://www.kinguin.net/es/category/372374/nba-2k26-superstar-edition-pc-steam-cd-key","Kinguin")</f>
        <v>Kinguin</v>
      </c>
      <c r="K204" t="str">
        <f>HYPERLINK("https://driffle.com/es/nba-2k26-superstar-edition-global-pc-steam-digital-key-p9949949","Driffle")</f>
        <v>Driffle</v>
      </c>
      <c r="L204" t="str">
        <f>HYPERLINK("https://www.loaded.com/es_es/nba-2k26-superstar-edition-pc-steam","Loaded")</f>
        <v>Loaded</v>
      </c>
      <c r="M204" t="str">
        <f>HYPERLINK("https://www.eneba.com/latam/steam-nba-2k26-superstar-edition-steam-key-pc-global","Eneba")</f>
        <v>Eneba</v>
      </c>
    </row>
    <row r="205">
      <c r="A205" t="s">
        <v>16</v>
      </c>
      <c r="B205" t="s">
        <v>16</v>
      </c>
      <c r="C205" t="s">
        <v>17</v>
      </c>
      <c r="D205">
        <v>26005</v>
      </c>
      <c r="E205">
        <v>180877</v>
      </c>
      <c r="F205">
        <v>53005</v>
      </c>
      <c r="G205">
        <v>76327</v>
      </c>
      <c r="H205">
        <v>27000</v>
      </c>
      <c r="I205" t="str">
        <f>HYPERLINK("https://store.steampowered.com/app/3472040/NBA_2K26/","Abrir Steam")</f>
        <v>Abrir Steam</v>
      </c>
      <c r="J205" t="str">
        <f>HYPERLINK("https://www.kinguin.net/es/category/371704/nba-2k26-superstar-edition-pc-steam-account","Kinguin")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95</v>
      </c>
      <c r="B206" t="s">
        <v>96</v>
      </c>
      <c r="C206" t="s">
        <v>15</v>
      </c>
      <c r="D206">
        <v>24086</v>
      </c>
      <c r="E206">
        <v>57868</v>
      </c>
      <c r="F206">
        <v>41931</v>
      </c>
      <c r="G206">
        <v>60381</v>
      </c>
      <c r="H206">
        <v>17845</v>
      </c>
      <c r="I206" t="str">
        <f>HYPERLINK("https://store.steampowered.com/app/524220/NieRAutomata/?curator_clanid=4777282","Abrir Steam")</f>
        <v>Abrir Steam</v>
      </c>
      <c r="J206" t="str">
        <f>HYPERLINK("https://www.kinguin.net/es/category/389320/nier-automata-game-of-the-yorha-edition-latam-pc-steam-cd-key","Kinguin")</f>
        <v>Kinguin</v>
      </c>
      <c r="K206" t="str">
        <f>HYPERLINK("https://driffle.com/es/nier-automata-game-of-the-yorha-edition-pc-steam-digital-code-p221997","Driffle")</f>
        <v>Driffle</v>
      </c>
      <c r="L206" t="str">
        <f>HYPERLINK("https://www.loaded.com/es_es/nier-automata-game-of-the-yorha-edition-steam-pc","Loaded")</f>
        <v>Loaded</v>
      </c>
      <c r="M206" t="str">
        <f>HYPERLINK("https://www.eneba.com/latam/steam-nier-automata-game-of-the-yorha-edition-steam-key-pc-latam","Eneba")</f>
        <v>Eneba</v>
      </c>
    </row>
    <row r="207">
      <c r="A207" t="s">
        <v>16</v>
      </c>
      <c r="B207" t="s">
        <v>16</v>
      </c>
      <c r="C207" t="s">
        <v>17</v>
      </c>
      <c r="D207">
        <v>12698</v>
      </c>
      <c r="E207">
        <v>57868</v>
      </c>
      <c r="F207">
        <v>33648</v>
      </c>
      <c r="G207">
        <v>48453</v>
      </c>
      <c r="H207">
        <v>20950</v>
      </c>
      <c r="I207" t="str">
        <f>HYPERLINK("https://store.steampowered.com/app/524220/NieRAutomata/?curator_clanid=4777282","Abrir Steam")</f>
        <v>Abrir Steam</v>
      </c>
      <c r="J207" t="str">
        <f>HYPERLINK("https://www.kinguin.net/es/category/156126/nier-automata-game-of-the-yorha-edition-steam-account","Kinguin")</f>
        <v>Kinguin</v>
      </c>
      <c r="K207" t="str">
        <f>HYPERLINK("https://driffle.com/es/nier-automata-game-of-the-yorha-edition-global-pc-steam-account-p9979549","Driffle")</f>
        <v>Driffle</v>
      </c>
      <c r="L207" t="s">
        <v>16</v>
      </c>
      <c r="M207" t="s">
        <v>16</v>
      </c>
    </row>
    <row r="208">
      <c r="A208" t="s">
        <v>97</v>
      </c>
      <c r="B208" t="s">
        <v>14</v>
      </c>
      <c r="C208" t="s">
        <v>15</v>
      </c>
      <c r="D208">
        <v>0</v>
      </c>
      <c r="E208">
        <v>54250</v>
      </c>
      <c r="F208">
        <v>0</v>
      </c>
      <c r="G208">
        <v>0</v>
      </c>
      <c r="H208">
        <v>0</v>
      </c>
      <c r="I208" t="str">
        <f>HYPERLINK("https://store.steampowered.com/app/2694490/Path_of_Exile_2/?curator_clanid=4777282","Abrir Steam")</f>
        <v>Abrir Steam</v>
      </c>
      <c r="J208" t="str">
        <f>HYPERLINK("https://www.kinguin.net/es/category/295495/path-of-exile-2-early-access-pc-epic-games-steam-cd-key","Kinguin")</f>
        <v>Kinguin</v>
      </c>
      <c r="K208" t="s">
        <v>16</v>
      </c>
      <c r="L208" t="s">
        <v>16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22792</v>
      </c>
      <c r="E209">
        <v>54250</v>
      </c>
      <c r="F209">
        <v>37792</v>
      </c>
      <c r="G209">
        <v>54420</v>
      </c>
      <c r="H209">
        <v>15000</v>
      </c>
      <c r="I209" t="str">
        <f>HYPERLINK("https://store.steampowered.com/app/2694490/Path_of_Exile_2/?curator_clanid=4777282","Abrir Steam")</f>
        <v>Abrir Steam</v>
      </c>
      <c r="J209" t="str">
        <f>HYPERLINK("https://www.kinguin.net/es/category/293164/path-of-exile-2-early-access-supporter-pack-pc-steam-account","Kinguin")</f>
        <v>Kinguin</v>
      </c>
      <c r="K209" t="str">
        <f>HYPERLINK("https://driffle.com/es/path-of-exile-2-early-access-supporter-pack-dlc-global-pc-steam-account-p9962318","Driffle")</f>
        <v>Driffle</v>
      </c>
      <c r="L209" t="s">
        <v>16</v>
      </c>
      <c r="M209" t="s">
        <v>16</v>
      </c>
    </row>
    <row r="210">
      <c r="A210" t="s">
        <v>16</v>
      </c>
      <c r="B210" t="s">
        <v>98</v>
      </c>
      <c r="C210" t="s">
        <v>15</v>
      </c>
      <c r="D210">
        <v>0</v>
      </c>
      <c r="E210">
        <v>108519</v>
      </c>
      <c r="F210">
        <v>0</v>
      </c>
      <c r="G210">
        <v>0</v>
      </c>
      <c r="H210">
        <v>0</v>
      </c>
      <c r="I210" t="str">
        <f>HYPERLINK("https://store.steampowered.com/app/2694490/Path_of_Exile_2/?curator_clanid=4777282","Abrir Steam")</f>
        <v>Abrir Steam</v>
      </c>
      <c r="J210" t="s">
        <v>16</v>
      </c>
      <c r="K210" t="s">
        <v>16</v>
      </c>
      <c r="L210" t="s">
        <v>16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40030</v>
      </c>
      <c r="E211">
        <v>108519</v>
      </c>
      <c r="F211">
        <v>64334</v>
      </c>
      <c r="G211">
        <v>92641</v>
      </c>
      <c r="H211">
        <v>24304</v>
      </c>
      <c r="I211" t="str">
        <f>HYPERLINK("https://store.steampowered.com/app/2694490/Path_of_Exile_2/?curator_clanid=4777282","Abrir Steam")</f>
        <v>Abrir Steam</v>
      </c>
      <c r="J211" t="str">
        <f>HYPERLINK("https://www.kinguin.net/es/category/293181/path-of-exile-2-lord-of-ogham-supporter-pack-pc-steam-account","Kinguin")</f>
        <v>Kinguin</v>
      </c>
      <c r="K211" t="s">
        <v>16</v>
      </c>
      <c r="L211" t="s">
        <v>16</v>
      </c>
      <c r="M211" t="s">
        <v>16</v>
      </c>
    </row>
    <row r="212">
      <c r="A212" t="s">
        <v>16</v>
      </c>
      <c r="B212" t="s">
        <v>99</v>
      </c>
      <c r="C212" t="s">
        <v>15</v>
      </c>
      <c r="D212">
        <v>0</v>
      </c>
      <c r="E212">
        <v>180877</v>
      </c>
      <c r="F212">
        <v>0</v>
      </c>
      <c r="G212">
        <v>0</v>
      </c>
      <c r="H212">
        <v>0</v>
      </c>
      <c r="I212" t="str">
        <f>HYPERLINK("https://store.steampowered.com/app/2694490/Path_of_Exile_2/?curator_clanid=4777282","Abrir Steam")</f>
        <v>Abrir Steam</v>
      </c>
      <c r="J212" t="s">
        <v>16</v>
      </c>
      <c r="K212" t="s">
        <v>16</v>
      </c>
      <c r="L212" t="s">
        <v>16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82898</v>
      </c>
      <c r="E213">
        <v>180877</v>
      </c>
      <c r="F213">
        <v>109701</v>
      </c>
      <c r="G213">
        <v>157969</v>
      </c>
      <c r="H213">
        <v>26803</v>
      </c>
      <c r="I213" t="str">
        <f>HYPERLINK("https://store.steampowered.com/app/2694490/Path_of_Exile_2/?curator_clanid=4777282","Abrir Steam")</f>
        <v>Abrir Steam</v>
      </c>
      <c r="J213" t="str">
        <f>HYPERLINK("https://www.kinguin.net/es/category/293317/path-of-exile-2-king-of-the-faridun-supporter-pack-pc-steam-account","Kinguin")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100</v>
      </c>
      <c r="B214" t="s">
        <v>14</v>
      </c>
      <c r="C214" t="s">
        <v>15</v>
      </c>
      <c r="D214">
        <v>28439</v>
      </c>
      <c r="E214">
        <v>86812</v>
      </c>
      <c r="F214">
        <v>60250</v>
      </c>
      <c r="G214">
        <v>86760</v>
      </c>
      <c r="H214">
        <v>31811</v>
      </c>
      <c r="I214" t="str">
        <f>HYPERLINK("https://store.steampowered.com/app/2161700/Persona_3_Reload/","Abrir Steam")</f>
        <v>Abrir Steam</v>
      </c>
      <c r="J214" t="str">
        <f>HYPERLINK("https://www.kinguin.net/es/category/213128/persona-3-reload-pc-steam-cd-key","Kinguin")</f>
        <v>Kinguin</v>
      </c>
      <c r="K214" t="str">
        <f>HYPERLINK("https://driffle.com/es/persona-3-reload-pc-steam-digital-code-p9889101","Driffle")</f>
        <v>Driffle</v>
      </c>
      <c r="L214" t="str">
        <f>HYPERLINK("https://www.loaded.com/es_es/persona-3-reload-pc-steam-ww","Loaded")</f>
        <v>Loaded</v>
      </c>
      <c r="M214" t="str">
        <f>HYPERLINK("https://www.eneba.com/latam/steam-persona-3-reload-pc-steam-key-global","Eneba")</f>
        <v>Eneba</v>
      </c>
    </row>
    <row r="215">
      <c r="A215" t="s">
        <v>16</v>
      </c>
      <c r="B215" t="s">
        <v>16</v>
      </c>
      <c r="C215" t="s">
        <v>17</v>
      </c>
      <c r="D215">
        <v>30982</v>
      </c>
      <c r="E215">
        <v>86812</v>
      </c>
      <c r="F215">
        <v>52250</v>
      </c>
      <c r="G215">
        <v>75240</v>
      </c>
      <c r="H215">
        <v>21268</v>
      </c>
      <c r="I215" t="str">
        <f>HYPERLINK("https://store.steampowered.com/app/2161700/Persona_3_Reload/","Abrir Steam")</f>
        <v>Abrir Steam</v>
      </c>
      <c r="J215" t="str">
        <f>HYPERLINK("https://www.kinguin.net/es/category/212612/persona-3-reload-steam-account","Kinguin")</f>
        <v>Kinguin</v>
      </c>
      <c r="K215" t="s">
        <v>16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63960</v>
      </c>
      <c r="E216">
        <v>101283</v>
      </c>
      <c r="F216">
        <v>98960</v>
      </c>
      <c r="G216">
        <v>142502</v>
      </c>
      <c r="H216">
        <v>35000</v>
      </c>
      <c r="I216" t="str">
        <f>HYPERLINK("https://store.steampowered.com/app/2161700/Persona_3_Reload/","Abrir Steam")</f>
        <v>Abrir Steam</v>
      </c>
      <c r="J216" t="str">
        <f>HYPERLINK("https://www.kinguin.net/es/category/213135/persona-3-reload-deluxe-edition-steam-cd-key","Kinguin")</f>
        <v>Kinguin</v>
      </c>
      <c r="K216" t="str">
        <f>HYPERLINK("https://driffle.com/es/persona-3-reload-deluxe-edition-pc-steam-digital-code-p9889103","Driffle")</f>
        <v>Driffle</v>
      </c>
      <c r="L216" t="str">
        <f>HYPERLINK("https://www.loaded.com/es_es/persona-3-reload-digital-premium-edition-pc-steam-ww","Loaded")</f>
        <v>Loaded</v>
      </c>
      <c r="M216" t="str">
        <f>HYPERLINK("https://www.eneba.com/latam/steam-persona-3-reload-digital-deluxe-edition-pc-steam-key-global","Eneba")</f>
        <v>Eneba</v>
      </c>
    </row>
    <row r="217">
      <c r="A217" t="s">
        <v>16</v>
      </c>
      <c r="B217" t="s">
        <v>16</v>
      </c>
      <c r="C217" t="s">
        <v>17</v>
      </c>
      <c r="D217">
        <v>88390</v>
      </c>
      <c r="E217">
        <v>101283</v>
      </c>
      <c r="F217">
        <v>103390</v>
      </c>
      <c r="G217">
        <v>148882</v>
      </c>
      <c r="H217">
        <v>15000</v>
      </c>
      <c r="I217" t="str">
        <f>HYPERLINK("https://store.steampowered.com/app/2161700/Persona_3_Reload/","Abrir Steam")</f>
        <v>Abrir Steam</v>
      </c>
      <c r="J217" t="str">
        <f>HYPERLINK("https://www.kinguin.net/es/category/212863/persona-3-reload-deluxe-edition-steam-account","Kinguin")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87</v>
      </c>
      <c r="C218" t="s">
        <v>15</v>
      </c>
      <c r="D218">
        <v>0</v>
      </c>
      <c r="E218">
        <v>130226</v>
      </c>
      <c r="F218">
        <v>0</v>
      </c>
      <c r="G218">
        <v>0</v>
      </c>
      <c r="H218">
        <v>0</v>
      </c>
      <c r="I218" t="str">
        <f>HYPERLINK("https://store.steampowered.com/app/2161700/Persona_3_Reload/","Abrir Steam")</f>
        <v>Abrir Steam</v>
      </c>
      <c r="J218" t="str">
        <f>HYPERLINK("https://www.kinguin.net/es/category/213231/persona-3-reload-premium-edition-steam-cd-key","Kinguin")</f>
        <v>Kinguin</v>
      </c>
      <c r="K218" t="str">
        <f>HYPERLINK("https://driffle.com/es/persona-3-reload-premium-edition-pc-steam-digital-code-p9889104","Driffle")</f>
        <v>Driffle</v>
      </c>
      <c r="L218" t="str">
        <f>HYPERLINK("https://www.loaded.com/es_es/persona-3-reload-digital-deluxe-edition-pc-steam-ww","Loaded")</f>
        <v>Loaded</v>
      </c>
      <c r="M218" t="str">
        <f>HYPERLINK("https://www.eneba.com/latam/steam-persona-3-reload-digital-premium-edition-pc-steam-key-global","Eneba")</f>
        <v>Eneba</v>
      </c>
    </row>
    <row r="219">
      <c r="A219" t="s">
        <v>16</v>
      </c>
      <c r="B219" t="s">
        <v>16</v>
      </c>
      <c r="C219" t="s">
        <v>17</v>
      </c>
      <c r="D219">
        <v>110479</v>
      </c>
      <c r="E219">
        <v>130226</v>
      </c>
      <c r="F219">
        <v>125479</v>
      </c>
      <c r="G219">
        <v>180690</v>
      </c>
      <c r="H219">
        <v>15000</v>
      </c>
      <c r="I219" t="str">
        <f>HYPERLINK("https://store.steampowered.com/app/2161700/Persona_3_Reload/","Abrir Steam")</f>
        <v>Abrir Steam</v>
      </c>
      <c r="J219" t="str">
        <f>HYPERLINK("https://www.kinguin.net/es/category/212869/persona-3-reload-premium-edition-steam-account","Kinguin")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101</v>
      </c>
      <c r="B220" t="s">
        <v>14</v>
      </c>
      <c r="C220" t="s">
        <v>15</v>
      </c>
      <c r="D220">
        <v>59287</v>
      </c>
      <c r="E220">
        <v>81403</v>
      </c>
      <c r="F220">
        <v>75646</v>
      </c>
      <c r="G220">
        <v>108930</v>
      </c>
      <c r="H220">
        <v>16359</v>
      </c>
      <c r="I220" t="str">
        <f>HYPERLINK("https://store.steampowered.com/app/3357650/PRAGMATA/","Abrir Steam")</f>
        <v>Abrir Steam</v>
      </c>
      <c r="J220" t="str">
        <f>HYPERLINK("https://www.kinguin.net/es/category/475522/pragmata-latam-pc-steam-cd-key","Kinguin")</f>
        <v>Kinguin</v>
      </c>
      <c r="K220" t="str">
        <f>HYPERLINK("https://driffle.com/es/pragmata-latam-steam-digital-key-p9987965","Driffle")</f>
        <v>Driffle</v>
      </c>
      <c r="L220" t="str">
        <f>HYPERLINK("https://www.loaded.com/es_es/pragmata-pc-steam-latam","Loaded")</f>
        <v>Loaded</v>
      </c>
      <c r="M220" t="str">
        <f>HYPERLINK("https://www.eneba.com/latam/steam-pragmata-steam-key-pc-latam","Eneba")</f>
        <v>Eneba</v>
      </c>
    </row>
    <row r="221">
      <c r="A221" t="s">
        <v>16</v>
      </c>
      <c r="B221" t="s">
        <v>16</v>
      </c>
      <c r="C221" t="s">
        <v>17</v>
      </c>
      <c r="D221">
        <v>50606</v>
      </c>
      <c r="E221">
        <v>81403</v>
      </c>
      <c r="F221">
        <v>65606</v>
      </c>
      <c r="G221">
        <v>94473</v>
      </c>
      <c r="H221">
        <v>15000</v>
      </c>
      <c r="I221" t="str">
        <f>HYPERLINK("https://store.steampowered.com/app/3357650/PRAGMATA/","Abrir Steam")</f>
        <v>Abrir Steam</v>
      </c>
      <c r="J221" t="str">
        <f>HYPERLINK("https://www.kinguin.net/es/category/428363/pragmata-pc-steam-account","Kinguin")</f>
        <v>Kinguin</v>
      </c>
      <c r="K221" t="str">
        <f>HYPERLINK("https://driffle.com/es/pragmata-global-pc-steam-account-p9978287","Driffle")</f>
        <v>Driffle</v>
      </c>
      <c r="L221" t="s">
        <v>16</v>
      </c>
      <c r="M221" t="s">
        <v>16</v>
      </c>
    </row>
    <row r="222">
      <c r="A222" t="s">
        <v>16</v>
      </c>
      <c r="B222" t="s">
        <v>44</v>
      </c>
      <c r="C222" t="s">
        <v>15</v>
      </c>
      <c r="D222">
        <v>73148</v>
      </c>
      <c r="E222">
        <v>95874</v>
      </c>
      <c r="F222">
        <v>88420</v>
      </c>
      <c r="G222">
        <v>127325</v>
      </c>
      <c r="H222">
        <v>15272</v>
      </c>
      <c r="I222" t="str">
        <f>HYPERLINK("https://store.steampowered.com/app/3357650/PRAGMATA/","Abrir Steam")</f>
        <v>Abrir Steam</v>
      </c>
      <c r="J222" t="str">
        <f>HYPERLINK("https://www.kinguin.net/es/category/475524/pragmata-deluxe-edition-latam-pc-steam-cd-key","Kinguin")</f>
        <v>Kinguin</v>
      </c>
      <c r="K222" t="str">
        <f>HYPERLINK("https://driffle.com/es/pragmata-deluxe-edition-latam-pc-steam-digital-key-p9987966","Driffle")</f>
        <v>Driffle</v>
      </c>
      <c r="L222" t="str">
        <f>HYPERLINK("https://www.loaded.com/es_es/pragmata-deluxe-edition-pc-steam-latam","Loaded")</f>
        <v>Loaded</v>
      </c>
      <c r="M222" t="str">
        <f>HYPERLINK("https://www.eneba.com/latam/steam-pragmata-deluxe-edition-steam-key-pc-latam","Eneba")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55224</v>
      </c>
      <c r="E223">
        <v>95874</v>
      </c>
      <c r="F223">
        <v>70224</v>
      </c>
      <c r="G223">
        <v>101123</v>
      </c>
      <c r="H223">
        <v>15000</v>
      </c>
      <c r="I223" t="str">
        <f>HYPERLINK("https://store.steampowered.com/app/3357650/PRAGMATA/","Abrir Steam")</f>
        <v>Abrir Steam</v>
      </c>
      <c r="J223" t="str">
        <f>HYPERLINK("https://www.kinguin.net/es/category/431201/pragmata-deluxe-edition-pc-steam-account","Kinguin")</f>
        <v>Kinguin</v>
      </c>
      <c r="K223" t="str">
        <f>HYPERLINK("https://driffle.com/es/pragmata-deluxe-edition-global-pc-steam-account-p9978289","Driffle")</f>
        <v>Driffle</v>
      </c>
      <c r="L223" t="s">
        <v>16</v>
      </c>
      <c r="M223" t="s">
        <v>16</v>
      </c>
    </row>
    <row r="224">
      <c r="A224" t="s">
        <v>102</v>
      </c>
      <c r="B224" t="s">
        <v>14</v>
      </c>
      <c r="C224" t="s">
        <v>15</v>
      </c>
      <c r="D224">
        <v>16578</v>
      </c>
      <c r="E224">
        <v>59677</v>
      </c>
      <c r="F224">
        <v>41018</v>
      </c>
      <c r="G224">
        <v>59066</v>
      </c>
      <c r="H224">
        <v>24440</v>
      </c>
      <c r="I224" t="str">
        <f>HYPERLINK("https://store.steampowered.com/app/1144200/Ready_or_Not/","Abrir Steam")</f>
        <v>Abrir Steam</v>
      </c>
      <c r="J224" t="str">
        <f>HYPERLINK("https://www.kinguin.net/es/category/146495/ready-or-not-latam-pc-steam-cd-key","Kinguin")</f>
        <v>Kinguin</v>
      </c>
      <c r="K224" t="str">
        <f>HYPERLINK("https://driffle.com/es/ready-or-not-latam-pc-steam-digital-code-p9895584","Driffle")</f>
        <v>Driffle</v>
      </c>
      <c r="L224" t="str">
        <f>HYPERLINK("https://www.loaded.com/es_es/ready-or-not-pc-steam-latam","Loaded")</f>
        <v>Loaded</v>
      </c>
      <c r="M224" t="str">
        <f>HYPERLINK("https://www.eneba.com/latam/steam-ready-or-not-pc-steam-key-latam","Eneba")</f>
        <v>Eneba</v>
      </c>
    </row>
    <row r="225">
      <c r="A225" t="s">
        <v>16</v>
      </c>
      <c r="B225" t="s">
        <v>16</v>
      </c>
      <c r="C225" t="s">
        <v>17</v>
      </c>
      <c r="D225">
        <v>9360</v>
      </c>
      <c r="E225">
        <v>59677</v>
      </c>
      <c r="F225">
        <v>33018</v>
      </c>
      <c r="G225">
        <v>47546</v>
      </c>
      <c r="H225">
        <v>23658</v>
      </c>
      <c r="I225" t="str">
        <f>HYPERLINK("https://store.steampowered.com/app/1144200/Ready_or_Not/","Abrir Steam")</f>
        <v>Abrir Steam</v>
      </c>
      <c r="J225" t="str">
        <f>HYPERLINK("https://www.kinguin.net/es/category/133263/ready-or-not-pc-steam-account","Kinguin")</f>
        <v>Kinguin</v>
      </c>
      <c r="K225" t="str">
        <f>HYPERLINK("https://driffle.com/es/ready-or-not-global-pc-steam-account-p9943438","Driffle")</f>
        <v>Driffle</v>
      </c>
      <c r="L225" t="s">
        <v>16</v>
      </c>
      <c r="M225" t="s">
        <v>16</v>
      </c>
    </row>
    <row r="226">
      <c r="A226" t="s">
        <v>16</v>
      </c>
      <c r="B226" t="s">
        <v>44</v>
      </c>
      <c r="C226" t="s">
        <v>15</v>
      </c>
      <c r="D226">
        <v>37892</v>
      </c>
      <c r="E226">
        <v>72340</v>
      </c>
      <c r="F226">
        <v>53778</v>
      </c>
      <c r="G226">
        <v>77440</v>
      </c>
      <c r="H226">
        <v>15886</v>
      </c>
      <c r="I226" t="str">
        <f>HYPERLINK("https://store.steampowered.com/app/1144200/Ready_or_Not/","Abrir Steam")</f>
        <v>Abrir Steam</v>
      </c>
      <c r="J226" t="str">
        <f>HYPERLINK("https://www.kinguin.net/es/category/476489/ready-or-not-deluxe-edition-latam-pc-steam-cd-key","Kinguin")</f>
        <v>Kinguin</v>
      </c>
      <c r="K226" t="str">
        <f>HYPERLINK("https://driffle.com/es/ready-or-not-digital-deluxe-edition-latam-pc-steam-digital-key-p9995969","Driffle")</f>
        <v>Driffle</v>
      </c>
      <c r="L226" t="str">
        <f>HYPERLINK("https://www.loaded.com/es_es/ready-or-not-digital-deluxe-edition-pc-steam","Loaded")</f>
        <v>Loaded</v>
      </c>
      <c r="M226" t="str">
        <f>HYPERLINK("https://www.eneba.com/latam/steam-ready-or-not-digital-deluxe-edition-steam-key-pc-latam","Eneba")</f>
        <v>Eneba</v>
      </c>
    </row>
    <row r="227">
      <c r="A227" t="s">
        <v>16</v>
      </c>
      <c r="B227" t="s">
        <v>16</v>
      </c>
      <c r="C227" t="s">
        <v>17</v>
      </c>
      <c r="D227">
        <v>25802</v>
      </c>
      <c r="E227">
        <v>72340</v>
      </c>
      <c r="F227">
        <v>44533</v>
      </c>
      <c r="G227">
        <v>64128</v>
      </c>
      <c r="H227">
        <v>18731</v>
      </c>
      <c r="I227" t="str">
        <f>HYPERLINK("https://store.steampowered.com/app/1144200/Ready_or_Not/","Abrir Steam")</f>
        <v>Abrir Steam</v>
      </c>
      <c r="J227" t="str">
        <f>HYPERLINK("https://www.kinguin.net/es/category/505409/ready-or-not-deluxe-edition-pc-steam-account","Kinguin")</f>
        <v>Kinguin</v>
      </c>
      <c r="K227" t="s">
        <v>16</v>
      </c>
      <c r="L227" t="s">
        <v>16</v>
      </c>
      <c r="M227" t="s">
        <v>16</v>
      </c>
    </row>
    <row r="228">
      <c r="A228" t="s">
        <v>103</v>
      </c>
      <c r="B228" t="s">
        <v>14</v>
      </c>
      <c r="C228" t="s">
        <v>15</v>
      </c>
      <c r="D228">
        <v>83008</v>
      </c>
      <c r="E228">
        <v>108519</v>
      </c>
      <c r="F228">
        <v>98331</v>
      </c>
      <c r="G228">
        <v>141597</v>
      </c>
      <c r="H228">
        <v>15323</v>
      </c>
      <c r="I228" t="str">
        <f>HYPERLINK("https://store.steampowered.com/app/1174180/Red_Dead_Redemption_2/","Abrir Steam")</f>
        <v>Abrir Steam</v>
      </c>
      <c r="J228" t="str">
        <f>HYPERLINK("https://www.kinguin.net/es/category/250518/red-dead-redemption-2-pc-steam-cd-key","Kinguin")</f>
        <v>Kinguin</v>
      </c>
      <c r="K228" t="s">
        <v>16</v>
      </c>
      <c r="L228" t="s">
        <v>16</v>
      </c>
      <c r="M228" t="s">
        <v>16</v>
      </c>
    </row>
    <row r="229">
      <c r="A229" t="s">
        <v>16</v>
      </c>
      <c r="B229" t="s">
        <v>16</v>
      </c>
      <c r="C229" t="s">
        <v>17</v>
      </c>
      <c r="D229">
        <v>13759</v>
      </c>
      <c r="E229">
        <v>108519</v>
      </c>
      <c r="F229">
        <v>40759</v>
      </c>
      <c r="G229">
        <v>58693</v>
      </c>
      <c r="H229">
        <v>27000</v>
      </c>
      <c r="I229" t="str">
        <f>HYPERLINK("https://store.steampowered.com/app/1174180/Red_Dead_Redemption_2/","Abrir Steam")</f>
        <v>Abrir Steam</v>
      </c>
      <c r="J229" t="str">
        <f>HYPERLINK("https://www.kinguin.net/es/category/133287/red-dead-redemption-2-steam-account","Kinguin")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16</v>
      </c>
      <c r="B230" t="s">
        <v>42</v>
      </c>
      <c r="C230" t="s">
        <v>15</v>
      </c>
      <c r="D230">
        <v>0</v>
      </c>
      <c r="E230">
        <v>180877</v>
      </c>
      <c r="F230">
        <v>0</v>
      </c>
      <c r="G230">
        <v>0</v>
      </c>
      <c r="H230">
        <v>0</v>
      </c>
      <c r="I230" t="str">
        <f>HYPERLINK("https://store.steampowered.com/app/1174180/Red_Dead_Redemption_2/","Abrir Steam")</f>
        <v>Abrir Steam</v>
      </c>
      <c r="J230" t="s">
        <v>16</v>
      </c>
      <c r="K230" t="s">
        <v>16</v>
      </c>
      <c r="L230" t="s">
        <v>16</v>
      </c>
      <c r="M230" t="s">
        <v>16</v>
      </c>
    </row>
    <row r="231">
      <c r="A231" t="s">
        <v>16</v>
      </c>
      <c r="B231" t="s">
        <v>16</v>
      </c>
      <c r="C231" t="s">
        <v>17</v>
      </c>
      <c r="D231">
        <v>19141</v>
      </c>
      <c r="E231">
        <v>180877</v>
      </c>
      <c r="F231">
        <v>46141</v>
      </c>
      <c r="G231">
        <v>66443</v>
      </c>
      <c r="H231">
        <v>27000</v>
      </c>
      <c r="I231" t="str">
        <f>HYPERLINK("https://store.steampowered.com/app/1174180/Red_Dead_Redemption_2/","Abrir Steam")</f>
        <v>Abrir Steam</v>
      </c>
      <c r="J231" t="str">
        <f>HYPERLINK("https://www.kinguin.net/es/category/156115/red-dead-redemption-2-ultimate-edition-steam-account","Kinguin")</f>
        <v>Kinguin</v>
      </c>
      <c r="K231" t="s">
        <v>16</v>
      </c>
      <c r="L231" t="s">
        <v>16</v>
      </c>
      <c r="M231" t="s">
        <v>16</v>
      </c>
    </row>
    <row r="232">
      <c r="A232" t="s">
        <v>104</v>
      </c>
      <c r="B232" t="s">
        <v>14</v>
      </c>
      <c r="C232" t="s">
        <v>15</v>
      </c>
      <c r="D232">
        <v>9335</v>
      </c>
      <c r="E232">
        <v>52460</v>
      </c>
      <c r="F232">
        <v>38422</v>
      </c>
      <c r="G232">
        <v>55328</v>
      </c>
      <c r="H232">
        <v>29087</v>
      </c>
      <c r="I232" t="str">
        <f>HYPERLINK("https://store.steampowered.com/app/883710/Resident_Evil_2/?curator_clanid=4777282","Abrir Steam")</f>
        <v>Abrir Steam</v>
      </c>
      <c r="J232" t="str">
        <f>HYPERLINK("https://www.kinguin.net/es/category/326609/resident-evil-2-biohazard-re-2-latam-pc-steam-cd-key","Kinguin")</f>
        <v>Kinguin</v>
      </c>
      <c r="K232" t="str">
        <f>HYPERLINK("https://driffle.com/es/resident-evil-2-biohazard-re-2-latam-pc-steam-digital-code-p9887138","Driffle")</f>
        <v>Driffle</v>
      </c>
      <c r="L232" t="s">
        <v>16</v>
      </c>
      <c r="M232" t="str">
        <f>HYPERLINK("https://www.eneba.com/latam/steam-resident-evil-2-biohazard-re-2-steam-key-latam","Eneba")</f>
        <v>Eneba</v>
      </c>
    </row>
    <row r="233">
      <c r="A233" t="s">
        <v>16</v>
      </c>
      <c r="B233" t="s">
        <v>16</v>
      </c>
      <c r="C233" t="s">
        <v>17</v>
      </c>
      <c r="D233">
        <v>9906</v>
      </c>
      <c r="E233">
        <v>52460</v>
      </c>
      <c r="F233">
        <v>30422</v>
      </c>
      <c r="G233">
        <v>43808</v>
      </c>
      <c r="H233">
        <v>20516</v>
      </c>
      <c r="I233" t="str">
        <f>HYPERLINK("https://store.steampowered.com/app/883710/Resident_Evil_2/?curator_clanid=4777282","Abrir Steam")</f>
        <v>Abrir Steam</v>
      </c>
      <c r="J233" t="str">
        <f>HYPERLINK("https://www.kinguin.net/es/category/199156/resident-evil-2-steam-account","Kinguin")</f>
        <v>Kinguin</v>
      </c>
      <c r="K233" t="s">
        <v>16</v>
      </c>
      <c r="L233" t="s">
        <v>16</v>
      </c>
      <c r="M233" t="s">
        <v>16</v>
      </c>
    </row>
    <row r="234">
      <c r="A234" t="s">
        <v>16</v>
      </c>
      <c r="B234" t="s">
        <v>44</v>
      </c>
      <c r="C234" t="s">
        <v>15</v>
      </c>
      <c r="D234">
        <v>0</v>
      </c>
      <c r="E234">
        <v>70549</v>
      </c>
      <c r="F234">
        <v>0</v>
      </c>
      <c r="G234">
        <v>0</v>
      </c>
      <c r="H234">
        <v>0</v>
      </c>
      <c r="I234" t="str">
        <f>HYPERLINK("https://store.steampowered.com/app/883710/Resident_Evil_2/?curator_clanid=4777282","Abrir Steam")</f>
        <v>Abrir Steam</v>
      </c>
      <c r="J234" t="str">
        <f>HYPERLINK("https://www.kinguin.net/es/category/170954/resident-evil-2-biohazard-re-2-deluxe-edition-latam-steam-cd-key","Kinguin")</f>
        <v>Kinguin</v>
      </c>
      <c r="K234" t="str">
        <f>HYPERLINK("https://driffle.com/es/resident-evil-2-biohazard-re2-deluxe-edition-latam-pc-steam-digital-code-p9887140","Driffle")</f>
        <v>Driffle</v>
      </c>
      <c r="L234" t="s">
        <v>16</v>
      </c>
      <c r="M234" t="str">
        <f>HYPERLINK("https://www.eneba.com/latam/steam-resident-evil-2-biohazard-re-2-deluxe-edition-steam-key-latam","Eneba")</f>
        <v>Eneba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70549</v>
      </c>
      <c r="F235">
        <v>0</v>
      </c>
      <c r="G235">
        <v>0</v>
      </c>
      <c r="H235">
        <v>0</v>
      </c>
      <c r="I235" t="str">
        <f>HYPERLINK("https://store.steampowered.com/app/883710/Resident_Evil_2/?curator_clanid=4777282","Abrir Steam")</f>
        <v>Abrir Steam</v>
      </c>
      <c r="J235" t="s">
        <v>16</v>
      </c>
      <c r="K235" t="s">
        <v>16</v>
      </c>
      <c r="L235" t="s">
        <v>16</v>
      </c>
      <c r="M235" t="s">
        <v>16</v>
      </c>
    </row>
    <row r="236">
      <c r="A236" t="s">
        <v>105</v>
      </c>
      <c r="B236" t="s">
        <v>14</v>
      </c>
      <c r="C236" t="s">
        <v>15</v>
      </c>
      <c r="D236">
        <v>8351</v>
      </c>
      <c r="E236">
        <v>52460</v>
      </c>
      <c r="F236">
        <v>37249</v>
      </c>
      <c r="G236">
        <v>53639</v>
      </c>
      <c r="H236">
        <v>28898</v>
      </c>
      <c r="I236" t="str">
        <f>HYPERLINK("https://store.steampowered.com/app/952060/Resident_Evil_3/?curator_clanid=4777282","Abrir Steam")</f>
        <v>Abrir Steam</v>
      </c>
      <c r="J236" t="str">
        <f>HYPERLINK("https://www.kinguin.net/es/category/71701/resident-evil-3-steam-cd-key","Kinguin")</f>
        <v>Kinguin</v>
      </c>
      <c r="K236" t="str">
        <f>HYPERLINK("https://driffle.com/es/resident-evil-3-p9879598","Driffle")</f>
        <v>Driffle</v>
      </c>
      <c r="L236" t="s">
        <v>16</v>
      </c>
      <c r="M236" t="str">
        <f>HYPERLINK("https://www.eneba.com/latam/steam-resident-evil-3-steam-key-latam","Eneba")</f>
        <v>Eneba</v>
      </c>
    </row>
    <row r="237">
      <c r="A237" t="s">
        <v>16</v>
      </c>
      <c r="B237" t="s">
        <v>16</v>
      </c>
      <c r="C237" t="s">
        <v>17</v>
      </c>
      <c r="D237">
        <v>6973</v>
      </c>
      <c r="E237">
        <v>52460</v>
      </c>
      <c r="F237">
        <v>29249</v>
      </c>
      <c r="G237">
        <v>42119</v>
      </c>
      <c r="H237">
        <v>22276</v>
      </c>
      <c r="I237" t="str">
        <f>HYPERLINK("https://store.steampowered.com/app/952060/Resident_Evil_3/?curator_clanid=4777282","Abrir Steam")</f>
        <v>Abrir Steam</v>
      </c>
      <c r="J237" t="str">
        <f>HYPERLINK("https://www.kinguin.net/es/category/165389/resident-evil-3-steam-account","Kinguin")</f>
        <v>Kinguin</v>
      </c>
      <c r="K237" t="str">
        <f>HYPERLINK("https://driffle.com/es/resident-evil-3-global-pc-steam-account-p9997169","Driffle")</f>
        <v>Driffle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0</v>
      </c>
      <c r="E238">
        <v>52460</v>
      </c>
      <c r="F238">
        <v>0</v>
      </c>
      <c r="G238">
        <v>0</v>
      </c>
      <c r="H238">
        <v>0</v>
      </c>
      <c r="I238" t="str">
        <f>HYPERLINK("https://store.steampowered.com/app/2050650/Resident_Evil_4/","Abrir Steam")</f>
        <v>Abrir Steam</v>
      </c>
      <c r="J238" t="str">
        <f>HYPERLINK("https://www.kinguin.net/es/category/286215/resident-evil-4-2023-latam-pc-steam-cd-key","Kinguin")</f>
        <v>Kinguin</v>
      </c>
      <c r="K238" t="str">
        <f>HYPERLINK("https://driffle.com/es/resident-evil-4-remake-pc-steam-digital-code-p9883809","Driffle")</f>
        <v>Driffle</v>
      </c>
      <c r="L238" t="s">
        <v>16</v>
      </c>
      <c r="M238" t="str">
        <f>HYPERLINK("https://www.eneba.com/latam/steam-resident-evil-4-pc-steam-key-latam","Eneba")</f>
        <v>Eneba</v>
      </c>
    </row>
    <row r="239">
      <c r="A239" t="s">
        <v>16</v>
      </c>
      <c r="B239" t="s">
        <v>16</v>
      </c>
      <c r="C239" t="s">
        <v>17</v>
      </c>
      <c r="D239">
        <v>11357</v>
      </c>
      <c r="E239">
        <v>52460</v>
      </c>
      <c r="F239">
        <v>31002</v>
      </c>
      <c r="G239">
        <v>44643</v>
      </c>
      <c r="H239">
        <v>19645</v>
      </c>
      <c r="I239" t="str">
        <f>HYPERLINK("https://store.steampowered.com/app/2050650/Resident_Evil_4/","Abrir Steam")</f>
        <v>Abrir Steam</v>
      </c>
      <c r="J239" t="str">
        <f>HYPERLINK("https://www.kinguin.net/es/category/151130/resident-evil-4-2023-pc-steam-account","Kinguin")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47</v>
      </c>
      <c r="C240" t="s">
        <v>15</v>
      </c>
      <c r="D240">
        <v>24040</v>
      </c>
      <c r="E240">
        <v>70549</v>
      </c>
      <c r="F240">
        <v>52912</v>
      </c>
      <c r="G240">
        <v>76193</v>
      </c>
      <c r="H240">
        <v>28872</v>
      </c>
      <c r="I240" t="str">
        <f>HYPERLINK("https://store.steampowered.com/app/2050650/Resident_Evil_4/","Abrir Steam")</f>
        <v>Abrir Steam</v>
      </c>
      <c r="J240" t="str">
        <f>HYPERLINK("https://www.kinguin.net/es/category/325062/resident-evil-4-2023-gold-edition-latam-pc-steam-cd-key","Kinguin")</f>
        <v>Kinguin</v>
      </c>
      <c r="K240" t="s">
        <v>16</v>
      </c>
      <c r="L240" t="s">
        <v>16</v>
      </c>
      <c r="M240" t="str">
        <f>HYPERLINK("https://www.eneba.com/latam/steam-resident-evil-4-gold-edition-pc-steam-key-latam","Eneba")</f>
        <v>Eneba</v>
      </c>
    </row>
    <row r="241">
      <c r="A241" t="s">
        <v>16</v>
      </c>
      <c r="B241" t="s">
        <v>16</v>
      </c>
      <c r="C241" t="s">
        <v>17</v>
      </c>
      <c r="D241">
        <v>72290</v>
      </c>
      <c r="E241">
        <v>70549</v>
      </c>
      <c r="F241">
        <v>87290</v>
      </c>
      <c r="G241">
        <v>125698</v>
      </c>
      <c r="H241">
        <v>15000</v>
      </c>
      <c r="I241" t="str">
        <f>HYPERLINK("https://store.steampowered.com/app/2050650/Resident_Evil_4/","Abrir Steam")</f>
        <v>Abrir Steam</v>
      </c>
      <c r="J241" t="str">
        <f>HYPERLINK("https://www.kinguin.net/es/category/214865/resident-evil-4-2023-gold-edition-pc-steam-account","Kinguin")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107</v>
      </c>
      <c r="B242" t="s">
        <v>108</v>
      </c>
      <c r="C242" t="s">
        <v>15</v>
      </c>
      <c r="D242">
        <v>33821</v>
      </c>
      <c r="E242">
        <v>70549</v>
      </c>
      <c r="F242">
        <v>51276</v>
      </c>
      <c r="G242">
        <v>73837</v>
      </c>
      <c r="H242">
        <v>17455</v>
      </c>
      <c r="I242" t="str">
        <f>HYPERLINK("https://store.steampowered.com/app/1196590/Resident_Evil_Village/?l=spanish","Abrir Steam")</f>
        <v>Abrir Steam</v>
      </c>
      <c r="J242" t="str">
        <f>HYPERLINK("https://www.kinguin.net/es/category/154024/resident-evil-7-gold-edition-village-gold-edition-bundle-pc-steam-cd-key","Kinguin")</f>
        <v>Kinguin</v>
      </c>
      <c r="K242" t="str">
        <f>HYPERLINK("https://driffle.com/es/resident-evil-7-gold-edition-and-village-gold-edition-pc-steam-digital-code-p9905289","Driffle")</f>
        <v>Driffle</v>
      </c>
      <c r="L242" t="s">
        <v>16</v>
      </c>
      <c r="M242" t="str">
        <f>HYPERLINK("https://www.eneba.com/latam/steam-resident-evil-7-gold-edition-village-gold-edition-pc-steam-key-latam","Eneba")</f>
        <v>Eneba</v>
      </c>
    </row>
    <row r="243">
      <c r="A243" t="s">
        <v>16</v>
      </c>
      <c r="B243" t="s">
        <v>108</v>
      </c>
      <c r="C243" t="s">
        <v>17</v>
      </c>
      <c r="D243">
        <v>0</v>
      </c>
      <c r="E243">
        <v>70549</v>
      </c>
      <c r="F243">
        <v>0</v>
      </c>
      <c r="G243">
        <v>0</v>
      </c>
      <c r="H243">
        <v>0</v>
      </c>
      <c r="I243" t="str">
        <f>HYPERLINK("https://store.steampowered.com/app/1196590/Resident_Evil_Village/?l=spanish","Abrir Steam")</f>
        <v>Abrir Steam</v>
      </c>
      <c r="J243" t="str">
        <f>HYPERLINK("https://www.kinguin.net/es/category/159039/resident-evil-7-gold-edition-village-gold-edition-bundle-steam-account","Kinguin")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109</v>
      </c>
      <c r="B244" t="s">
        <v>14</v>
      </c>
      <c r="C244" t="s">
        <v>15</v>
      </c>
      <c r="D244">
        <v>0</v>
      </c>
      <c r="E244">
        <v>27134</v>
      </c>
      <c r="F244">
        <v>0</v>
      </c>
      <c r="G244">
        <v>0</v>
      </c>
      <c r="H244">
        <v>0</v>
      </c>
      <c r="I244" t="str">
        <f>HYPERLINK("https://store.steampowered.com/app/418370/Resident_Evil_7_Biohazard/","Abrir Steam")</f>
        <v>Abrir Steam</v>
      </c>
      <c r="J244" t="str">
        <f>HYPERLINK("https://www.kinguin.net/es/category/326624/resident-evil-7-biohazard-latam-pc-steam-cd-key","Kinguin")</f>
        <v>Kinguin</v>
      </c>
      <c r="K244" t="str">
        <f>HYPERLINK("https://driffle.com/es/resident-evil-7-biohazard-steam-cd-key-p935891","Driffle")</f>
        <v>Driffle</v>
      </c>
      <c r="L244" t="s">
        <v>16</v>
      </c>
      <c r="M244" t="str">
        <f>HYPERLINK("https://www.eneba.com/latam/steam-resident-evil-7-biohazard-steam-key-latam","Eneba")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27134</v>
      </c>
      <c r="F245">
        <v>0</v>
      </c>
      <c r="G245">
        <v>0</v>
      </c>
      <c r="H245">
        <v>0</v>
      </c>
      <c r="I245" t="str">
        <f>HYPERLINK("https://store.steampowered.com/app/418370/Resident_Evil_7_Biohazard/","Abrir Steam")</f>
        <v>Abrir Steam</v>
      </c>
      <c r="J245" t="str">
        <f>HYPERLINK("https://www.kinguin.net/es/category/282608/resident-evil-7-biohazard-pc-steam-account","Kinguin")</f>
        <v>Kinguin</v>
      </c>
      <c r="K245" t="s">
        <v>16</v>
      </c>
      <c r="L245" t="s">
        <v>16</v>
      </c>
      <c r="M245" t="s">
        <v>16</v>
      </c>
    </row>
    <row r="246">
      <c r="A246" t="s">
        <v>16</v>
      </c>
      <c r="B246" t="s">
        <v>47</v>
      </c>
      <c r="C246" t="s">
        <v>15</v>
      </c>
      <c r="D246">
        <v>92212</v>
      </c>
      <c r="E246">
        <v>108519</v>
      </c>
      <c r="F246">
        <v>107212</v>
      </c>
      <c r="G246">
        <v>154385</v>
      </c>
      <c r="H246">
        <v>15000</v>
      </c>
      <c r="I246" t="str">
        <f>HYPERLINK("https://store.steampowered.com/app/418370/Resident_Evil_7_Biohazard/","Abrir Steam")</f>
        <v>Abrir Steam</v>
      </c>
      <c r="J246" t="str">
        <f>HYPERLINK("https://www.kinguin.net/es/category/326593/resident-evil-7-biohazard-gold-edition-latam-pc-steam-cd-key","Kinguin")</f>
        <v>Kinguin</v>
      </c>
      <c r="K246" t="str">
        <f>HYPERLINK("https://driffle.com/es/resident-evil-7-biohazard-gold-edition-pc-steam-digital-code-p9879852","Driffle")</f>
        <v>Driffle</v>
      </c>
      <c r="L246" t="s">
        <v>16</v>
      </c>
      <c r="M246" t="str">
        <f>HYPERLINK("https://www.eneba.com/latam/steam-resident-evil-7-biohazard-gold-edition-steam-key-latam","Eneba")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108519</v>
      </c>
      <c r="F247">
        <v>0</v>
      </c>
      <c r="G247">
        <v>0</v>
      </c>
      <c r="H247">
        <v>0</v>
      </c>
      <c r="I247" t="str">
        <f>HYPERLINK("https://store.steampowered.com/app/418370/Resident_Evil_7_Biohazard/","Abrir Steam")</f>
        <v>Abrir Steam</v>
      </c>
      <c r="J247" t="s">
        <v>16</v>
      </c>
      <c r="K247" t="s">
        <v>16</v>
      </c>
      <c r="L247" t="s">
        <v>16</v>
      </c>
      <c r="M247" t="s">
        <v>16</v>
      </c>
    </row>
    <row r="248">
      <c r="A248" t="s">
        <v>110</v>
      </c>
      <c r="B248" t="s">
        <v>14</v>
      </c>
      <c r="C248" t="s">
        <v>15</v>
      </c>
      <c r="D248">
        <v>59171</v>
      </c>
      <c r="E248">
        <v>95874</v>
      </c>
      <c r="F248">
        <v>74902</v>
      </c>
      <c r="G248">
        <v>107859</v>
      </c>
      <c r="H248">
        <v>15731</v>
      </c>
      <c r="I248" t="str">
        <f>HYPERLINK("https://store.steampowered.com/app/3764200/Resident_Evil_Requiem/","Abrir Steam")</f>
        <v>Abrir Steam</v>
      </c>
      <c r="J248" t="str">
        <f>HYPERLINK("https://www.kinguin.net/es/category/428086/resident-evil-requiem-latam-pc-steam-cd-key","Kinguin")</f>
        <v>Kinguin</v>
      </c>
      <c r="K248" t="str">
        <f>HYPERLINK("https://driffle.com/es/resident-evil-requiem-latam-pc-steam-digital-key-p9977704","Driffle")</f>
        <v>Driffle</v>
      </c>
      <c r="L248" t="str">
        <f>HYPERLINK("https://www.loaded.com/es_es/resident-evil-requiem-pc-latam-steam","Loaded")</f>
        <v>Loaded</v>
      </c>
      <c r="M248" t="str">
        <f>HYPERLINK("https://www.eneba.com/latam/steam-resident-evil-requiem-steam-key-pc-latam","Eneba")</f>
        <v>Eneba</v>
      </c>
    </row>
    <row r="249">
      <c r="A249" t="s">
        <v>16</v>
      </c>
      <c r="B249" t="s">
        <v>16</v>
      </c>
      <c r="C249" t="s">
        <v>17</v>
      </c>
      <c r="D249">
        <v>48064</v>
      </c>
      <c r="E249">
        <v>95874</v>
      </c>
      <c r="F249">
        <v>63064</v>
      </c>
      <c r="G249">
        <v>90812</v>
      </c>
      <c r="H249">
        <v>15000</v>
      </c>
      <c r="I249" t="str">
        <f>HYPERLINK("https://store.steampowered.com/app/3764200/Resident_Evil_Requiem/","Abrir Steam")</f>
        <v>Abrir Steam</v>
      </c>
      <c r="J249" t="str">
        <f>HYPERLINK("https://www.kinguin.net/es/category/405998/resident-evil-requiem-pc-steam-account","Kinguin")</f>
        <v>Kinguin</v>
      </c>
      <c r="K249" t="s">
        <v>16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73055</v>
      </c>
      <c r="E250">
        <v>108519</v>
      </c>
      <c r="F250">
        <v>103650</v>
      </c>
      <c r="G250">
        <v>149256</v>
      </c>
      <c r="H250">
        <v>30595</v>
      </c>
      <c r="I250" t="str">
        <f>HYPERLINK("https://store.steampowered.com/app/3764200/Resident_Evil_Requiem/","Abrir Steam")</f>
        <v>Abrir Steam</v>
      </c>
      <c r="J250" t="str">
        <f>HYPERLINK("https://www.kinguin.net/es/category/428464/resident-evil-requiem-deluxe-edition-latam-pc-steam-cd-key","Kinguin")</f>
        <v>Kinguin</v>
      </c>
      <c r="K250" t="str">
        <f>HYPERLINK("https://driffle.com/es/resident-evil-requiem-deluxe-edition-latam-pc-steam-digital-key-p9977705","Driffle")</f>
        <v>Driffle</v>
      </c>
      <c r="L250" t="str">
        <f>HYPERLINK("https://www.loaded.com/es_es/resident-evil-requiem-deluxe-edition-pc-latam-steam","Loaded")</f>
        <v>Loaded</v>
      </c>
      <c r="M250" t="str">
        <f>HYPERLINK("https://www.eneba.com/latam/steam-resident-evil-requiem-deluxe-edition-steam-key-pc-latam","Eneba")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75130</v>
      </c>
      <c r="E251">
        <v>108519</v>
      </c>
      <c r="F251">
        <v>90130</v>
      </c>
      <c r="G251">
        <v>129787</v>
      </c>
      <c r="H251">
        <v>15000</v>
      </c>
      <c r="I251" t="str">
        <f>HYPERLINK("https://store.steampowered.com/app/3764200/Resident_Evil_Requiem/","Abrir Steam")</f>
        <v>Abrir Steam</v>
      </c>
      <c r="J251" t="str">
        <f>HYPERLINK("https://www.kinguin.net/es/category/406014/resident-evil-requiem-deluxe-edition-pc-steam-account","Kinguin")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111</v>
      </c>
      <c r="B252" t="s">
        <v>14</v>
      </c>
      <c r="C252" t="s">
        <v>15</v>
      </c>
      <c r="D252">
        <v>11817</v>
      </c>
      <c r="E252">
        <v>52460</v>
      </c>
      <c r="F252">
        <v>39345</v>
      </c>
      <c r="G252">
        <v>56657</v>
      </c>
      <c r="H252">
        <v>27528</v>
      </c>
      <c r="I252" t="str">
        <f>HYPERLINK("https://store.steampowered.com/app/1196590/Resident_Evil_Village/?l=spanish","Abrir Steam")</f>
        <v>Abrir Steam</v>
      </c>
      <c r="J252" t="str">
        <f>HYPERLINK("https://www.kinguin.net/es/category/85671/resident-evil-village-steam-cd-key","Kinguin")</f>
        <v>Kinguin</v>
      </c>
      <c r="K252" t="str">
        <f>HYPERLINK("https://driffle.com/es/resident-evil-village-resident-evil-8-latam-pc-steam-digital-key-p9931713","Driffle")</f>
        <v>Driffle</v>
      </c>
      <c r="L252" t="str">
        <f>HYPERLINK("https://www.loaded.com/es_es/resident-evil-village-pc-steam-ww","Loaded")</f>
        <v>Loaded</v>
      </c>
      <c r="M252" t="str">
        <f>HYPERLINK("https://www.eneba.com/latam/steam-resident-evil-village-resident-evil-8-steam-key-latam","Eneba")</f>
        <v>Eneba</v>
      </c>
    </row>
    <row r="253">
      <c r="A253" t="s">
        <v>16</v>
      </c>
      <c r="B253" t="s">
        <v>16</v>
      </c>
      <c r="C253" t="s">
        <v>17</v>
      </c>
      <c r="D253">
        <v>38360</v>
      </c>
      <c r="E253">
        <v>52460</v>
      </c>
      <c r="F253">
        <v>53360</v>
      </c>
      <c r="G253">
        <v>76838</v>
      </c>
      <c r="H253">
        <v>15000</v>
      </c>
      <c r="I253" t="str">
        <f>HYPERLINK("https://store.steampowered.com/app/1196590/Resident_Evil_Village/?l=spanish","Abrir Steam")</f>
        <v>Abrir Steam</v>
      </c>
      <c r="J253" t="str">
        <f>HYPERLINK("https://www.kinguin.net/es/category/159606/resident-evil-village-steam-account","Kinguin")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47</v>
      </c>
      <c r="C254" t="s">
        <v>15</v>
      </c>
      <c r="D254">
        <v>24164</v>
      </c>
      <c r="E254">
        <v>70549</v>
      </c>
      <c r="F254">
        <v>52912</v>
      </c>
      <c r="G254">
        <v>76193</v>
      </c>
      <c r="H254">
        <v>28748</v>
      </c>
      <c r="I254" t="str">
        <f>HYPERLINK("https://store.steampowered.com/app/1196590/Resident_Evil_Village/?l=spanish","Abrir Steam")</f>
        <v>Abrir Steam</v>
      </c>
      <c r="J254" t="str">
        <f>HYPERLINK("https://www.kinguin.net/es/category/326599/resident-evil-village-gold-edition-latam-pc-steam-cd-key","Kinguin")</f>
        <v>Kinguin</v>
      </c>
      <c r="K254" t="str">
        <f>HYPERLINK("https://driffle.com/es/resident-evil-village-resident-evil-8-gold-edition-latam-pc-steam-digital-key-p9978713","Driffle")</f>
        <v>Driffle</v>
      </c>
      <c r="L254" t="str">
        <f>HYPERLINK("https://www.loaded.com/es_es/resident-evil-village-gold-edition-pc-steam","Loaded")</f>
        <v>Loaded</v>
      </c>
      <c r="M254" t="str">
        <f>HYPERLINK("https://www.eneba.com/latam/steam-resident-evil-village-resident-evil-8-gold-edition-pc-steam-key-latam","Eneba")</f>
        <v>Eneba</v>
      </c>
    </row>
    <row r="255">
      <c r="A255" t="s">
        <v>16</v>
      </c>
      <c r="B255" t="s">
        <v>16</v>
      </c>
      <c r="C255" t="s">
        <v>17</v>
      </c>
      <c r="D255">
        <v>69170</v>
      </c>
      <c r="E255">
        <v>70549</v>
      </c>
      <c r="F255">
        <v>84170</v>
      </c>
      <c r="G255">
        <v>121205</v>
      </c>
      <c r="H255">
        <v>15000</v>
      </c>
      <c r="I255" t="str">
        <f>HYPERLINK("https://store.steampowered.com/app/1196590/Resident_Evil_Village/?l=spanish","Abrir Steam")</f>
        <v>Abrir Steam</v>
      </c>
      <c r="J255" t="str">
        <f>HYPERLINK("https://www.kinguin.net/es/category/159038/resident-evil-village-gold-edition-steam-account","Kinguin")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112</v>
      </c>
      <c r="B256" t="s">
        <v>14</v>
      </c>
      <c r="C256" t="s">
        <v>15</v>
      </c>
      <c r="D256">
        <v>0</v>
      </c>
      <c r="E256">
        <v>52460</v>
      </c>
      <c r="F256">
        <v>0</v>
      </c>
      <c r="G256">
        <v>0</v>
      </c>
      <c r="H256">
        <v>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HYPERLINK("https://www.kinguin.net/es/category/80572/resident-evil-raccoon-city-edition-pc-steam-cd-key","Kinguin")</f>
        <v>Kinguin</v>
      </c>
      <c r="K256" t="str">
        <f>HYPERLINK("https://driffle.com/es/resident-evil-raccoon-city-edition-global-pc-steam-digital-key-p9960425","Driffle")</f>
        <v>Driffle</v>
      </c>
      <c r="L256" t="s">
        <v>16</v>
      </c>
      <c r="M256" t="str">
        <f>HYPERLINK("https://www.eneba.com/latam/steam-resident-evil-raccoon-city-edition-pc-steam-key-global","Eneba")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52460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">
        <v>16</v>
      </c>
      <c r="K257" t="s">
        <v>16</v>
      </c>
      <c r="L257" t="s">
        <v>16</v>
      </c>
      <c r="M257" t="s">
        <v>16</v>
      </c>
    </row>
    <row r="258">
      <c r="A258" t="s">
        <v>113</v>
      </c>
      <c r="B258" t="s">
        <v>114</v>
      </c>
      <c r="C258" t="s">
        <v>15</v>
      </c>
      <c r="D258">
        <v>0</v>
      </c>
      <c r="E258">
        <v>50633</v>
      </c>
      <c r="F258">
        <v>0</v>
      </c>
      <c r="G258">
        <v>0</v>
      </c>
      <c r="H258">
        <v>0</v>
      </c>
      <c r="I258" t="str">
        <f>HYPERLINK("https://store.steampowered.com/app/1172620/Sea_of_Thieves_2026_Edition/","Abrir Steam")</f>
        <v>Abrir Steam</v>
      </c>
      <c r="J258" t="s">
        <v>16</v>
      </c>
      <c r="K258" t="s">
        <v>16</v>
      </c>
      <c r="L258" t="s">
        <v>16</v>
      </c>
      <c r="M258" t="s">
        <v>16</v>
      </c>
    </row>
    <row r="259">
      <c r="A259" t="s">
        <v>16</v>
      </c>
      <c r="B259" t="s">
        <v>16</v>
      </c>
      <c r="C259" t="s">
        <v>17</v>
      </c>
      <c r="D259">
        <v>12402</v>
      </c>
      <c r="E259">
        <v>50633</v>
      </c>
      <c r="F259">
        <v>30707</v>
      </c>
      <c r="G259">
        <v>44218</v>
      </c>
      <c r="H259">
        <v>18305</v>
      </c>
      <c r="I259" t="str">
        <f>HYPERLINK("https://store.steampowered.com/app/1172620/Sea_of_Thieves_2026_Edition/","Abrir Steam")</f>
        <v>Abrir Steam</v>
      </c>
      <c r="J259" t="str">
        <f>HYPERLINK("https://www.kinguin.net/es/category/491050/sea-of-thieves-2026-edition-pc-steam-account","Kinguin")</f>
        <v>Kinguin</v>
      </c>
      <c r="K259" t="str">
        <f>HYPERLINK("https://driffle.com/es/sea-of-thieves-2026-edition-global-pc-steam-account-p9992474","Driffle")</f>
        <v>Driffle</v>
      </c>
      <c r="L259" t="s">
        <v>16</v>
      </c>
      <c r="M259" t="s">
        <v>16</v>
      </c>
    </row>
    <row r="260">
      <c r="A260" t="s">
        <v>16</v>
      </c>
      <c r="B260" t="s">
        <v>115</v>
      </c>
      <c r="C260" t="s">
        <v>15</v>
      </c>
      <c r="D260">
        <v>0</v>
      </c>
      <c r="E260">
        <v>63295</v>
      </c>
      <c r="F260">
        <v>0</v>
      </c>
      <c r="G260">
        <v>0</v>
      </c>
      <c r="H260">
        <v>0</v>
      </c>
      <c r="I260" t="str">
        <f>HYPERLINK("https://store.steampowered.com/app/1172620/Sea_of_Thieves_2026_Edition/","Abrir Steam")</f>
        <v>Abrir Steam</v>
      </c>
      <c r="J260" t="s">
        <v>16</v>
      </c>
      <c r="K260" t="s">
        <v>16</v>
      </c>
      <c r="L260" t="s">
        <v>16</v>
      </c>
      <c r="M260" t="s">
        <v>16</v>
      </c>
    </row>
    <row r="261">
      <c r="A261" t="s">
        <v>16</v>
      </c>
      <c r="B261" t="s">
        <v>16</v>
      </c>
      <c r="C261" t="s">
        <v>17</v>
      </c>
      <c r="D261">
        <v>12402</v>
      </c>
      <c r="E261">
        <v>63295</v>
      </c>
      <c r="F261">
        <v>35646</v>
      </c>
      <c r="G261">
        <v>51330</v>
      </c>
      <c r="H261">
        <v>23244</v>
      </c>
      <c r="I261" t="str">
        <f>HYPERLINK("https://store.steampowered.com/app/1172620/Sea_of_Thieves_2026_Edition/","Abrir Steam")</f>
        <v>Abrir Steam</v>
      </c>
      <c r="J261" t="str">
        <f>HYPERLINK("https://www.kinguin.net/es/category/491052/sea-of-thieves-2026-deluxe-edition-pc-steam-account","Kinguin")</f>
        <v>Kinguin</v>
      </c>
      <c r="K261" t="str">
        <f>HYPERLINK("https://driffle.com/es/sea-of-thieves-2026-deluxe-edition-global-pc-steam-account-p9992475","Driffle")</f>
        <v>Driffle</v>
      </c>
      <c r="L261" t="s">
        <v>16</v>
      </c>
      <c r="M261" t="s">
        <v>16</v>
      </c>
    </row>
    <row r="262">
      <c r="A262" t="s">
        <v>16</v>
      </c>
      <c r="B262" t="s">
        <v>116</v>
      </c>
      <c r="C262" t="s">
        <v>15</v>
      </c>
      <c r="D262">
        <v>0</v>
      </c>
      <c r="E262">
        <v>72340</v>
      </c>
      <c r="F262">
        <v>0</v>
      </c>
      <c r="G262">
        <v>0</v>
      </c>
      <c r="H262">
        <v>0</v>
      </c>
      <c r="I262" t="str">
        <f>HYPERLINK("https://store.steampowered.com/app/1172620/Sea_of_Thieves_2026_Edition/","Abrir Steam")</f>
        <v>Abrir Steam</v>
      </c>
      <c r="J262" t="s">
        <v>16</v>
      </c>
      <c r="K262" t="s">
        <v>16</v>
      </c>
      <c r="L262" t="s">
        <v>16</v>
      </c>
      <c r="M262" t="s">
        <v>16</v>
      </c>
    </row>
    <row r="263">
      <c r="A263" t="s">
        <v>16</v>
      </c>
      <c r="B263" t="s">
        <v>16</v>
      </c>
      <c r="C263" t="s">
        <v>17</v>
      </c>
      <c r="D263">
        <v>12402</v>
      </c>
      <c r="E263">
        <v>72340</v>
      </c>
      <c r="F263">
        <v>39173</v>
      </c>
      <c r="G263">
        <v>56409</v>
      </c>
      <c r="H263">
        <v>26771</v>
      </c>
      <c r="I263" t="str">
        <f>HYPERLINK("https://store.steampowered.com/app/1172620/Sea_of_Thieves_2026_Edition/","Abrir Steam")</f>
        <v>Abrir Steam</v>
      </c>
      <c r="J263" t="str">
        <f>HYPERLINK("https://www.kinguin.net/es/category/491059/sea-of-thieves-2026-premium-edition-pc-steam-account","Kinguin")</f>
        <v>Kinguin</v>
      </c>
      <c r="K263" t="str">
        <f>HYPERLINK("https://driffle.com/es/sea-of-thieves-2026-premium-edition-global-pc-steam-account-p9992476","Driffle")</f>
        <v>Driffle</v>
      </c>
      <c r="L263" t="s">
        <v>16</v>
      </c>
      <c r="M263" t="s">
        <v>16</v>
      </c>
    </row>
    <row r="264">
      <c r="A264" t="s">
        <v>117</v>
      </c>
      <c r="B264" t="s">
        <v>14</v>
      </c>
      <c r="C264" t="s">
        <v>15</v>
      </c>
      <c r="D264">
        <v>39764</v>
      </c>
      <c r="E264">
        <v>59677</v>
      </c>
      <c r="F264">
        <v>54764</v>
      </c>
      <c r="G264">
        <v>78860</v>
      </c>
      <c r="H264">
        <v>15000</v>
      </c>
      <c r="I264" t="str">
        <f>HYPERLINK("https://store.steampowered.com/app/2124490/SILENT_HILL_2/","Abrir Steam")</f>
        <v>Abrir Steam</v>
      </c>
      <c r="J264" t="str">
        <f>HYPERLINK("https://www.kinguin.net/es/category/278941/silent-hill-2-latam-pc-steam-cd-key","Kinguin")</f>
        <v>Kinguin</v>
      </c>
      <c r="K264" t="str">
        <f>HYPERLINK("https://driffle.com/es/silent-hill-2-pc-steam-digital-key-p9908068","Driffle")</f>
        <v>Driffle</v>
      </c>
      <c r="L264" t="str">
        <f>HYPERLINK("https://www.loaded.com/es_es/silent-hill-2-pc-steam","Loaded")</f>
        <v>Loaded</v>
      </c>
      <c r="M264" t="str">
        <f>HYPERLINK("https://www.eneba.com/latam/steam-silent-hill-2-pc-steam-key-global","Eneba")</f>
        <v>Eneba</v>
      </c>
    </row>
    <row r="265">
      <c r="A265" t="s">
        <v>16</v>
      </c>
      <c r="B265" t="s">
        <v>16</v>
      </c>
      <c r="C265" t="s">
        <v>17</v>
      </c>
      <c r="D265">
        <v>16552</v>
      </c>
      <c r="E265">
        <v>59677</v>
      </c>
      <c r="F265">
        <v>35895</v>
      </c>
      <c r="G265">
        <v>51689</v>
      </c>
      <c r="H265">
        <v>19343</v>
      </c>
      <c r="I265" t="str">
        <f>HYPERLINK("https://store.steampowered.com/app/2124490/SILENT_HILL_2/","Abrir Steam")</f>
        <v>Abrir Steam</v>
      </c>
      <c r="J265" t="str">
        <f>HYPERLINK("https://www.kinguin.net/es/category/272532/silent-hill-2-pc-steam-account","Kinguin")</f>
        <v>Kinguin</v>
      </c>
      <c r="K265" t="str">
        <f>HYPERLINK("https://driffle.com/es/silent-hill-2-global-pc-steam-account-p9962323","Driffle")</f>
        <v>Driffle</v>
      </c>
      <c r="L265" t="s">
        <v>16</v>
      </c>
      <c r="M265" t="s">
        <v>16</v>
      </c>
    </row>
    <row r="266">
      <c r="A266" t="s">
        <v>16</v>
      </c>
      <c r="B266" t="s">
        <v>44</v>
      </c>
      <c r="C266" t="s">
        <v>15</v>
      </c>
      <c r="D266">
        <v>0</v>
      </c>
      <c r="E266">
        <v>66913</v>
      </c>
      <c r="F266">
        <v>0</v>
      </c>
      <c r="G266">
        <v>0</v>
      </c>
      <c r="H266">
        <v>0</v>
      </c>
      <c r="I266" t="str">
        <f>HYPERLINK("https://store.steampowered.com/app/2124490/SILENT_HILL_2/","Abrir Steam")</f>
        <v>Abrir Steam</v>
      </c>
      <c r="J266" t="str">
        <f>HYPERLINK("https://www.kinguin.net/es/category/263907/silent-hill-2-digital-deluxe-edition-pc-steam-cd-key","Kinguin")</f>
        <v>Kinguin</v>
      </c>
      <c r="K266" t="str">
        <f>HYPERLINK("https://driffle.com/es/silent-hill-2-digital-deluxe-edition-pc-steam-digital-key-p9914456","Driffle")</f>
        <v>Driffle</v>
      </c>
      <c r="L266" t="str">
        <f>HYPERLINK("https://www.loaded.com/es_es/silent-hill-2-digital-deluxe-pc-steam","Loaded")</f>
        <v>Loaded</v>
      </c>
      <c r="M266" t="str">
        <f>HYPERLINK("https://www.eneba.com/latam/steam-silent-hill-2-digital-deluxe-pc-steam-key-global","Eneba")</f>
        <v>Eneba</v>
      </c>
    </row>
    <row r="267">
      <c r="A267" t="s">
        <v>16</v>
      </c>
      <c r="B267" t="s">
        <v>16</v>
      </c>
      <c r="C267" t="s">
        <v>17</v>
      </c>
      <c r="D267">
        <v>0</v>
      </c>
      <c r="E267">
        <v>66913</v>
      </c>
      <c r="F267">
        <v>0</v>
      </c>
      <c r="G267">
        <v>0</v>
      </c>
      <c r="H267">
        <v>0</v>
      </c>
      <c r="I267" t="str">
        <f>HYPERLINK("https://store.steampowered.com/app/2124490/SILENT_HILL_2/","Abrir Steam")</f>
        <v>Abrir Steam</v>
      </c>
      <c r="J267" t="str">
        <f>HYPERLINK("https://www.kinguin.net/es/category/274184/silent-hill-2-digital-deluxe-edition-pc-steam-account","Kinguin")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118</v>
      </c>
      <c r="B268" t="s">
        <v>14</v>
      </c>
      <c r="C268" t="s">
        <v>15</v>
      </c>
      <c r="D268">
        <v>35771</v>
      </c>
      <c r="E268">
        <v>59677</v>
      </c>
      <c r="F268">
        <v>50799</v>
      </c>
      <c r="G268">
        <v>73151</v>
      </c>
      <c r="H268">
        <v>15028</v>
      </c>
      <c r="I268" t="str">
        <f>HYPERLINK("https://store.steampowered.com/app/2947440/SILENT_HILL_f/","Abrir Steam")</f>
        <v>Abrir Steam</v>
      </c>
      <c r="J268" t="str">
        <f>HYPERLINK("https://www.kinguin.net/es/category/392619/silent-hill-f-latam-pc-steam-cd-key","Kinguin")</f>
        <v>Kinguin</v>
      </c>
      <c r="K268" t="str">
        <f>HYPERLINK("https://driffle.com/es/silent-hill-f-latam-pc-steam-digital-key-p9963231","Driffle")</f>
        <v>Driffle</v>
      </c>
      <c r="L268" t="s">
        <v>16</v>
      </c>
      <c r="M268" t="str">
        <f>HYPERLINK("https://www.eneba.com/latam/steam-silent-hill-f-steam-key-pc-latam","Eneba")</f>
        <v>Eneba</v>
      </c>
    </row>
    <row r="269">
      <c r="A269" t="s">
        <v>16</v>
      </c>
      <c r="B269" t="s">
        <v>16</v>
      </c>
      <c r="C269" t="s">
        <v>17</v>
      </c>
      <c r="D269">
        <v>23930</v>
      </c>
      <c r="E269">
        <v>59677</v>
      </c>
      <c r="F269">
        <v>38930</v>
      </c>
      <c r="G269">
        <v>56059</v>
      </c>
      <c r="H269">
        <v>15000</v>
      </c>
      <c r="I269" t="str">
        <f>HYPERLINK("https://store.steampowered.com/app/2947440/SILENT_HILL_f/","Abrir Steam")</f>
        <v>Abrir Steam</v>
      </c>
      <c r="J269" t="str">
        <f>HYPERLINK("https://www.kinguin.net/es/category/347319/silent-hill-f-pc-steam-account","Kinguin")</f>
        <v>Kinguin</v>
      </c>
      <c r="K269" t="str">
        <f>HYPERLINK("https://driffle.com/es/silent-hill-f-global-pc-steam-account-p9964460","Driffle")</f>
        <v>Driffle</v>
      </c>
      <c r="L269" t="s">
        <v>16</v>
      </c>
      <c r="M269" t="s">
        <v>16</v>
      </c>
    </row>
    <row r="270">
      <c r="A270" t="s">
        <v>16</v>
      </c>
      <c r="B270" t="s">
        <v>44</v>
      </c>
      <c r="C270" t="s">
        <v>15</v>
      </c>
      <c r="D270">
        <v>38906</v>
      </c>
      <c r="E270">
        <v>66913</v>
      </c>
      <c r="F270">
        <v>53971</v>
      </c>
      <c r="G270">
        <v>77718</v>
      </c>
      <c r="H270">
        <v>15065</v>
      </c>
      <c r="I270" t="str">
        <f>HYPERLINK("https://store.steampowered.com/app/2947440/SILENT_HILL_f/","Abrir Steam")</f>
        <v>Abrir Steam</v>
      </c>
      <c r="J270" t="str">
        <f>HYPERLINK("https://www.kinguin.net/es/category/390829/silent-hill-f-deluxe-edition-latam-pc-steam-cd-key","Kinguin")</f>
        <v>Kinguin</v>
      </c>
      <c r="K270" t="str">
        <f>HYPERLINK("https://driffle.com/es/silent-hill-f-digital-deluxe-edition-latam-pc-steam-digital-key-p9962789","Driffle")</f>
        <v>Driffle</v>
      </c>
      <c r="L270" t="s">
        <v>16</v>
      </c>
      <c r="M270" t="str">
        <f>HYPERLINK("https://www.eneba.com/latam/steam-silent-hill-f-digital-deluxe-steam-key-pc-latam","Eneba")</f>
        <v>Eneba</v>
      </c>
    </row>
    <row r="271">
      <c r="A271" t="s">
        <v>16</v>
      </c>
      <c r="B271" t="s">
        <v>16</v>
      </c>
      <c r="C271" t="s">
        <v>17</v>
      </c>
      <c r="D271">
        <v>28938</v>
      </c>
      <c r="E271">
        <v>66913</v>
      </c>
      <c r="F271">
        <v>43938</v>
      </c>
      <c r="G271">
        <v>63271</v>
      </c>
      <c r="H271">
        <v>15000</v>
      </c>
      <c r="I271" t="str">
        <f>HYPERLINK("https://store.steampowered.com/app/2947440/SILENT_HILL_f/","Abrir Steam")</f>
        <v>Abrir Steam</v>
      </c>
      <c r="J271" t="str">
        <f>HYPERLINK("https://www.kinguin.net/es/category/347325/silent-hill-f-deluxe-edition-pc-steam-account","Kinguin")</f>
        <v>Kinguin</v>
      </c>
      <c r="K271" t="str">
        <f>HYPERLINK("https://driffle.com/es/silent-hill-f-digital-deluxe-edition-global-pc-steam-account-p9979491","Driffle")</f>
        <v>Driffle</v>
      </c>
      <c r="L271" t="s">
        <v>16</v>
      </c>
      <c r="M271" t="s">
        <v>16</v>
      </c>
    </row>
    <row r="272">
      <c r="A272" t="s">
        <v>119</v>
      </c>
      <c r="B272" t="s">
        <v>14</v>
      </c>
      <c r="C272" t="s">
        <v>15</v>
      </c>
      <c r="D272">
        <v>70855</v>
      </c>
      <c r="E272">
        <v>90429</v>
      </c>
      <c r="F272">
        <v>85855</v>
      </c>
      <c r="G272">
        <v>123631</v>
      </c>
      <c r="H272">
        <v>15000</v>
      </c>
      <c r="I272" t="str">
        <f>HYPERLINK("https://store.steampowered.com/app/2001120/Split_Fiction/?curator_clanid=4777282","Abrir Steam")</f>
        <v>Abrir Steam</v>
      </c>
      <c r="J272" t="str">
        <f>HYPERLINK("https://www.kinguin.net/es/category/321035/split-fiction-pc-steam-cd-key","Kinguin")</f>
        <v>Kinguin</v>
      </c>
      <c r="K272" t="str">
        <f>HYPERLINK("https://driffle.com/es/split-fiction-global-pc-steam-digital-key-p9929426","Driffle")</f>
        <v>Driffle</v>
      </c>
      <c r="L272" t="s">
        <v>16</v>
      </c>
      <c r="M272" t="str">
        <f>HYPERLINK("https://www.eneba.com/latam/steam-split-fiction-steam-key-pc-global","Eneba")</f>
        <v>Eneba</v>
      </c>
    </row>
    <row r="273">
      <c r="A273" t="s">
        <v>16</v>
      </c>
      <c r="B273" t="s">
        <v>16</v>
      </c>
      <c r="C273" t="s">
        <v>17</v>
      </c>
      <c r="D273">
        <v>20998</v>
      </c>
      <c r="E273">
        <v>90429</v>
      </c>
      <c r="F273">
        <v>47998</v>
      </c>
      <c r="G273">
        <v>69117</v>
      </c>
      <c r="H273">
        <v>27000</v>
      </c>
      <c r="I273" t="str">
        <f>HYPERLINK("https://store.steampowered.com/app/2001120/Split_Fiction/?curator_clanid=4777282","Abrir Steam")</f>
        <v>Abrir Steam</v>
      </c>
      <c r="J273" t="str">
        <f>HYPERLINK("https://www.kinguin.net/es/category/305795/split-fiction-pc-steam-account","Kinguin")</f>
        <v>Kinguin</v>
      </c>
      <c r="K273" t="str">
        <f>HYPERLINK("https://driffle.com/es/split-fiction-global-pc-steam-account-p9945656","Driffle")</f>
        <v>Driffle</v>
      </c>
      <c r="L273" t="s">
        <v>16</v>
      </c>
      <c r="M273" t="s">
        <v>16</v>
      </c>
    </row>
    <row r="274">
      <c r="A274" t="s">
        <v>120</v>
      </c>
      <c r="B274" t="s">
        <v>14</v>
      </c>
      <c r="C274" t="s">
        <v>15</v>
      </c>
      <c r="D274">
        <v>21854</v>
      </c>
      <c r="E274">
        <v>126608</v>
      </c>
      <c r="F274">
        <v>48854</v>
      </c>
      <c r="G274">
        <v>70350</v>
      </c>
      <c r="H274">
        <v>27000</v>
      </c>
      <c r="I274" t="str">
        <f>HYPERLINK("https://store.steampowered.com/app/1774580/STAR_WARS_Jedi_Survivor/?curator_clanid=4777282","Abrir Steam")</f>
        <v>Abrir Steam</v>
      </c>
      <c r="J274" t="s">
        <v>16</v>
      </c>
      <c r="K274" t="s">
        <v>16</v>
      </c>
      <c r="L274" t="s">
        <v>16</v>
      </c>
      <c r="M274" t="str">
        <f>HYPERLINK("https://www.eneba.com/latam/steam-star-wars-jedi-survivortm-pc-steam-key-global","Eneba")</f>
        <v>Eneba</v>
      </c>
    </row>
    <row r="275">
      <c r="A275" t="s">
        <v>16</v>
      </c>
      <c r="B275" t="s">
        <v>16</v>
      </c>
      <c r="C275" t="s">
        <v>17</v>
      </c>
      <c r="D275">
        <v>10140</v>
      </c>
      <c r="E275">
        <v>126608</v>
      </c>
      <c r="F275">
        <v>37140</v>
      </c>
      <c r="G275">
        <v>53482</v>
      </c>
      <c r="H275">
        <v>27000</v>
      </c>
      <c r="I275" t="str">
        <f>HYPERLINK("https://store.steampowered.com/app/1774580/STAR_WARS_Jedi_Survivor/?curator_clanid=4777282","Abrir Steam")</f>
        <v>Abrir Steam</v>
      </c>
      <c r="J275" t="str">
        <f>HYPERLINK("https://www.kinguin.net/es/category/158455/star-wars-jedi-survivor-steam-account","Kinguin")</f>
        <v>Kinguin</v>
      </c>
      <c r="K275" t="str">
        <f>HYPERLINK("https://driffle.com/es/star-wars-jedi-survivor-global-pc-steam-account-p9971599","Driffle")</f>
        <v>Driffle</v>
      </c>
      <c r="L275" t="s">
        <v>16</v>
      </c>
      <c r="M275" t="s">
        <v>16</v>
      </c>
    </row>
    <row r="276">
      <c r="A276" t="s">
        <v>16</v>
      </c>
      <c r="B276" t="s">
        <v>44</v>
      </c>
      <c r="C276" t="s">
        <v>15</v>
      </c>
      <c r="D276">
        <v>151351</v>
      </c>
      <c r="E276">
        <v>162787</v>
      </c>
      <c r="F276">
        <v>186351</v>
      </c>
      <c r="G276">
        <v>268345</v>
      </c>
      <c r="H276">
        <v>35000</v>
      </c>
      <c r="I276" t="str">
        <f>HYPERLINK("https://store.steampowered.com/app/1774580/STAR_WARS_Jedi_Survivor/?curator_clanid=4777282","Abrir Steam")</f>
        <v>Abrir Steam</v>
      </c>
      <c r="J276" t="s">
        <v>16</v>
      </c>
      <c r="K276" t="str">
        <f>HYPERLINK("https://driffle.com/es/star-wars-jedi-survivor-deluxe-edition-global-pc-steam-digital-key-p9930698","Driffle")</f>
        <v>Driffle</v>
      </c>
      <c r="L276" t="s">
        <v>16</v>
      </c>
      <c r="M276" t="str">
        <f>HYPERLINK("https://www.eneba.com/latam/steam-star-wars-jedi-survivortm-deluxe-edition-pc-steam-key-global","Eneba")</f>
        <v>Eneba</v>
      </c>
    </row>
    <row r="277">
      <c r="A277" t="s">
        <v>16</v>
      </c>
      <c r="B277" t="s">
        <v>16</v>
      </c>
      <c r="C277" t="s">
        <v>17</v>
      </c>
      <c r="D277">
        <v>101119</v>
      </c>
      <c r="E277">
        <v>162787</v>
      </c>
      <c r="F277">
        <v>116119</v>
      </c>
      <c r="G277">
        <v>167211</v>
      </c>
      <c r="H277">
        <v>15000</v>
      </c>
      <c r="I277" t="str">
        <f>HYPERLINK("https://store.steampowered.com/app/1774580/STAR_WARS_Jedi_Survivor/?curator_clanid=4777282","Abrir Steam")</f>
        <v>Abrir Steam</v>
      </c>
      <c r="J277" t="str">
        <f>HYPERLINK("https://www.kinguin.net/es/category/160069/star-wars-jedi-survivor-deluxe-edition-steam-account","Kinguin")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121</v>
      </c>
      <c r="B278" t="s">
        <v>14</v>
      </c>
      <c r="C278" t="s">
        <v>15</v>
      </c>
      <c r="D278">
        <v>51589</v>
      </c>
      <c r="E278">
        <v>108519</v>
      </c>
      <c r="F278">
        <v>78019</v>
      </c>
      <c r="G278">
        <v>112347</v>
      </c>
      <c r="H278">
        <v>26430</v>
      </c>
      <c r="I278" t="str">
        <f>HYPERLINK("https://store.steampowered.com/app/3489700/Stellar_Blade/","Abrir Steam")</f>
        <v>Abrir Steam</v>
      </c>
      <c r="J278" t="str">
        <f>HYPERLINK("https://www.kinguin.net/es/category/346615/stellar-blade-latam-pc-steam-cd-key","Kinguin")</f>
        <v>Kinguin</v>
      </c>
      <c r="K278" t="str">
        <f>HYPERLINK("https://driffle.com/es/stellar-blade-latam-pc-steam-digital-key-p9938571","Driffle")</f>
        <v>Driffle</v>
      </c>
      <c r="L278" t="str">
        <f>HYPERLINK("https://www.loaded.com/es_es/stellar-blade-pc-steam","Loaded")</f>
        <v>Loaded</v>
      </c>
      <c r="M278" t="str">
        <f>HYPERLINK("https://www.eneba.com/latam/steam-stellar-blade-steam-key-pc-latam","Eneba")</f>
        <v>Eneba</v>
      </c>
    </row>
    <row r="279">
      <c r="A279" t="s">
        <v>16</v>
      </c>
      <c r="B279" t="s">
        <v>16</v>
      </c>
      <c r="C279" t="s">
        <v>17</v>
      </c>
      <c r="D279">
        <v>48610</v>
      </c>
      <c r="E279">
        <v>108519</v>
      </c>
      <c r="F279">
        <v>67766</v>
      </c>
      <c r="G279">
        <v>97583</v>
      </c>
      <c r="H279">
        <v>19156</v>
      </c>
      <c r="I279" t="str">
        <f>HYPERLINK("https://store.steampowered.com/app/3489700/Stellar_Blade/","Abrir Steam")</f>
        <v>Abrir Steam</v>
      </c>
      <c r="J279" t="s">
        <v>16</v>
      </c>
      <c r="K279" t="str">
        <f>HYPERLINK("https://driffle.com/es/stellar-blade-global-pc-steam-account-p9979470","Driffle")</f>
        <v>Driffle</v>
      </c>
      <c r="L279" t="s">
        <v>16</v>
      </c>
      <c r="M279" t="s">
        <v>16</v>
      </c>
    </row>
    <row r="280">
      <c r="A280" t="s">
        <v>16</v>
      </c>
      <c r="B280" t="s">
        <v>122</v>
      </c>
      <c r="C280" t="s">
        <v>15</v>
      </c>
      <c r="D280">
        <v>67439</v>
      </c>
      <c r="E280">
        <v>126608</v>
      </c>
      <c r="F280">
        <v>90864</v>
      </c>
      <c r="G280">
        <v>130844</v>
      </c>
      <c r="H280">
        <v>23425</v>
      </c>
      <c r="I280" t="str">
        <f>HYPERLINK("https://store.steampowered.com/app/3489700/Stellar_Blade/","Abrir Steam")</f>
        <v>Abrir Steam</v>
      </c>
      <c r="J280" t="str">
        <f>HYPERLINK("https://www.kinguin.net/es/category/346620/stellar-blade-complete-edition-latam-pc-steam-cd-key","Kinguin")</f>
        <v>Kinguin</v>
      </c>
      <c r="K280" t="str">
        <f>HYPERLINK("https://driffle.com/es/stellar-blade-complete-edition-latam-pc-steam-digital-key-p9938572","Driffle")</f>
        <v>Driffle</v>
      </c>
      <c r="L280" t="str">
        <f>HYPERLINK("https://www.loaded.com/es_es/stellar-blade-complete-edition-pc-steam","Loaded")</f>
        <v>Loaded</v>
      </c>
      <c r="M280" t="str">
        <f>HYPERLINK("https://www.eneba.com/latam/steam-stellar-blade-complete-edition-steam-key-pc-latam","Eneba")</f>
        <v>Eneba</v>
      </c>
    </row>
    <row r="281">
      <c r="A281" t="s">
        <v>16</v>
      </c>
      <c r="B281" t="s">
        <v>16</v>
      </c>
      <c r="C281" t="s">
        <v>17</v>
      </c>
      <c r="D281">
        <v>48688</v>
      </c>
      <c r="E281">
        <v>126608</v>
      </c>
      <c r="F281">
        <v>74852</v>
      </c>
      <c r="G281">
        <v>107787</v>
      </c>
      <c r="H281">
        <v>26164</v>
      </c>
      <c r="I281" t="str">
        <f>HYPERLINK("https://store.steampowered.com/app/3489700/Stellar_Blade/","Abrir Steam")</f>
        <v>Abrir Steam</v>
      </c>
      <c r="J281" t="str">
        <f>HYPERLINK("https://www.kinguin.net/es/category/340981/stellar-blade-complete-edition-pc-steam-account","Kinguin")</f>
        <v>Kinguin</v>
      </c>
      <c r="K281" t="str">
        <f>HYPERLINK("https://driffle.com/es/stellar-blade-complete-edition-global-pc-steam-account-p9979471","Driffle")</f>
        <v>Driffle</v>
      </c>
      <c r="L281" t="s">
        <v>16</v>
      </c>
      <c r="M281" t="s">
        <v>16</v>
      </c>
    </row>
    <row r="282">
      <c r="A282" t="s">
        <v>123</v>
      </c>
      <c r="B282" t="s">
        <v>14</v>
      </c>
      <c r="C282" t="s">
        <v>15</v>
      </c>
      <c r="D282">
        <v>24008</v>
      </c>
      <c r="E282">
        <v>54250</v>
      </c>
      <c r="F282">
        <v>40688</v>
      </c>
      <c r="G282">
        <v>58591</v>
      </c>
      <c r="H282">
        <v>16680</v>
      </c>
      <c r="I282" t="str">
        <f>HYPERLINK("https://store.steampowered.com/app/1364780/Street_Fighter_6/","Abrir Steam")</f>
        <v>Abrir Steam</v>
      </c>
      <c r="J282" t="str">
        <f>HYPERLINK("https://www.kinguin.net/es/category/164647/street-fighter-6-pc-steam-cd-key","Kinguin")</f>
        <v>Kinguin</v>
      </c>
      <c r="K282" t="s">
        <v>16</v>
      </c>
      <c r="L282" t="s">
        <v>16</v>
      </c>
      <c r="M282" t="str">
        <f>HYPERLINK("https://www.eneba.com/latam/steam-street-fighter-6-pc-steam-key-latam","Eneba")</f>
        <v>Eneba</v>
      </c>
    </row>
    <row r="283">
      <c r="A283" t="s">
        <v>16</v>
      </c>
      <c r="B283" t="s">
        <v>16</v>
      </c>
      <c r="C283" t="s">
        <v>17</v>
      </c>
      <c r="D283">
        <v>24508</v>
      </c>
      <c r="E283">
        <v>54250</v>
      </c>
      <c r="F283">
        <v>39508</v>
      </c>
      <c r="G283">
        <v>56892</v>
      </c>
      <c r="H283">
        <v>15000</v>
      </c>
      <c r="I283" t="str">
        <f>HYPERLINK("https://store.steampowered.com/app/1364780/Street_Fighter_6/","Abrir Steam")</f>
        <v>Abrir Steam</v>
      </c>
      <c r="J283" t="str">
        <f>HYPERLINK("https://www.kinguin.net/es/category/153297/street-fighter-6-steam-account","Kinguin")</f>
        <v>Kinguin</v>
      </c>
      <c r="K283" t="s">
        <v>16</v>
      </c>
      <c r="L283" t="s">
        <v>16</v>
      </c>
      <c r="M283" t="s">
        <v>16</v>
      </c>
    </row>
    <row r="284">
      <c r="A284" t="s">
        <v>16</v>
      </c>
      <c r="B284" t="s">
        <v>124</v>
      </c>
      <c r="C284" t="s">
        <v>15</v>
      </c>
      <c r="D284">
        <v>65380</v>
      </c>
      <c r="E284">
        <v>81403</v>
      </c>
      <c r="F284">
        <v>80380</v>
      </c>
      <c r="G284">
        <v>115747</v>
      </c>
      <c r="H284">
        <v>15000</v>
      </c>
      <c r="I284" t="str">
        <f>HYPERLINK("https://store.steampowered.com/app/1364780/Street_Fighter_6/","Abrir Steam")</f>
        <v>Abrir Steam</v>
      </c>
      <c r="J284" t="str">
        <f>HYPERLINK("https://www.kinguin.net/es/category/353130/street-fighter-6-years-1-2-fighters-edition-latam-pc-steam-cd-key","Kinguin")</f>
        <v>Kinguin</v>
      </c>
      <c r="K284" t="str">
        <f>HYPERLINK("https://driffle.com/es/street-fighter-6-years-12-fighter-edition-latam-pc-steam-digital-key-p9940168","Driffle")</f>
        <v>Driffle</v>
      </c>
      <c r="L284" t="s">
        <v>16</v>
      </c>
      <c r="M284" t="str">
        <f>HYPERLINK("https://www.eneba.com/latam/steam-street-fightertm-6-years-1-2-fighters-edition-steam-key-pc-latam","Eneba")</f>
        <v>Eneba</v>
      </c>
    </row>
    <row r="285">
      <c r="A285" t="s">
        <v>16</v>
      </c>
      <c r="B285" t="s">
        <v>16</v>
      </c>
      <c r="C285" t="s">
        <v>17</v>
      </c>
      <c r="D285">
        <v>0</v>
      </c>
      <c r="E285">
        <v>81403</v>
      </c>
      <c r="F285">
        <v>0</v>
      </c>
      <c r="G285">
        <v>0</v>
      </c>
      <c r="H285">
        <v>0</v>
      </c>
      <c r="I285" t="str">
        <f>HYPERLINK("https://store.steampowered.com/app/1364780/Street_Fighter_6/","Abrir Steam")</f>
        <v>Abrir Steam</v>
      </c>
      <c r="J285" t="str">
        <f>HYPERLINK("https://www.kinguin.net/es/category/437624/street-fighter-6-years-1-2-fighters-edition-pc-steam-account","Kinguin")</f>
        <v>Kinguin</v>
      </c>
      <c r="K285" t="s">
        <v>16</v>
      </c>
      <c r="L285" t="s">
        <v>16</v>
      </c>
      <c r="M285" t="s">
        <v>16</v>
      </c>
    </row>
    <row r="286">
      <c r="A286" t="s">
        <v>125</v>
      </c>
      <c r="B286" t="s">
        <v>14</v>
      </c>
      <c r="C286" t="s">
        <v>15</v>
      </c>
      <c r="D286">
        <v>0</v>
      </c>
      <c r="E286">
        <v>37970</v>
      </c>
      <c r="F286">
        <v>0</v>
      </c>
      <c r="G286">
        <v>0</v>
      </c>
      <c r="H286">
        <v>0</v>
      </c>
      <c r="I286" t="str">
        <f>HYPERLINK("https://store.steampowered.com/app/1962700/Subnautica_2/","Abrir Steam")</f>
        <v>Abrir Steam</v>
      </c>
      <c r="J286" t="s">
        <v>16</v>
      </c>
      <c r="K286" t="s">
        <v>16</v>
      </c>
      <c r="L286" t="s">
        <v>16</v>
      </c>
      <c r="M286" t="str">
        <f>HYPERLINK("https://www.eneba.com/latam/steam-subnautica-2-steam-key-pc-global","Eneba")</f>
        <v>Eneba</v>
      </c>
    </row>
    <row r="287">
      <c r="A287" t="s">
        <v>16</v>
      </c>
      <c r="B287" t="s">
        <v>16</v>
      </c>
      <c r="C287" t="s">
        <v>17</v>
      </c>
      <c r="D287">
        <v>18938</v>
      </c>
      <c r="E287">
        <v>37970</v>
      </c>
      <c r="F287">
        <v>33938</v>
      </c>
      <c r="G287">
        <v>48871</v>
      </c>
      <c r="H287">
        <v>15000</v>
      </c>
      <c r="I287" t="str">
        <f>HYPERLINK("https://store.steampowered.com/app/1962700/Subnautica_2/","Abrir Steam")</f>
        <v>Abrir Steam</v>
      </c>
      <c r="J287" t="str">
        <f>HYPERLINK("https://www.kinguin.net/es/category/492108/subnautica-2-pc-steam-account","Kinguin")</f>
        <v>Kinguin</v>
      </c>
      <c r="K287" t="str">
        <f>HYPERLINK("https://driffle.com/es/subnautica-2-global-pc-steam-account-p9995025","Driffle")</f>
        <v>Driffle</v>
      </c>
      <c r="L287" t="s">
        <v>16</v>
      </c>
      <c r="M287" t="s">
        <v>16</v>
      </c>
    </row>
    <row r="288">
      <c r="A288" t="s">
        <v>126</v>
      </c>
      <c r="B288" t="s">
        <v>14</v>
      </c>
      <c r="C288" t="s">
        <v>15</v>
      </c>
      <c r="D288">
        <v>31340</v>
      </c>
      <c r="E288">
        <v>57868</v>
      </c>
      <c r="F288">
        <v>48506</v>
      </c>
      <c r="G288">
        <v>69849</v>
      </c>
      <c r="H288">
        <v>17166</v>
      </c>
      <c r="I288" t="str">
        <f>HYPERLINK("https://store.steampowered.com/app/1778820/TEKKEN_8/?curator_clanid=4777282","Abrir Steam")</f>
        <v>Abrir Steam</v>
      </c>
      <c r="J288" t="str">
        <f>HYPERLINK("https://www.kinguin.net/es/category/296523/tekken-8-pc-steam-cd-key","Kinguin")</f>
        <v>Kinguin</v>
      </c>
      <c r="K288" t="str">
        <f>HYPERLINK("https://driffle.com/es/tekken-8-pc-steam-digital-code-p9888257","Driffle")</f>
        <v>Driffle</v>
      </c>
      <c r="L288" t="str">
        <f>HYPERLINK("https://www.loaded.com/es_es/tekken-8-pc-steam","Loaded")</f>
        <v>Loaded</v>
      </c>
      <c r="M288" t="str">
        <f>HYPERLINK("https://www.eneba.com/latam/steam-tekken-8-pc-steam-key-global","Eneba")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25506</v>
      </c>
      <c r="E289">
        <v>57868</v>
      </c>
      <c r="F289">
        <v>40506</v>
      </c>
      <c r="G289">
        <v>58329</v>
      </c>
      <c r="H289">
        <v>15000</v>
      </c>
      <c r="I289" t="str">
        <f>HYPERLINK("https://store.steampowered.com/app/1778820/TEKKEN_8/?curator_clanid=4777282","Abrir Steam")</f>
        <v>Abrir Steam</v>
      </c>
      <c r="J289" t="str">
        <f>HYPERLINK("https://www.kinguin.net/es/category/180122/tekken-8-steam-account","Kinguin")</f>
        <v>Kinguin</v>
      </c>
      <c r="K289" t="str">
        <f>HYPERLINK("https://driffle.com/es/tekken-8-global-pc-steam-account-p9997873","Driffle")</f>
        <v>Driffle</v>
      </c>
      <c r="L289" t="s">
        <v>16</v>
      </c>
      <c r="M289" t="s">
        <v>16</v>
      </c>
    </row>
    <row r="290">
      <c r="A290" t="s">
        <v>127</v>
      </c>
      <c r="B290" t="s">
        <v>14</v>
      </c>
      <c r="C290" t="s">
        <v>15</v>
      </c>
      <c r="D290">
        <v>10662</v>
      </c>
      <c r="E290">
        <v>43397</v>
      </c>
      <c r="F290">
        <v>32548</v>
      </c>
      <c r="G290">
        <v>46869</v>
      </c>
      <c r="H290">
        <v>21886</v>
      </c>
      <c r="I290" t="str">
        <f>HYPERLINK("https://store.steampowered.com/app/489830/The_Elder_Scrolls_V_Skyrim_Special_Edition/","Abrir Steam")</f>
        <v>Abrir Steam</v>
      </c>
      <c r="J290" t="str">
        <f>HYPERLINK("https://www.kinguin.net/es/category/301555/the-elder-scrolls-v-skyrim-special-edition-latam-ru-cis-tr-pc-steam-cd-key","Kinguin")</f>
        <v>Kinguin</v>
      </c>
      <c r="K290" t="str">
        <f>HYPERLINK("https://driffle.com/es/the-elder-scrolls-v-skyrim-special-edition-latam-pc-steam-digital-key-p9981028","Driffle")</f>
        <v>Driffle</v>
      </c>
      <c r="L290" t="str">
        <f>HYPERLINK("https://www.loaded.com/es_es/the-elder-scrolls-v-5-skyrim-special-edition-pc-steam-cd-key","Loaded")</f>
        <v>Loaded</v>
      </c>
      <c r="M290" t="str">
        <f>HYPERLINK("https://www.eneba.com/latam/steam-the-elder-scrolls-v-skyrim-special-edition-steam-key-latam","Eneba")</f>
        <v>Eneba</v>
      </c>
    </row>
    <row r="291">
      <c r="A291" t="s">
        <v>16</v>
      </c>
      <c r="B291" t="s">
        <v>16</v>
      </c>
      <c r="C291" t="s">
        <v>17</v>
      </c>
      <c r="D291">
        <v>33899</v>
      </c>
      <c r="E291">
        <v>43397</v>
      </c>
      <c r="F291">
        <v>48899</v>
      </c>
      <c r="G291">
        <v>70415</v>
      </c>
      <c r="H291">
        <v>15000</v>
      </c>
      <c r="I291" t="str">
        <f>HYPERLINK("https://store.steampowered.com/app/489830/The_Elder_Scrolls_V_Skyrim_Special_Edition/","Abrir Steam")</f>
        <v>Abrir Steam</v>
      </c>
      <c r="J291" t="str">
        <f>HYPERLINK("https://www.kinguin.net/es/category/206801/the-elder-scrolls-v-skyrim-special-edition-pc-steam-account","Kinguin")</f>
        <v>Kinguin</v>
      </c>
      <c r="K291" t="str">
        <f>HYPERLINK("https://driffle.com/es/the-elder-scrolls-v-skyrim-special-edition-global-pc-steam-account-p9997153","Driffle")</f>
        <v>Driffle</v>
      </c>
      <c r="L291" t="s">
        <v>16</v>
      </c>
      <c r="M291" t="s">
        <v>16</v>
      </c>
    </row>
    <row r="292">
      <c r="A292" t="s">
        <v>128</v>
      </c>
      <c r="B292" t="s">
        <v>14</v>
      </c>
      <c r="C292" t="s">
        <v>15</v>
      </c>
      <c r="D292">
        <v>42619</v>
      </c>
      <c r="E292">
        <v>108519</v>
      </c>
      <c r="F292">
        <v>73009</v>
      </c>
      <c r="G292">
        <v>105133</v>
      </c>
      <c r="H292">
        <v>30390</v>
      </c>
      <c r="I292" t="str">
        <f>HYPERLINK("https://store.steampowered.com/app/1888930/The_Last_of_Us_Parte_I/","Abrir Steam")</f>
        <v>Abrir Steam</v>
      </c>
      <c r="J292" t="str">
        <f>HYPERLINK("https://www.kinguin.net/es/category/160275/the-last-of-us-part-1-latam-steam-cd-key","Kinguin")</f>
        <v>Kinguin</v>
      </c>
      <c r="K292" t="str">
        <f>HYPERLINK("https://driffle.com/es/the-last-of-us-part-i-latam-pc-steam-digital-key-p9975836","Driffle")</f>
        <v>Driffle</v>
      </c>
      <c r="L292" t="str">
        <f>HYPERLINK("https://www.loaded.com/es_es/the-last-of-us-part-i-pc-steam","Loaded")</f>
        <v>Loaded</v>
      </c>
      <c r="M292" t="str">
        <f>HYPERLINK("https://www.eneba.com/latam/steam-the-last-of-us-part-i-pc-steam-key-latam","Eneba")</f>
        <v>Eneba</v>
      </c>
    </row>
    <row r="293">
      <c r="A293" t="s">
        <v>16</v>
      </c>
      <c r="B293" t="s">
        <v>16</v>
      </c>
      <c r="C293" t="s">
        <v>17</v>
      </c>
      <c r="D293">
        <v>37736</v>
      </c>
      <c r="E293">
        <v>108519</v>
      </c>
      <c r="F293">
        <v>63417</v>
      </c>
      <c r="G293">
        <v>91320</v>
      </c>
      <c r="H293">
        <v>25681</v>
      </c>
      <c r="I293" t="str">
        <f>HYPERLINK("https://store.steampowered.com/app/1888930/The_Last_of_Us_Parte_I/","Abrir Steam")</f>
        <v>Abrir Steam</v>
      </c>
      <c r="J293" t="str">
        <f>HYPERLINK("https://www.kinguin.net/es/category/150724/the-last-of-us-part-1-steam-account","Kinguin")</f>
        <v>Kinguin</v>
      </c>
      <c r="K293" t="s">
        <v>16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108519</v>
      </c>
      <c r="F294">
        <v>0</v>
      </c>
      <c r="G294">
        <v>0</v>
      </c>
      <c r="H294">
        <v>0</v>
      </c>
      <c r="I294" t="str">
        <f>HYPERLINK("https://store.steampowered.com/app/1888930/The_Last_of_Us_Parte_I/","Abrir Steam")</f>
        <v>Abrir Steam</v>
      </c>
      <c r="J294" t="str">
        <f>HYPERLINK("https://www.kinguin.net/es/category/325061/the-last-of-us-part-1-digital-deluxe-edition-latam-pc-steam-cd-key","Kinguin")</f>
        <v>Kinguin</v>
      </c>
      <c r="K294" t="s">
        <v>16</v>
      </c>
      <c r="L294" t="str">
        <f>HYPERLINK("https://www.loaded.com/es_es/the-last-of-us-part-i-deluxe-edition-pc-steam","Loaded")</f>
        <v>Loaded</v>
      </c>
      <c r="M294" t="str">
        <f>HYPERLINK("https://www.eneba.com/latam/steam-the-last-of-us-part-i-digital-deluxe-edition-pc-steam-key-global","Eneba")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108519</v>
      </c>
      <c r="F295">
        <v>0</v>
      </c>
      <c r="G295">
        <v>0</v>
      </c>
      <c r="H295">
        <v>0</v>
      </c>
      <c r="I295" t="str">
        <f>HYPERLINK("https://store.steampowered.com/app/1888930/The_Last_of_Us_Parte_I/","Abrir Steam")</f>
        <v>Abrir Steam</v>
      </c>
      <c r="J295" t="s">
        <v>16</v>
      </c>
      <c r="K295" t="s">
        <v>16</v>
      </c>
      <c r="L295" t="s">
        <v>16</v>
      </c>
      <c r="M295" t="s">
        <v>16</v>
      </c>
    </row>
    <row r="296">
      <c r="A296" t="s">
        <v>129</v>
      </c>
      <c r="B296" t="s">
        <v>14</v>
      </c>
      <c r="C296" t="s">
        <v>15</v>
      </c>
      <c r="D296">
        <v>54304</v>
      </c>
      <c r="E296">
        <v>72340</v>
      </c>
      <c r="F296">
        <v>89304</v>
      </c>
      <c r="G296">
        <v>128598</v>
      </c>
      <c r="H296">
        <v>35000</v>
      </c>
      <c r="I296" t="str">
        <f>HYPERLINK("https://store.steampowered.com/app/2531310/The_Last_of_Us_Parte_II_Remastered/","Abrir Steam")</f>
        <v>Abrir Steam</v>
      </c>
      <c r="J296" t="str">
        <f>HYPERLINK("https://www.kinguin.net/es/category/326607/the-last-of-us-part-2-remastered-latam-pc-steam-cd-key","Kinguin")</f>
        <v>Kinguin</v>
      </c>
      <c r="K296" t="str">
        <f>HYPERLINK("https://driffle.com/es/the-last-of-us-part-ii-remastered-latam-pc-steam-digital-key-p9934842","Driffle")</f>
        <v>Driffle</v>
      </c>
      <c r="L296" t="str">
        <f>HYPERLINK("https://www.loaded.com/es_es/the-last-of-us-part-ii-remastered-pc-steam","Loaded")</f>
        <v>Loaded</v>
      </c>
      <c r="M296" t="str">
        <f>HYPERLINK("https://www.eneba.com/latam/steam-the-last-of-ustm-part-ii-remastered-pc-steam-key-latam","Eneba")</f>
        <v>Eneba</v>
      </c>
    </row>
    <row r="297">
      <c r="A297" t="s">
        <v>16</v>
      </c>
      <c r="B297" t="s">
        <v>16</v>
      </c>
      <c r="C297" t="s">
        <v>17</v>
      </c>
      <c r="D297">
        <v>63991</v>
      </c>
      <c r="E297">
        <v>72340</v>
      </c>
      <c r="F297">
        <v>78991</v>
      </c>
      <c r="G297">
        <v>113747</v>
      </c>
      <c r="H297">
        <v>15000</v>
      </c>
      <c r="I297" t="str">
        <f>HYPERLINK("https://store.steampowered.com/app/2531310/The_Last_of_Us_Parte_II_Remastered/","Abrir Steam")</f>
        <v>Abrir Steam</v>
      </c>
      <c r="J297" t="str">
        <f>HYPERLINK("https://www.kinguin.net/es/category/321634/the-last-of-us-part-2-remastered-pc-steam-account","Kinguin")</f>
        <v>Kinguin</v>
      </c>
      <c r="K297" t="s">
        <v>16</v>
      </c>
      <c r="L297" t="s">
        <v>16</v>
      </c>
      <c r="M297" t="s">
        <v>16</v>
      </c>
    </row>
    <row r="298">
      <c r="A298" t="s">
        <v>130</v>
      </c>
      <c r="B298" t="s">
        <v>14</v>
      </c>
      <c r="C298" t="s">
        <v>15</v>
      </c>
      <c r="D298">
        <v>0</v>
      </c>
      <c r="E298">
        <v>54250</v>
      </c>
      <c r="F298">
        <v>0</v>
      </c>
      <c r="G298">
        <v>0</v>
      </c>
      <c r="H298">
        <v>0</v>
      </c>
      <c r="I298" t="str">
        <f>HYPERLINK("https://store.steampowered.com/app/292030/The_Witcher_3_Wild_Hunt/","Abrir Steam")</f>
        <v>Abrir Steam</v>
      </c>
      <c r="J298" t="s">
        <v>16</v>
      </c>
      <c r="K298" t="s">
        <v>16</v>
      </c>
      <c r="L298" t="s">
        <v>16</v>
      </c>
      <c r="M298" t="s">
        <v>16</v>
      </c>
    </row>
    <row r="299">
      <c r="A299" t="s">
        <v>16</v>
      </c>
      <c r="B299" t="s">
        <v>16</v>
      </c>
      <c r="C299" t="s">
        <v>17</v>
      </c>
      <c r="D299">
        <v>4368</v>
      </c>
      <c r="E299">
        <v>54250</v>
      </c>
      <c r="F299">
        <v>28905</v>
      </c>
      <c r="G299">
        <v>41623</v>
      </c>
      <c r="H299">
        <v>24537</v>
      </c>
      <c r="I299" t="str">
        <f>HYPERLINK("https://store.steampowered.com/app/292030/The_Witcher_3_Wild_Hunt/","Abrir Steam")</f>
        <v>Abrir Steam</v>
      </c>
      <c r="J299" t="str">
        <f>HYPERLINK("https://www.kinguin.net/es/category/150064/the-witcher-3-wild-hunt-steam-account","Kinguin")</f>
        <v>Kinguin</v>
      </c>
      <c r="K299" t="s">
        <v>16</v>
      </c>
      <c r="L299" t="s">
        <v>16</v>
      </c>
      <c r="M299" t="s">
        <v>16</v>
      </c>
    </row>
    <row r="300">
      <c r="A300" t="s">
        <v>16</v>
      </c>
      <c r="B300" t="s">
        <v>122</v>
      </c>
      <c r="C300" t="s">
        <v>15</v>
      </c>
      <c r="D300">
        <v>0</v>
      </c>
      <c r="E300">
        <v>68722</v>
      </c>
      <c r="F300">
        <v>0</v>
      </c>
      <c r="G300">
        <v>0</v>
      </c>
      <c r="H300">
        <v>0</v>
      </c>
      <c r="I300" t="str">
        <f>HYPERLINK("https://store.steampowered.com/app/292030/The_Witcher_3_Wild_Hunt/","Abrir Steam")</f>
        <v>Abrir Steam</v>
      </c>
      <c r="J300" t="s">
        <v>16</v>
      </c>
      <c r="K300" t="s">
        <v>16</v>
      </c>
      <c r="L300" t="s">
        <v>16</v>
      </c>
      <c r="M300" t="s">
        <v>16</v>
      </c>
    </row>
    <row r="301">
      <c r="A301" t="s">
        <v>16</v>
      </c>
      <c r="B301" t="s">
        <v>16</v>
      </c>
      <c r="C301" t="s">
        <v>17</v>
      </c>
      <c r="D301">
        <v>10655</v>
      </c>
      <c r="E301">
        <v>68722</v>
      </c>
      <c r="F301">
        <v>37063</v>
      </c>
      <c r="G301">
        <v>53371</v>
      </c>
      <c r="H301">
        <v>26408</v>
      </c>
      <c r="I301" t="str">
        <f>HYPERLINK("https://store.steampowered.com/app/292030/The_Witcher_3_Wild_Hunt/","Abrir Steam")</f>
        <v>Abrir Steam</v>
      </c>
      <c r="J301" t="str">
        <f>HYPERLINK("https://www.kinguin.net/es/category/246280/the-witcher-3-wild-hunt-complete-edition-pc-steam-account","Kinguin")</f>
        <v>Kinguin</v>
      </c>
      <c r="K301" t="s">
        <v>16</v>
      </c>
      <c r="L301" t="s">
        <v>16</v>
      </c>
      <c r="M301" t="s">
        <v>16</v>
      </c>
    </row>
    <row r="302">
      <c r="A302" t="s">
        <v>131</v>
      </c>
      <c r="B302" t="s">
        <v>14</v>
      </c>
      <c r="C302" t="s">
        <v>15</v>
      </c>
      <c r="D302">
        <v>24773</v>
      </c>
      <c r="E302">
        <v>90429</v>
      </c>
      <c r="F302">
        <v>51773</v>
      </c>
      <c r="G302">
        <v>74553</v>
      </c>
      <c r="H302">
        <v>27000</v>
      </c>
      <c r="I302" t="str">
        <f>HYPERLINK("https://store.steampowered.com/app/1659420/UNCHARTED_Coleccin_Legado_de_los_Ladrones/?curator_clanid=4777282","Abrir Steam")</f>
        <v>Abrir Steam</v>
      </c>
      <c r="J302" t="str">
        <f>HYPERLINK("https://www.kinguin.net/es/category/119860/uncharted-legacy-of-thieves-collection-steam-cd-key","Kinguin")</f>
        <v>Kinguin</v>
      </c>
      <c r="K302" t="str">
        <f>HYPERLINK("https://driffle.com/es/uncharted-legacy-of-thieves-collection-latam-pc-steam-digital-key-p9975841","Driffle")</f>
        <v>Driffle</v>
      </c>
      <c r="L302" t="str">
        <f>HYPERLINK("https://www.loaded.com/es_es/uncharted-legacy-of-thieves-collection-pc-steam","Loaded")</f>
        <v>Loaded</v>
      </c>
      <c r="M302" t="str">
        <f>HYPERLINK("https://www.eneba.com/latam/steam-uncharted-legacy-of-thieves-collection-pc-steam-key-latam","Eneba")</f>
        <v>Eneba</v>
      </c>
    </row>
    <row r="303">
      <c r="A303" t="s">
        <v>16</v>
      </c>
      <c r="B303" t="s">
        <v>16</v>
      </c>
      <c r="C303" t="s">
        <v>17</v>
      </c>
      <c r="D303">
        <v>0</v>
      </c>
      <c r="E303">
        <v>90429</v>
      </c>
      <c r="F303">
        <v>0</v>
      </c>
      <c r="G303">
        <v>0</v>
      </c>
      <c r="H303">
        <v>0</v>
      </c>
      <c r="I303" t="str">
        <f>HYPERLINK("https://store.steampowered.com/app/1659420/UNCHARTED_Coleccin_Legado_de_los_Ladrones/?curator_clanid=4777282","Abrir Steam")</f>
        <v>Abrir Steam</v>
      </c>
      <c r="J303" t="s">
        <v>16</v>
      </c>
      <c r="K303" t="s">
        <v>16</v>
      </c>
      <c r="L303" t="s">
        <v>16</v>
      </c>
      <c r="M303" t="s">
        <v>16</v>
      </c>
    </row>
    <row r="304">
      <c r="A304" t="s">
        <v>132</v>
      </c>
      <c r="B304" t="s">
        <v>14</v>
      </c>
      <c r="C304" t="s">
        <v>15</v>
      </c>
      <c r="D304">
        <v>44039</v>
      </c>
      <c r="E304">
        <v>108519</v>
      </c>
      <c r="F304">
        <v>76492</v>
      </c>
      <c r="G304">
        <v>110148</v>
      </c>
      <c r="H304">
        <v>32453</v>
      </c>
      <c r="I304" t="str">
        <f>HYPERLINK("https://store.steampowered.com/app/2172010/Until_Dawn/?curator_clanid=4777282","Abrir Steam")</f>
        <v>Abrir Steam</v>
      </c>
      <c r="J304" t="str">
        <f>HYPERLINK("https://www.kinguin.net/es/category/375444/until-dawn-latam-pc-steam-cd-key","Kinguin")</f>
        <v>Kinguin</v>
      </c>
      <c r="K304" t="str">
        <f>HYPERLINK("https://driffle.com/es/until-dawn-global-pc-steam-digital-key-p9918074","Driffle")</f>
        <v>Driffle</v>
      </c>
      <c r="L304" t="s">
        <v>16</v>
      </c>
      <c r="M304" t="str">
        <f>HYPERLINK("https://www.eneba.com/latam/steam-until-dawn-pc-steam-key-latam","Eneba")</f>
        <v>Eneba</v>
      </c>
    </row>
    <row r="305">
      <c r="A305" t="s">
        <v>16</v>
      </c>
      <c r="B305" t="s">
        <v>16</v>
      </c>
      <c r="C305" t="s">
        <v>17</v>
      </c>
      <c r="D305">
        <v>45302</v>
      </c>
      <c r="E305">
        <v>108519</v>
      </c>
      <c r="F305">
        <v>66443</v>
      </c>
      <c r="G305">
        <v>95678</v>
      </c>
      <c r="H305">
        <v>21141</v>
      </c>
      <c r="I305" t="str">
        <f>HYPERLINK("https://store.steampowered.com/app/2172010/Until_Dawn/?curator_clanid=4777282","Abrir Steam")</f>
        <v>Abrir Steam</v>
      </c>
      <c r="J305" t="str">
        <f>HYPERLINK("https://www.kinguin.net/es/category/272529/until-dawn-pc-steam-account","Kinguin")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133</v>
      </c>
      <c r="B306" t="s">
        <v>14</v>
      </c>
      <c r="C306" t="s">
        <v>15</v>
      </c>
      <c r="D306">
        <v>24149</v>
      </c>
      <c r="E306">
        <v>108519</v>
      </c>
      <c r="F306">
        <v>59149</v>
      </c>
      <c r="G306">
        <v>85175</v>
      </c>
      <c r="H306">
        <v>35000</v>
      </c>
      <c r="I306" t="str">
        <f>HYPERLINK("https://store.steampowered.com/app/2878960/WWE_2K25/","Abrir Steam")</f>
        <v>Abrir Steam</v>
      </c>
      <c r="J306" t="str">
        <f>HYPERLINK("https://www.kinguin.net/es/category/315139/wwe-2k25-pc-steam-cd-key","Kinguin")</f>
        <v>Kinguin</v>
      </c>
      <c r="K306" t="str">
        <f>HYPERLINK("https://driffle.com/es/wwe-2k25-global-pc-steam-digital-key-p9930153","Driffle")</f>
        <v>Driffle</v>
      </c>
      <c r="L306" t="s">
        <v>16</v>
      </c>
      <c r="M306" t="str">
        <f>HYPERLINK("https://www.eneba.com/latam/steam-wwe-2k25-steam-key-pc-global","Eneba")</f>
        <v>Eneba</v>
      </c>
    </row>
    <row r="307">
      <c r="A307" t="s">
        <v>16</v>
      </c>
      <c r="B307" t="s">
        <v>16</v>
      </c>
      <c r="C307" t="s">
        <v>17</v>
      </c>
      <c r="D307">
        <v>33181</v>
      </c>
      <c r="E307">
        <v>108519</v>
      </c>
      <c r="F307">
        <v>60181</v>
      </c>
      <c r="G307">
        <v>86661</v>
      </c>
      <c r="H307">
        <v>27000</v>
      </c>
      <c r="I307" t="str">
        <f>HYPERLINK("https://store.steampowered.com/app/2878960/WWE_2K25/","Abrir Steam")</f>
        <v>Abrir Steam</v>
      </c>
      <c r="J307" t="str">
        <f>HYPERLINK("https://www.kinguin.net/es/category/314612/wwe-2k25-pc-steam-account","Kinguin")</f>
        <v>Kinguin</v>
      </c>
      <c r="K307" t="s">
        <v>16</v>
      </c>
      <c r="L307" t="s">
        <v>16</v>
      </c>
      <c r="M307" t="s">
        <v>16</v>
      </c>
    </row>
    <row r="308">
      <c r="A308" t="s">
        <v>16</v>
      </c>
      <c r="B308" t="s">
        <v>134</v>
      </c>
      <c r="C308" t="s">
        <v>15</v>
      </c>
      <c r="D308">
        <v>188807</v>
      </c>
      <c r="E308">
        <v>235145</v>
      </c>
      <c r="F308">
        <v>204334</v>
      </c>
      <c r="G308">
        <v>294241</v>
      </c>
      <c r="H308">
        <v>15527</v>
      </c>
      <c r="I308" t="str">
        <f>HYPERLINK("https://store.steampowered.com/app/2878960/WWE_2K25/","Abrir Steam")</f>
        <v>Abrir Steam</v>
      </c>
      <c r="J308" t="str">
        <f>HYPERLINK("https://www.kinguin.net/es/category/315148/wwe-2k25-bloodline-edition-pc-steam-cd-key","Kinguin")</f>
        <v>Kinguin</v>
      </c>
      <c r="K308" t="str">
        <f>HYPERLINK("https://driffle.com/es/wwe-2k25-the-bloodline-edition-global-pc-steam-digital-key-p9930284","Driffle")</f>
        <v>Driffle</v>
      </c>
      <c r="L308" t="s">
        <v>16</v>
      </c>
      <c r="M308" t="s">
        <v>16</v>
      </c>
    </row>
    <row r="309">
      <c r="A309" t="s">
        <v>16</v>
      </c>
      <c r="B309" t="s">
        <v>16</v>
      </c>
      <c r="C309" t="s">
        <v>17</v>
      </c>
      <c r="D309">
        <v>140884</v>
      </c>
      <c r="E309">
        <v>235145</v>
      </c>
      <c r="F309">
        <v>155884</v>
      </c>
      <c r="G309">
        <v>224473</v>
      </c>
      <c r="H309">
        <v>15000</v>
      </c>
      <c r="I309" t="str">
        <f>HYPERLINK("https://store.steampowered.com/app/2878960/WWE_2K25/","Abrir Steam")</f>
        <v>Abrir Steam</v>
      </c>
      <c r="J309" t="str">
        <f>HYPERLINK("https://www.kinguin.net/es/category/319995/wwe-2k25-bloodline-edition-pc-steam-account","Kinguin")</f>
        <v>Kinguin</v>
      </c>
      <c r="K309" t="s">
        <v>16</v>
      </c>
      <c r="L309" t="s">
        <v>16</v>
      </c>
      <c r="M309" t="str">
        <f>HYPERLINK("https://www.eneba.com/latam/steam-wwe-2k25-the-bloodline-edition-steam-key-pc-global","Eneba")</f>
        <v>Eneba</v>
      </c>
    </row>
    <row r="310">
      <c r="A310" t="s">
        <v>135</v>
      </c>
      <c r="B310" t="s">
        <v>14</v>
      </c>
      <c r="C310" t="s">
        <v>15</v>
      </c>
      <c r="D310">
        <v>68203</v>
      </c>
      <c r="E310">
        <v>126608</v>
      </c>
      <c r="F310">
        <v>90255</v>
      </c>
      <c r="G310">
        <v>129967</v>
      </c>
      <c r="H310">
        <v>22052</v>
      </c>
      <c r="I310" t="str">
        <f>HYPERLINK("https://store.steampowered.com/app/3717070/WWE_2K26/","Abrir Steam")</f>
        <v>Abrir Steam</v>
      </c>
      <c r="J310" t="str">
        <f>HYPERLINK("https://www.kinguin.net/es/category/549111/wwe-2k26-pc-steam-cd-key","Kinguin")</f>
        <v>Kinguin</v>
      </c>
      <c r="K310" t="s">
        <v>16</v>
      </c>
      <c r="L310" t="s">
        <v>16</v>
      </c>
      <c r="M310" t="str">
        <f>HYPERLINK("https://www.eneba.com/latam/steam-wwe-2k26-steam-key-pc-global","Eneba")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126608</v>
      </c>
      <c r="F311">
        <v>0</v>
      </c>
      <c r="G311">
        <v>0</v>
      </c>
      <c r="H311">
        <v>0</v>
      </c>
      <c r="I311" t="str">
        <f>HYPERLINK("https://store.steampowered.com/app/3717070/WWE_2K26/","Abrir Steam")</f>
        <v>Abrir Steam</v>
      </c>
      <c r="J311" t="str">
        <f>HYPERLINK("https://www.kinguin.net/es/category/464749/wwe-2k26-pc-steam-account","Kinguin")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136</v>
      </c>
      <c r="C312" t="s">
        <v>15</v>
      </c>
      <c r="D312">
        <v>0</v>
      </c>
      <c r="E312">
        <v>180877</v>
      </c>
      <c r="F312">
        <v>0</v>
      </c>
      <c r="G312">
        <v>0</v>
      </c>
      <c r="H312">
        <v>0</v>
      </c>
      <c r="I312" t="str">
        <f>HYPERLINK("https://store.steampowered.com/app/3717070/WWE_2K26/","Abrir Steam")</f>
        <v>Abrir Steam</v>
      </c>
      <c r="J312" t="s">
        <v>16</v>
      </c>
      <c r="K312" t="s">
        <v>16</v>
      </c>
      <c r="L312" t="s">
        <v>16</v>
      </c>
      <c r="M312" t="s">
        <v>16</v>
      </c>
    </row>
    <row r="313">
      <c r="A313" t="s">
        <v>16</v>
      </c>
      <c r="B313" t="s">
        <v>16</v>
      </c>
      <c r="C313" t="s">
        <v>17</v>
      </c>
      <c r="D313">
        <v>109964</v>
      </c>
      <c r="E313">
        <v>180877</v>
      </c>
      <c r="F313">
        <v>124964</v>
      </c>
      <c r="G313">
        <v>179948</v>
      </c>
      <c r="H313">
        <v>15000</v>
      </c>
      <c r="I313" t="str">
        <f>HYPERLINK("https://store.steampowered.com/app/3717070/WWE_2K26/","Abrir Steam")</f>
        <v>Abrir Steam</v>
      </c>
      <c r="J313" t="str">
        <f>HYPERLINK("https://www.kinguin.net/es/category/476574/wwe-2k26-king-of-kings-edition-pc-steam-account","Kinguin")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16</v>
      </c>
      <c r="B314" t="s">
        <v>137</v>
      </c>
      <c r="C314" t="s">
        <v>15</v>
      </c>
      <c r="D314">
        <v>129433</v>
      </c>
      <c r="E314">
        <v>235145</v>
      </c>
      <c r="F314">
        <v>164433</v>
      </c>
      <c r="G314">
        <v>236784</v>
      </c>
      <c r="H314">
        <v>35000</v>
      </c>
      <c r="I314" t="str">
        <f>HYPERLINK("https://store.steampowered.com/app/3717070/WWE_2K26/","Abrir Steam")</f>
        <v>Abrir Steam</v>
      </c>
      <c r="J314" t="str">
        <f>HYPERLINK("https://www.kinguin.net/es/category/476565/wwe-2k26-attitude-era-edition-pc-steam-cd-key","Kinguin")</f>
        <v>Kinguin</v>
      </c>
      <c r="K314" t="s">
        <v>16</v>
      </c>
      <c r="L314" t="s">
        <v>16</v>
      </c>
      <c r="M314" t="s">
        <v>16</v>
      </c>
    </row>
    <row r="315">
      <c r="A315" t="s">
        <v>16</v>
      </c>
      <c r="B315" t="s">
        <v>16</v>
      </c>
      <c r="C315" t="s">
        <v>17</v>
      </c>
      <c r="D315">
        <v>146936</v>
      </c>
      <c r="E315">
        <v>235145</v>
      </c>
      <c r="F315">
        <v>161936</v>
      </c>
      <c r="G315">
        <v>233188</v>
      </c>
      <c r="H315">
        <v>15000</v>
      </c>
      <c r="I315" t="str">
        <f>HYPERLINK("https://store.steampowered.com/app/3717070/WWE_2K26/","Abrir Steam")</f>
        <v>Abrir Steam</v>
      </c>
      <c r="J315" t="str">
        <f>HYPERLINK("https://www.kinguin.net/es/category/476568/wwe-2k26-attitude-era-edition-pc-steam-account","Kinguin")</f>
        <v>Kinguin</v>
      </c>
      <c r="K315" t="s">
        <v>16</v>
      </c>
      <c r="L315" t="s">
        <v>16</v>
      </c>
      <c r="M315" t="s">
        <v>16</v>
      </c>
    </row>
  </sheetData>
</worksheet>
</file>